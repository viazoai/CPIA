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49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FAB F03 4F. PH1 패드천공 및 조립 | CUB 9층 단열재 설치</t>
        </is>
      </c>
      <c r="H5" s="395" t="inlineStr">
        <is>
          <t>FAB F03 4F. PH1 패드천공 및 조립 | CUB 9층 단열재 설치</t>
        </is>
      </c>
      <c r="I5" s="395" t="n"/>
      <c r="J5" s="396" t="n"/>
      <c r="K5" s="397" t="n">
        <v>56</v>
      </c>
      <c r="L5" s="397" t="n">
        <v>25</v>
      </c>
      <c r="M5" s="397" t="n">
        <v>8</v>
      </c>
      <c r="N5" s="397" t="n">
        <v>7</v>
      </c>
      <c r="O5" s="397" t="n">
        <v>96</v>
      </c>
      <c r="P5" s="398" t="n"/>
      <c r="Q5" s="397" t="n">
        <v>17102</v>
      </c>
      <c r="R5" s="397" t="n">
        <v>115816</v>
      </c>
      <c r="S5" s="397" t="n">
        <v>44065</v>
      </c>
      <c r="T5" s="397" t="n">
        <v>29073</v>
      </c>
      <c r="U5" s="397" t="n">
        <v>4204</v>
      </c>
      <c r="V5" s="397" t="n">
        <v>210260</v>
      </c>
      <c r="W5" s="398" t="n"/>
      <c r="X5" s="397" t="n"/>
      <c r="Y5" s="397" t="n">
        <v>48</v>
      </c>
      <c r="Z5" s="397" t="n">
        <v>29</v>
      </c>
      <c r="AA5" s="397" t="n">
        <v>25</v>
      </c>
      <c r="AB5" s="397" t="n"/>
      <c r="AC5" s="397" t="n">
        <v>102</v>
      </c>
      <c r="AD5" s="398" t="n">
        <v>102</v>
      </c>
      <c r="AE5" s="397" t="n">
        <v>17102</v>
      </c>
      <c r="AF5" s="397" t="n">
        <v>115864</v>
      </c>
      <c r="AG5" s="397" t="n">
        <v>44094</v>
      </c>
      <c r="AH5" s="397" t="n">
        <v>29098</v>
      </c>
      <c r="AI5" s="397" t="n">
        <v>4204</v>
      </c>
      <c r="AJ5" s="397" t="n">
        <v>210362</v>
      </c>
      <c r="AK5" s="399" t="n">
        <v>210362</v>
      </c>
    </row>
    <row r="6" ht="45.75" customHeight="1" s="362" thickBot="1">
      <c r="B6" s="102" t="n"/>
      <c r="C6" s="103" t="n"/>
      <c r="D6" s="104" t="n"/>
      <c r="E6" s="103" t="inlineStr">
        <is>
          <t>남웅건설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남웅건설</t>
        </is>
      </c>
      <c r="D7" s="11" t="inlineStr">
        <is>
          <t>Wk02</t>
        </is>
      </c>
      <c r="E7" s="11" t="n"/>
      <c r="F7" s="278" t="inlineStr">
        <is>
          <t>H/C 장비기사</t>
        </is>
      </c>
      <c r="G7" s="409" t="n">
        <v>298</v>
      </c>
      <c r="H7" s="410" t="n">
        <v>706</v>
      </c>
      <c r="I7" s="410" t="n">
        <v>268</v>
      </c>
      <c r="J7" s="410" t="n">
        <v>225</v>
      </c>
      <c r="K7" s="411" t="n">
        <v>20</v>
      </c>
      <c r="L7" s="412" t="n">
        <v>1517</v>
      </c>
      <c r="M7" s="413" t="n"/>
      <c r="N7" s="414" t="n"/>
      <c r="O7" s="414" t="n"/>
      <c r="P7" s="414" t="n"/>
      <c r="Q7" s="415" t="n"/>
      <c r="R7" s="416" t="n"/>
      <c r="S7" s="417" t="n">
        <v>298</v>
      </c>
      <c r="T7" s="410" t="n">
        <v>706</v>
      </c>
      <c r="U7" s="410" t="n">
        <v>268</v>
      </c>
      <c r="V7" s="410" t="n">
        <v>225</v>
      </c>
      <c r="W7" s="411" t="n">
        <v>20</v>
      </c>
      <c r="X7" s="418" t="n">
        <v>1517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Wk03</t>
        </is>
      </c>
      <c r="E8" s="11" t="n"/>
      <c r="F8" s="278" t="inlineStr">
        <is>
          <t>T/C 장비기사</t>
        </is>
      </c>
      <c r="G8" s="409" t="n">
        <v>117</v>
      </c>
      <c r="H8" s="410" t="n">
        <v>560</v>
      </c>
      <c r="I8" s="410" t="n">
        <v>140</v>
      </c>
      <c r="J8" s="410" t="n">
        <v>109</v>
      </c>
      <c r="K8" s="411" t="n">
        <v>2</v>
      </c>
      <c r="L8" s="412" t="n">
        <v>928</v>
      </c>
      <c r="M8" s="413" t="n"/>
      <c r="N8" s="414" t="n"/>
      <c r="O8" s="414" t="n"/>
      <c r="P8" s="414" t="n"/>
      <c r="Q8" s="415" t="n"/>
      <c r="R8" s="416" t="n"/>
      <c r="S8" s="417" t="n">
        <v>117</v>
      </c>
      <c r="T8" s="410" t="n">
        <v>560</v>
      </c>
      <c r="U8" s="410" t="n">
        <v>140</v>
      </c>
      <c r="V8" s="410" t="n">
        <v>109</v>
      </c>
      <c r="W8" s="411" t="n">
        <v>2</v>
      </c>
      <c r="X8" s="418" t="n">
        <v>928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Wk05</t>
        </is>
      </c>
      <c r="E9" s="11" t="n"/>
      <c r="F9" s="278" t="inlineStr">
        <is>
          <t>스카이 장비기사</t>
        </is>
      </c>
      <c r="G9" s="409" t="n"/>
      <c r="H9" s="410" t="n">
        <v>1</v>
      </c>
      <c r="I9" s="410" t="n"/>
      <c r="J9" s="410" t="n"/>
      <c r="K9" s="411" t="n"/>
      <c r="L9" s="412" t="n">
        <v>1</v>
      </c>
      <c r="M9" s="413" t="n"/>
      <c r="N9" s="414" t="n"/>
      <c r="O9" s="414" t="n"/>
      <c r="P9" s="414" t="n"/>
      <c r="Q9" s="415" t="n"/>
      <c r="R9" s="416" t="n"/>
      <c r="S9" s="417" t="n"/>
      <c r="T9" s="410" t="n">
        <v>1</v>
      </c>
      <c r="U9" s="410" t="n"/>
      <c r="V9" s="410" t="n"/>
      <c r="W9" s="411" t="n"/>
      <c r="X9" s="418" t="n">
        <v>1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Wk06</t>
        </is>
      </c>
      <c r="E10" s="11" t="n"/>
      <c r="F10" s="278" t="inlineStr">
        <is>
          <t>지게차 장비기사</t>
        </is>
      </c>
      <c r="G10" s="409" t="n">
        <v>264</v>
      </c>
      <c r="H10" s="410" t="n">
        <v>1072</v>
      </c>
      <c r="I10" s="410" t="n">
        <v>521</v>
      </c>
      <c r="J10" s="410" t="n">
        <v>359</v>
      </c>
      <c r="K10" s="411" t="n">
        <v>44</v>
      </c>
      <c r="L10" s="412" t="n">
        <v>2260</v>
      </c>
      <c r="M10" s="413" t="n"/>
      <c r="N10" s="414" t="n"/>
      <c r="O10" s="414" t="n"/>
      <c r="P10" s="414" t="n"/>
      <c r="Q10" s="415" t="n"/>
      <c r="R10" s="416" t="n"/>
      <c r="S10" s="417" t="n">
        <v>264</v>
      </c>
      <c r="T10" s="410" t="n">
        <v>1072</v>
      </c>
      <c r="U10" s="410" t="n">
        <v>521</v>
      </c>
      <c r="V10" s="410" t="n">
        <v>359</v>
      </c>
      <c r="W10" s="411" t="n">
        <v>44</v>
      </c>
      <c r="X10" s="418" t="n">
        <v>2260</v>
      </c>
      <c r="Y10" t="inlineStr">
        <is>
          <t>O</t>
        </is>
      </c>
    </row>
    <row r="11" ht="15" customHeight="1" s="362">
      <c r="B11" s="27" t="n"/>
      <c r="C11" s="11" t="n"/>
      <c r="D11" s="11" t="inlineStr">
        <is>
          <t>Wk07</t>
        </is>
      </c>
      <c r="E11" s="11" t="n"/>
      <c r="F11" s="278" t="inlineStr">
        <is>
          <t>펌프카 장비기사</t>
        </is>
      </c>
      <c r="G11" s="409" t="n">
        <v>109</v>
      </c>
      <c r="H11" s="410" t="n">
        <v>571</v>
      </c>
      <c r="I11" s="410" t="n">
        <v>463</v>
      </c>
      <c r="J11" s="410" t="n">
        <v>238</v>
      </c>
      <c r="K11" s="411" t="n">
        <v>98</v>
      </c>
      <c r="L11" s="412" t="n">
        <v>1479</v>
      </c>
      <c r="M11" s="413" t="n"/>
      <c r="N11" s="414" t="n"/>
      <c r="O11" s="414" t="n"/>
      <c r="P11" s="414" t="n"/>
      <c r="Q11" s="415" t="n"/>
      <c r="R11" s="416" t="n"/>
      <c r="S11" s="417" t="n">
        <v>109</v>
      </c>
      <c r="T11" s="410" t="n">
        <v>571</v>
      </c>
      <c r="U11" s="410" t="n">
        <v>463</v>
      </c>
      <c r="V11" s="410" t="n">
        <v>238</v>
      </c>
      <c r="W11" s="411" t="n">
        <v>98</v>
      </c>
      <c r="X11" s="418" t="n">
        <v>1479</v>
      </c>
      <c r="Y11" t="inlineStr">
        <is>
          <t>O</t>
        </is>
      </c>
    </row>
    <row r="12" ht="15" customHeight="1" s="362">
      <c r="B12" s="27" t="n"/>
      <c r="C12" s="11" t="n"/>
      <c r="D12" s="11" t="inlineStr">
        <is>
          <t>Wk08</t>
        </is>
      </c>
      <c r="E12" s="11" t="n"/>
      <c r="F12" s="278" t="inlineStr">
        <is>
          <t>기타 장비기사</t>
        </is>
      </c>
      <c r="G12" s="409" t="n">
        <v>94</v>
      </c>
      <c r="H12" s="410" t="n">
        <v>634</v>
      </c>
      <c r="I12" s="410" t="n">
        <v>207</v>
      </c>
      <c r="J12" s="410" t="n">
        <v>183</v>
      </c>
      <c r="K12" s="411" t="n">
        <v>9</v>
      </c>
      <c r="L12" s="412" t="n">
        <v>1127</v>
      </c>
      <c r="M12" s="413" t="n"/>
      <c r="N12" s="414" t="n"/>
      <c r="O12" s="414" t="n"/>
      <c r="P12" s="414" t="n"/>
      <c r="Q12" s="415" t="n"/>
      <c r="R12" s="416" t="n"/>
      <c r="S12" s="417" t="n">
        <v>94</v>
      </c>
      <c r="T12" s="410" t="n">
        <v>634</v>
      </c>
      <c r="U12" s="410" t="n">
        <v>207</v>
      </c>
      <c r="V12" s="410" t="n">
        <v>183</v>
      </c>
      <c r="W12" s="411" t="n">
        <v>9</v>
      </c>
      <c r="X12" s="418" t="n">
        <v>1127</v>
      </c>
      <c r="Y12" t="inlineStr">
        <is>
          <t>O</t>
        </is>
      </c>
    </row>
    <row r="13" ht="15" customHeight="1" s="362">
      <c r="B13" s="27" t="n"/>
      <c r="C13" s="11" t="n"/>
      <c r="D13" s="11" t="inlineStr">
        <is>
          <t>Wk12</t>
        </is>
      </c>
      <c r="E13" s="11" t="n"/>
      <c r="F13" s="278" t="inlineStr">
        <is>
          <t>견출공</t>
        </is>
      </c>
      <c r="G13" s="409" t="n">
        <v>121</v>
      </c>
      <c r="H13" s="410" t="n">
        <v>3603</v>
      </c>
      <c r="I13" s="410" t="n">
        <v>1967</v>
      </c>
      <c r="J13" s="410" t="n">
        <v>1003</v>
      </c>
      <c r="K13" s="411" t="n">
        <v>83</v>
      </c>
      <c r="L13" s="412" t="n">
        <v>6777</v>
      </c>
      <c r="M13" s="413" t="n"/>
      <c r="N13" s="414" t="n"/>
      <c r="O13" s="414" t="n"/>
      <c r="P13" s="414" t="n"/>
      <c r="Q13" s="415" t="n"/>
      <c r="R13" s="416" t="n"/>
      <c r="S13" s="417" t="n">
        <v>121</v>
      </c>
      <c r="T13" s="410" t="n">
        <v>3603</v>
      </c>
      <c r="U13" s="410" t="n">
        <v>1967</v>
      </c>
      <c r="V13" s="410" t="n">
        <v>1003</v>
      </c>
      <c r="W13" s="411" t="n">
        <v>83</v>
      </c>
      <c r="X13" s="418" t="n">
        <v>6777</v>
      </c>
      <c r="Y13" t="inlineStr">
        <is>
          <t>O</t>
        </is>
      </c>
    </row>
    <row r="14" ht="15" customHeight="1" s="362">
      <c r="B14" s="27" t="n"/>
      <c r="C14" s="11" t="n"/>
      <c r="D14" s="11" t="inlineStr">
        <is>
          <t>Wk18</t>
        </is>
      </c>
      <c r="E14" s="11" t="n"/>
      <c r="F14" s="278" t="inlineStr">
        <is>
          <t>데크공</t>
        </is>
      </c>
      <c r="G14" s="409" t="n">
        <v>421</v>
      </c>
      <c r="H14" s="410" t="n">
        <v>720</v>
      </c>
      <c r="I14" s="410" t="n">
        <v>377</v>
      </c>
      <c r="J14" s="410" t="n">
        <v>43</v>
      </c>
      <c r="K14" s="411" t="n"/>
      <c r="L14" s="412" t="n">
        <v>1561</v>
      </c>
      <c r="M14" s="413" t="n"/>
      <c r="N14" s="414" t="n"/>
      <c r="O14" s="414" t="n"/>
      <c r="P14" s="414" t="n"/>
      <c r="Q14" s="415" t="n"/>
      <c r="R14" s="416" t="n"/>
      <c r="S14" s="417" t="n">
        <v>421</v>
      </c>
      <c r="T14" s="410" t="n">
        <v>720</v>
      </c>
      <c r="U14" s="410" t="n">
        <v>377</v>
      </c>
      <c r="V14" s="410" t="n">
        <v>43</v>
      </c>
      <c r="W14" s="411" t="n"/>
      <c r="X14" s="418" t="n">
        <v>1561</v>
      </c>
      <c r="Y14" t="inlineStr">
        <is>
          <t>O</t>
        </is>
      </c>
    </row>
    <row r="15" ht="15" customHeight="1" s="362">
      <c r="B15" s="27" t="n"/>
      <c r="C15" s="11" t="n"/>
      <c r="D15" s="11" t="inlineStr">
        <is>
          <t>Wk20</t>
        </is>
      </c>
      <c r="E15" s="11" t="n"/>
      <c r="F15" s="278" t="inlineStr">
        <is>
          <t>미장공</t>
        </is>
      </c>
      <c r="G15" s="409" t="n"/>
      <c r="H15" s="410" t="n">
        <v>1670</v>
      </c>
      <c r="I15" s="410" t="n">
        <v>4</v>
      </c>
      <c r="J15" s="410" t="n">
        <v>73</v>
      </c>
      <c r="K15" s="411" t="n">
        <v>1554</v>
      </c>
      <c r="L15" s="412" t="n">
        <v>3301</v>
      </c>
      <c r="M15" s="413" t="n"/>
      <c r="N15" s="414" t="n"/>
      <c r="O15" s="414" t="n"/>
      <c r="P15" s="414" t="n"/>
      <c r="Q15" s="415" t="n"/>
      <c r="R15" s="416" t="n"/>
      <c r="S15" s="417" t="n"/>
      <c r="T15" s="410" t="n">
        <v>1670</v>
      </c>
      <c r="U15" s="410" t="n">
        <v>4</v>
      </c>
      <c r="V15" s="410" t="n">
        <v>73</v>
      </c>
      <c r="W15" s="411" t="n">
        <v>1554</v>
      </c>
      <c r="X15" s="418" t="n">
        <v>3301</v>
      </c>
      <c r="Y15" t="inlineStr">
        <is>
          <t>O</t>
        </is>
      </c>
    </row>
    <row r="16" ht="15" customHeight="1" s="362">
      <c r="B16" s="27" t="n"/>
      <c r="C16" s="11" t="n"/>
      <c r="D16" s="11" t="inlineStr">
        <is>
          <t>Wk24</t>
        </is>
      </c>
      <c r="E16" s="11" t="n"/>
      <c r="F16" s="278" t="inlineStr">
        <is>
          <t>비계공</t>
        </is>
      </c>
      <c r="G16" s="409" t="n">
        <v>359</v>
      </c>
      <c r="H16" s="410" t="n">
        <v>10260</v>
      </c>
      <c r="I16" s="410" t="n">
        <v>3625</v>
      </c>
      <c r="J16" s="410" t="n">
        <v>2595</v>
      </c>
      <c r="K16" s="411" t="n">
        <v>9</v>
      </c>
      <c r="L16" s="412" t="n">
        <v>16848</v>
      </c>
      <c r="M16" s="413" t="n"/>
      <c r="N16" s="414" t="n"/>
      <c r="O16" s="414" t="n"/>
      <c r="P16" s="414" t="n"/>
      <c r="Q16" s="415" t="n"/>
      <c r="R16" s="416" t="n"/>
      <c r="S16" s="417" t="n">
        <v>359</v>
      </c>
      <c r="T16" s="410" t="n">
        <v>10260</v>
      </c>
      <c r="U16" s="410" t="n">
        <v>3625</v>
      </c>
      <c r="V16" s="410" t="n">
        <v>2595</v>
      </c>
      <c r="W16" s="411" t="n">
        <v>9</v>
      </c>
      <c r="X16" s="418" t="n">
        <v>16848</v>
      </c>
      <c r="Y16" t="inlineStr">
        <is>
          <t>O</t>
        </is>
      </c>
    </row>
    <row r="17" ht="15" customHeight="1" s="362">
      <c r="B17" s="27" t="n"/>
      <c r="C17" s="11" t="n"/>
      <c r="D17" s="11" t="inlineStr">
        <is>
          <t>Wk27</t>
        </is>
      </c>
      <c r="E17" s="11" t="n"/>
      <c r="F17" s="278" t="inlineStr">
        <is>
          <t>신호수</t>
        </is>
      </c>
      <c r="G17" s="409" t="n">
        <v>217</v>
      </c>
      <c r="H17" s="410" t="n">
        <v>2390</v>
      </c>
      <c r="I17" s="410" t="n">
        <v>1051</v>
      </c>
      <c r="J17" s="410" t="n">
        <v>488</v>
      </c>
      <c r="K17" s="411" t="n">
        <v>24</v>
      </c>
      <c r="L17" s="412" t="n">
        <v>4170</v>
      </c>
      <c r="M17" s="413" t="n"/>
      <c r="N17" s="414" t="n"/>
      <c r="O17" s="414" t="n"/>
      <c r="P17" s="414" t="n"/>
      <c r="Q17" s="415" t="n"/>
      <c r="R17" s="416" t="n"/>
      <c r="S17" s="417" t="n">
        <v>217</v>
      </c>
      <c r="T17" s="410" t="n">
        <v>2390</v>
      </c>
      <c r="U17" s="410" t="n">
        <v>1051</v>
      </c>
      <c r="V17" s="410" t="n">
        <v>488</v>
      </c>
      <c r="W17" s="411" t="n">
        <v>24</v>
      </c>
      <c r="X17" s="418" t="n">
        <v>4170</v>
      </c>
      <c r="Y17" t="inlineStr">
        <is>
          <t>O</t>
        </is>
      </c>
    </row>
    <row r="18" ht="15" customHeight="1" s="362">
      <c r="B18" s="27" t="n"/>
      <c r="C18" s="11" t="n"/>
      <c r="D18" s="11" t="inlineStr">
        <is>
          <t>Wk34</t>
        </is>
      </c>
      <c r="E18" s="11" t="n"/>
      <c r="F18" s="278" t="inlineStr">
        <is>
          <t>유도원</t>
        </is>
      </c>
      <c r="G18" s="409" t="n">
        <v>388</v>
      </c>
      <c r="H18" s="410" t="n">
        <v>6607</v>
      </c>
      <c r="I18" s="410" t="n">
        <v>2901</v>
      </c>
      <c r="J18" s="410" t="n">
        <v>1582</v>
      </c>
      <c r="K18" s="411" t="n">
        <v>117</v>
      </c>
      <c r="L18" s="412" t="n">
        <v>11595</v>
      </c>
      <c r="M18" s="413" t="n"/>
      <c r="N18" s="414" t="n"/>
      <c r="O18" s="414" t="n"/>
      <c r="P18" s="414" t="n"/>
      <c r="Q18" s="415" t="n"/>
      <c r="R18" s="416" t="n"/>
      <c r="S18" s="417" t="n">
        <v>388</v>
      </c>
      <c r="T18" s="410" t="n">
        <v>6607</v>
      </c>
      <c r="U18" s="410" t="n">
        <v>2901</v>
      </c>
      <c r="V18" s="410" t="n">
        <v>1582</v>
      </c>
      <c r="W18" s="411" t="n">
        <v>117</v>
      </c>
      <c r="X18" s="418" t="n">
        <v>11595</v>
      </c>
      <c r="Y18" t="inlineStr">
        <is>
          <t>O</t>
        </is>
      </c>
    </row>
    <row r="19" ht="15" customHeight="1" s="362">
      <c r="B19" s="27" t="n"/>
      <c r="C19" s="11" t="n"/>
      <c r="D19" s="11" t="inlineStr">
        <is>
          <t>Wk40</t>
        </is>
      </c>
      <c r="E19" s="11" t="n"/>
      <c r="F19" s="278" t="inlineStr">
        <is>
          <t>철근공</t>
        </is>
      </c>
      <c r="G19" s="409" t="n">
        <v>3584</v>
      </c>
      <c r="H19" s="410" t="n">
        <v>17117</v>
      </c>
      <c r="I19" s="410" t="n">
        <v>7302</v>
      </c>
      <c r="J19" s="410" t="n">
        <v>4227</v>
      </c>
      <c r="K19" s="411" t="n">
        <v>151</v>
      </c>
      <c r="L19" s="412" t="n">
        <v>32381</v>
      </c>
      <c r="M19" s="413" t="n"/>
      <c r="N19" s="414" t="n">
        <v>3</v>
      </c>
      <c r="O19" s="414" t="n"/>
      <c r="P19" s="414" t="n"/>
      <c r="Q19" s="415" t="n"/>
      <c r="R19" s="416" t="n">
        <v>3</v>
      </c>
      <c r="S19" s="417" t="n">
        <v>3584</v>
      </c>
      <c r="T19" s="410" t="n">
        <v>17120</v>
      </c>
      <c r="U19" s="410" t="n">
        <v>7302</v>
      </c>
      <c r="V19" s="410" t="n">
        <v>4227</v>
      </c>
      <c r="W19" s="411" t="n">
        <v>151</v>
      </c>
      <c r="X19" s="418" t="n">
        <v>32384</v>
      </c>
      <c r="Y19" t="inlineStr">
        <is>
          <t>O</t>
        </is>
      </c>
    </row>
    <row r="20" ht="15" customHeight="1" s="362">
      <c r="B20" s="27" t="n"/>
      <c r="C20" s="11" t="n"/>
      <c r="D20" s="11" t="inlineStr">
        <is>
          <t>Wk42</t>
        </is>
      </c>
      <c r="E20" s="11" t="n"/>
      <c r="F20" s="278" t="inlineStr">
        <is>
          <t>타설공</t>
        </is>
      </c>
      <c r="G20" s="409" t="n">
        <v>513</v>
      </c>
      <c r="H20" s="410" t="n">
        <v>7770</v>
      </c>
      <c r="I20" s="410" t="n">
        <v>3833</v>
      </c>
      <c r="J20" s="410" t="n">
        <v>2831</v>
      </c>
      <c r="K20" s="411" t="n">
        <v>947</v>
      </c>
      <c r="L20" s="412" t="n">
        <v>15894</v>
      </c>
      <c r="M20" s="413" t="n"/>
      <c r="N20" s="414" t="n">
        <v>3</v>
      </c>
      <c r="O20" s="414" t="n"/>
      <c r="P20" s="414" t="n"/>
      <c r="Q20" s="415" t="n"/>
      <c r="R20" s="416" t="n">
        <v>3</v>
      </c>
      <c r="S20" s="417" t="n">
        <v>513</v>
      </c>
      <c r="T20" s="410" t="n">
        <v>7773</v>
      </c>
      <c r="U20" s="410" t="n">
        <v>3833</v>
      </c>
      <c r="V20" s="410" t="n">
        <v>2831</v>
      </c>
      <c r="W20" s="411" t="n">
        <v>947</v>
      </c>
      <c r="X20" s="418" t="n">
        <v>15897</v>
      </c>
      <c r="Y20" t="inlineStr">
        <is>
          <t>O</t>
        </is>
      </c>
    </row>
    <row r="21" ht="15" customHeight="1" s="362">
      <c r="B21" s="27" t="n"/>
      <c r="C21" s="11" t="n"/>
      <c r="D21" s="11" t="inlineStr">
        <is>
          <t>Wk48</t>
        </is>
      </c>
      <c r="E21" s="11" t="n"/>
      <c r="F21" s="278" t="inlineStr">
        <is>
          <t>형틀공</t>
        </is>
      </c>
      <c r="G21" s="409" t="n">
        <v>3732</v>
      </c>
      <c r="H21" s="410" t="n">
        <v>18191</v>
      </c>
      <c r="I21" s="410" t="n">
        <v>7817</v>
      </c>
      <c r="J21" s="410" t="n">
        <v>3304</v>
      </c>
      <c r="K21" s="411" t="n">
        <v>82</v>
      </c>
      <c r="L21" s="412" t="n">
        <v>33126</v>
      </c>
      <c r="M21" s="413" t="n"/>
      <c r="N21" s="414" t="n">
        <v>3</v>
      </c>
      <c r="O21" s="414" t="n"/>
      <c r="P21" s="414" t="n"/>
      <c r="Q21" s="415" t="n"/>
      <c r="R21" s="416" t="n">
        <v>3</v>
      </c>
      <c r="S21" s="417" t="n">
        <v>3732</v>
      </c>
      <c r="T21" s="410" t="n">
        <v>18194</v>
      </c>
      <c r="U21" s="410" t="n">
        <v>7817</v>
      </c>
      <c r="V21" s="410" t="n">
        <v>3304</v>
      </c>
      <c r="W21" s="411" t="n">
        <v>82</v>
      </c>
      <c r="X21" s="418" t="n">
        <v>33129</v>
      </c>
      <c r="Y21" t="inlineStr">
        <is>
          <t>O</t>
        </is>
      </c>
    </row>
    <row r="22" ht="15" customHeight="1" s="362">
      <c r="B22" s="27" t="n"/>
      <c r="C22" s="11" t="n"/>
      <c r="D22" s="11" t="inlineStr">
        <is>
          <t>Wk64</t>
        </is>
      </c>
      <c r="E22" s="11" t="n"/>
      <c r="F22" s="278" t="inlineStr">
        <is>
          <t>일반공</t>
        </is>
      </c>
      <c r="G22" s="409" t="n">
        <v>1158</v>
      </c>
      <c r="H22" s="410" t="n">
        <v>5247</v>
      </c>
      <c r="I22" s="410" t="n">
        <v>2632</v>
      </c>
      <c r="J22" s="410" t="n">
        <v>1071</v>
      </c>
      <c r="K22" s="411" t="n">
        <v>33</v>
      </c>
      <c r="L22" s="412" t="n">
        <v>10141</v>
      </c>
      <c r="M22" s="413" t="n"/>
      <c r="N22" s="414" t="n"/>
      <c r="O22" s="414" t="n"/>
      <c r="P22" s="414" t="n"/>
      <c r="Q22" s="415" t="n"/>
      <c r="R22" s="416" t="n"/>
      <c r="S22" s="417" t="n">
        <v>1158</v>
      </c>
      <c r="T22" s="410" t="n">
        <v>5247</v>
      </c>
      <c r="U22" s="410" t="n">
        <v>2632</v>
      </c>
      <c r="V22" s="410" t="n">
        <v>1071</v>
      </c>
      <c r="W22" s="411" t="n">
        <v>33</v>
      </c>
      <c r="X22" s="418" t="n">
        <v>10141</v>
      </c>
      <c r="Y22" t="inlineStr">
        <is>
          <t>O</t>
        </is>
      </c>
    </row>
    <row r="23" ht="15" customHeight="1" s="362">
      <c r="B23" s="27" t="n"/>
      <c r="C23" s="11" t="n"/>
      <c r="D23" s="11" t="inlineStr">
        <is>
          <t>Wk65</t>
        </is>
      </c>
      <c r="E23" s="11" t="n"/>
      <c r="F23" s="278" t="inlineStr">
        <is>
          <t>작업자70</t>
        </is>
      </c>
      <c r="G23" s="409" t="n"/>
      <c r="H23" s="410" t="n"/>
      <c r="I23" s="410" t="n"/>
      <c r="J23" s="410" t="n">
        <v>12</v>
      </c>
      <c r="K23" s="411" t="n"/>
      <c r="L23" s="412" t="n">
        <v>12</v>
      </c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>
        <v>12</v>
      </c>
      <c r="W23" s="411" t="n"/>
      <c r="X23" s="418" t="n">
        <v>12</v>
      </c>
      <c r="Y23" t="inlineStr">
        <is>
          <t>O</t>
        </is>
      </c>
    </row>
    <row r="24" ht="15" customHeight="1" s="362">
      <c r="B24" s="27" t="n"/>
      <c r="C24" s="11" t="n"/>
      <c r="D24" s="11" t="inlineStr">
        <is>
          <t>Wk02</t>
        </is>
      </c>
      <c r="E24" s="11" t="n"/>
      <c r="F24" s="278" t="inlineStr">
        <is>
          <t>H/C 장비기사</t>
        </is>
      </c>
      <c r="G24" s="409" t="n">
        <v>110</v>
      </c>
      <c r="H24" s="410" t="n">
        <v>143</v>
      </c>
      <c r="I24" s="410" t="n">
        <v>49</v>
      </c>
      <c r="J24" s="410" t="n">
        <v>69</v>
      </c>
      <c r="K24" s="411" t="n"/>
      <c r="L24" s="412" t="n">
        <v>371</v>
      </c>
      <c r="M24" s="413" t="n"/>
      <c r="N24" s="414" t="n"/>
      <c r="O24" s="414" t="n"/>
      <c r="P24" s="414" t="n"/>
      <c r="Q24" s="415" t="n"/>
      <c r="R24" s="416" t="n"/>
      <c r="S24" s="417" t="n">
        <v>110</v>
      </c>
      <c r="T24" s="410" t="n">
        <v>143</v>
      </c>
      <c r="U24" s="410" t="n">
        <v>49</v>
      </c>
      <c r="V24" s="410" t="n">
        <v>69</v>
      </c>
      <c r="W24" s="411" t="n"/>
      <c r="X24" s="418" t="n">
        <v>371</v>
      </c>
      <c r="Y24" t="inlineStr">
        <is>
          <t>O</t>
        </is>
      </c>
    </row>
    <row r="25" ht="15" customHeight="1" s="362">
      <c r="B25" s="27" t="n"/>
      <c r="C25" s="11" t="n"/>
      <c r="D25" s="11" t="inlineStr">
        <is>
          <t>Wk03</t>
        </is>
      </c>
      <c r="E25" s="11" t="n"/>
      <c r="F25" s="278" t="inlineStr">
        <is>
          <t>T/C 장비기사</t>
        </is>
      </c>
      <c r="G25" s="409" t="n">
        <v>25</v>
      </c>
      <c r="H25" s="410" t="n">
        <v>806</v>
      </c>
      <c r="I25" s="410" t="n">
        <v>295</v>
      </c>
      <c r="J25" s="410" t="n">
        <v>262</v>
      </c>
      <c r="K25" s="411" t="n">
        <v>2</v>
      </c>
      <c r="L25" s="412" t="n">
        <v>1390</v>
      </c>
      <c r="M25" s="413" t="n"/>
      <c r="N25" s="414" t="n"/>
      <c r="O25" s="414" t="n"/>
      <c r="P25" s="414" t="n"/>
      <c r="Q25" s="415" t="n"/>
      <c r="R25" s="416" t="n"/>
      <c r="S25" s="417" t="n">
        <v>25</v>
      </c>
      <c r="T25" s="410" t="n">
        <v>806</v>
      </c>
      <c r="U25" s="410" t="n">
        <v>295</v>
      </c>
      <c r="V25" s="410" t="n">
        <v>262</v>
      </c>
      <c r="W25" s="411" t="n">
        <v>2</v>
      </c>
      <c r="X25" s="418" t="n">
        <v>1390</v>
      </c>
      <c r="Y25" t="inlineStr">
        <is>
          <t>O</t>
        </is>
      </c>
    </row>
    <row r="26" ht="15" customHeight="1" s="362">
      <c r="B26" s="27" t="n"/>
      <c r="C26" s="11" t="n"/>
      <c r="D26" s="11" t="inlineStr">
        <is>
          <t>Wk04</t>
        </is>
      </c>
      <c r="E26" s="11" t="n"/>
      <c r="F26" s="278" t="inlineStr">
        <is>
          <t>T/C 정비기사</t>
        </is>
      </c>
      <c r="G26" s="409" t="n"/>
      <c r="H26" s="410" t="n">
        <v>21</v>
      </c>
      <c r="I26" s="410" t="n">
        <v>7</v>
      </c>
      <c r="J26" s="410" t="n">
        <v>9</v>
      </c>
      <c r="K26" s="411" t="n"/>
      <c r="L26" s="412" t="n">
        <v>37</v>
      </c>
      <c r="M26" s="413" t="n"/>
      <c r="N26" s="414" t="n"/>
      <c r="O26" s="414" t="n"/>
      <c r="P26" s="414" t="n"/>
      <c r="Q26" s="415" t="n"/>
      <c r="R26" s="416" t="n"/>
      <c r="S26" s="417" t="n"/>
      <c r="T26" s="410" t="n">
        <v>21</v>
      </c>
      <c r="U26" s="410" t="n">
        <v>7</v>
      </c>
      <c r="V26" s="410" t="n">
        <v>9</v>
      </c>
      <c r="W26" s="411" t="n"/>
      <c r="X26" s="418" t="n">
        <v>37</v>
      </c>
      <c r="Y26" t="inlineStr">
        <is>
          <t>O</t>
        </is>
      </c>
    </row>
    <row r="27" ht="15" customHeight="1" s="362">
      <c r="B27" s="27" t="n"/>
      <c r="C27" s="11" t="n"/>
      <c r="D27" s="11" t="inlineStr">
        <is>
          <t>Wk05</t>
        </is>
      </c>
      <c r="E27" s="11" t="n"/>
      <c r="F27" s="278" t="inlineStr">
        <is>
          <t>스카이 장비기사</t>
        </is>
      </c>
      <c r="G27" s="409" t="n"/>
      <c r="H27" s="410" t="n">
        <v>4</v>
      </c>
      <c r="I27" s="410" t="n">
        <v>1</v>
      </c>
      <c r="J27" s="410" t="n">
        <v>1</v>
      </c>
      <c r="K27" s="411" t="n"/>
      <c r="L27" s="412" t="n">
        <v>6</v>
      </c>
      <c r="M27" s="413" t="n"/>
      <c r="N27" s="414" t="n"/>
      <c r="O27" s="414" t="n"/>
      <c r="P27" s="414" t="n"/>
      <c r="Q27" s="415" t="n"/>
      <c r="R27" s="416" t="n"/>
      <c r="S27" s="417" t="n"/>
      <c r="T27" s="410" t="n">
        <v>4</v>
      </c>
      <c r="U27" s="410" t="n">
        <v>1</v>
      </c>
      <c r="V27" s="410" t="n">
        <v>1</v>
      </c>
      <c r="W27" s="411" t="n"/>
      <c r="X27" s="418" t="n">
        <v>6</v>
      </c>
      <c r="Y27" t="inlineStr">
        <is>
          <t>O</t>
        </is>
      </c>
    </row>
    <row r="28" ht="15" customHeight="1" s="362">
      <c r="B28" s="27" t="n"/>
      <c r="C28" s="11" t="n"/>
      <c r="D28" s="11" t="inlineStr">
        <is>
          <t>Wk06</t>
        </is>
      </c>
      <c r="E28" s="11" t="n"/>
      <c r="F28" s="278" t="inlineStr">
        <is>
          <t>지게차 장비기사</t>
        </is>
      </c>
      <c r="G28" s="409" t="n">
        <v>82</v>
      </c>
      <c r="H28" s="410" t="n">
        <v>486</v>
      </c>
      <c r="I28" s="410" t="n">
        <v>184</v>
      </c>
      <c r="J28" s="410" t="n">
        <v>178</v>
      </c>
      <c r="K28" s="411" t="n"/>
      <c r="L28" s="412" t="n">
        <v>930</v>
      </c>
      <c r="M28" s="413" t="n"/>
      <c r="N28" s="414" t="n"/>
      <c r="O28" s="414" t="n"/>
      <c r="P28" s="414" t="n"/>
      <c r="Q28" s="415" t="n"/>
      <c r="R28" s="416" t="n"/>
      <c r="S28" s="417" t="n">
        <v>82</v>
      </c>
      <c r="T28" s="410" t="n">
        <v>486</v>
      </c>
      <c r="U28" s="410" t="n">
        <v>184</v>
      </c>
      <c r="V28" s="410" t="n">
        <v>178</v>
      </c>
      <c r="W28" s="411" t="n"/>
      <c r="X28" s="418" t="n">
        <v>930</v>
      </c>
      <c r="Y28" t="inlineStr">
        <is>
          <t>O</t>
        </is>
      </c>
    </row>
    <row r="29" ht="15" customHeight="1" s="362">
      <c r="B29" s="27" t="n"/>
      <c r="C29" s="11" t="n"/>
      <c r="D29" s="11" t="inlineStr">
        <is>
          <t>Wk07</t>
        </is>
      </c>
      <c r="E29" s="11" t="n"/>
      <c r="F29" s="278" t="inlineStr">
        <is>
          <t>펌프카 장비기사</t>
        </is>
      </c>
      <c r="G29" s="409" t="n">
        <v>43</v>
      </c>
      <c r="H29" s="410" t="n">
        <v>199</v>
      </c>
      <c r="I29" s="410" t="n">
        <v>94</v>
      </c>
      <c r="J29" s="410" t="n">
        <v>82</v>
      </c>
      <c r="K29" s="411" t="n">
        <v>9</v>
      </c>
      <c r="L29" s="412" t="n">
        <v>427</v>
      </c>
      <c r="M29" s="413" t="n"/>
      <c r="N29" s="414" t="n"/>
      <c r="O29" s="414" t="n"/>
      <c r="P29" s="414" t="n"/>
      <c r="Q29" s="415" t="n"/>
      <c r="R29" s="416" t="n"/>
      <c r="S29" s="417" t="n">
        <v>43</v>
      </c>
      <c r="T29" s="410" t="n">
        <v>199</v>
      </c>
      <c r="U29" s="410" t="n">
        <v>94</v>
      </c>
      <c r="V29" s="410" t="n">
        <v>82</v>
      </c>
      <c r="W29" s="411" t="n">
        <v>9</v>
      </c>
      <c r="X29" s="418" t="n">
        <v>427</v>
      </c>
      <c r="Y29" t="inlineStr">
        <is>
          <t>O</t>
        </is>
      </c>
    </row>
    <row r="30" ht="15" customHeight="1" s="362">
      <c r="B30" s="27" t="n"/>
      <c r="C30" s="11" t="n"/>
      <c r="D30" s="11" t="inlineStr">
        <is>
          <t>Wk08</t>
        </is>
      </c>
      <c r="E30" s="11" t="n"/>
      <c r="F30" s="278" t="inlineStr">
        <is>
          <t>기타 장비기사</t>
        </is>
      </c>
      <c r="G30" s="409" t="n">
        <v>139</v>
      </c>
      <c r="H30" s="410" t="n">
        <v>633</v>
      </c>
      <c r="I30" s="410" t="n">
        <v>362</v>
      </c>
      <c r="J30" s="410" t="n">
        <v>317</v>
      </c>
      <c r="K30" s="411" t="n"/>
      <c r="L30" s="412" t="n">
        <v>1451</v>
      </c>
      <c r="M30" s="413" t="n"/>
      <c r="N30" s="414" t="n"/>
      <c r="O30" s="414" t="n"/>
      <c r="P30" s="414" t="n"/>
      <c r="Q30" s="415" t="n"/>
      <c r="R30" s="416" t="n"/>
      <c r="S30" s="417" t="n">
        <v>139</v>
      </c>
      <c r="T30" s="410" t="n">
        <v>633</v>
      </c>
      <c r="U30" s="410" t="n">
        <v>362</v>
      </c>
      <c r="V30" s="410" t="n">
        <v>317</v>
      </c>
      <c r="W30" s="411" t="n"/>
      <c r="X30" s="418" t="n">
        <v>1451</v>
      </c>
      <c r="Y30" t="inlineStr">
        <is>
          <t>O</t>
        </is>
      </c>
    </row>
    <row r="31" ht="15" customHeight="1" s="362">
      <c r="B31" s="27" t="n"/>
      <c r="C31" s="11" t="n"/>
      <c r="D31" s="11" t="inlineStr">
        <is>
          <t>Wk12</t>
        </is>
      </c>
      <c r="E31" s="11" t="n"/>
      <c r="F31" s="278" t="inlineStr">
        <is>
          <t>견출공</t>
        </is>
      </c>
      <c r="G31" s="409" t="n">
        <v>35</v>
      </c>
      <c r="H31" s="410" t="n">
        <v>2016</v>
      </c>
      <c r="I31" s="410" t="n">
        <v>587</v>
      </c>
      <c r="J31" s="410" t="n">
        <v>278</v>
      </c>
      <c r="K31" s="411" t="n">
        <v>10</v>
      </c>
      <c r="L31" s="412" t="n">
        <v>2926</v>
      </c>
      <c r="M31" s="413" t="n"/>
      <c r="N31" s="414" t="n">
        <v>5</v>
      </c>
      <c r="O31" s="414" t="n">
        <v>4</v>
      </c>
      <c r="P31" s="414" t="n"/>
      <c r="Q31" s="415" t="n"/>
      <c r="R31" s="416" t="n">
        <v>9</v>
      </c>
      <c r="S31" s="417" t="n">
        <v>35</v>
      </c>
      <c r="T31" s="410" t="n">
        <v>2021</v>
      </c>
      <c r="U31" s="410" t="n">
        <v>591</v>
      </c>
      <c r="V31" s="410" t="n">
        <v>278</v>
      </c>
      <c r="W31" s="411" t="n">
        <v>10</v>
      </c>
      <c r="X31" s="418" t="n">
        <v>2935</v>
      </c>
      <c r="Y31" t="inlineStr">
        <is>
          <t>O</t>
        </is>
      </c>
    </row>
    <row r="32" ht="15" customHeight="1" s="362">
      <c r="B32" s="27" t="n"/>
      <c r="C32" s="11" t="n"/>
      <c r="D32" s="11" t="inlineStr">
        <is>
          <t>Wk18</t>
        </is>
      </c>
      <c r="E32" s="11" t="n"/>
      <c r="F32" s="278" t="inlineStr">
        <is>
          <t>데크공</t>
        </is>
      </c>
      <c r="G32" s="409" t="n"/>
      <c r="H32" s="410" t="n">
        <v>14</v>
      </c>
      <c r="I32" s="410" t="n"/>
      <c r="J32" s="410" t="n"/>
      <c r="K32" s="411" t="n"/>
      <c r="L32" s="412" t="n">
        <v>14</v>
      </c>
      <c r="M32" s="413" t="n"/>
      <c r="N32" s="414" t="n"/>
      <c r="O32" s="414" t="n"/>
      <c r="P32" s="414" t="n"/>
      <c r="Q32" s="415" t="n"/>
      <c r="R32" s="416" t="n"/>
      <c r="S32" s="417" t="n"/>
      <c r="T32" s="410" t="n">
        <v>14</v>
      </c>
      <c r="U32" s="410" t="n"/>
      <c r="V32" s="410" t="n"/>
      <c r="W32" s="411" t="n"/>
      <c r="X32" s="418" t="n">
        <v>14</v>
      </c>
      <c r="Y32" t="inlineStr">
        <is>
          <t>O</t>
        </is>
      </c>
    </row>
    <row r="33" ht="15" customHeight="1" s="362">
      <c r="B33" s="27" t="n"/>
      <c r="C33" s="11" t="n"/>
      <c r="D33" s="11" t="inlineStr">
        <is>
          <t>Wk20</t>
        </is>
      </c>
      <c r="E33" s="11" t="n"/>
      <c r="F33" s="278" t="inlineStr">
        <is>
          <t>미장공</t>
        </is>
      </c>
      <c r="G33" s="409" t="n"/>
      <c r="H33" s="410" t="n">
        <v>549</v>
      </c>
      <c r="I33" s="410" t="n"/>
      <c r="J33" s="410" t="n">
        <v>27</v>
      </c>
      <c r="K33" s="411" t="n">
        <v>591</v>
      </c>
      <c r="L33" s="412" t="n">
        <v>1167</v>
      </c>
      <c r="M33" s="413" t="n"/>
      <c r="N33" s="414" t="n"/>
      <c r="O33" s="414" t="n"/>
      <c r="P33" s="414" t="n"/>
      <c r="Q33" s="415" t="n"/>
      <c r="R33" s="416" t="n"/>
      <c r="S33" s="417" t="n"/>
      <c r="T33" s="410" t="n">
        <v>549</v>
      </c>
      <c r="U33" s="410" t="n"/>
      <c r="V33" s="410" t="n">
        <v>27</v>
      </c>
      <c r="W33" s="411" t="n">
        <v>591</v>
      </c>
      <c r="X33" s="418" t="n">
        <v>1167</v>
      </c>
      <c r="Y33" t="inlineStr">
        <is>
          <t>O</t>
        </is>
      </c>
    </row>
    <row r="34" ht="15" customHeight="1" s="362">
      <c r="B34" s="27" t="n"/>
      <c r="C34" s="11" t="n"/>
      <c r="D34" s="11" t="inlineStr">
        <is>
          <t>Wk24</t>
        </is>
      </c>
      <c r="E34" s="11" t="n"/>
      <c r="F34" s="278" t="inlineStr">
        <is>
          <t>비계공</t>
        </is>
      </c>
      <c r="G34" s="409" t="n">
        <v>174</v>
      </c>
      <c r="H34" s="410" t="n">
        <v>2754</v>
      </c>
      <c r="I34" s="410" t="n">
        <v>829</v>
      </c>
      <c r="J34" s="410" t="n">
        <v>651</v>
      </c>
      <c r="K34" s="411" t="n"/>
      <c r="L34" s="412" t="n">
        <v>4408</v>
      </c>
      <c r="M34" s="413" t="n"/>
      <c r="N34" s="414" t="n">
        <v>2</v>
      </c>
      <c r="O34" s="414" t="n">
        <v>2</v>
      </c>
      <c r="P34" s="414" t="n">
        <v>2</v>
      </c>
      <c r="Q34" s="415" t="n"/>
      <c r="R34" s="416" t="n">
        <v>6</v>
      </c>
      <c r="S34" s="417" t="n">
        <v>174</v>
      </c>
      <c r="T34" s="410" t="n">
        <v>2756</v>
      </c>
      <c r="U34" s="410" t="n">
        <v>831</v>
      </c>
      <c r="V34" s="410" t="n">
        <v>653</v>
      </c>
      <c r="W34" s="411" t="n"/>
      <c r="X34" s="418" t="n">
        <v>4414</v>
      </c>
      <c r="Y34" t="inlineStr">
        <is>
          <t>O</t>
        </is>
      </c>
    </row>
    <row r="35" ht="15" customHeight="1" s="362">
      <c r="B35" s="27" t="n"/>
      <c r="C35" s="11" t="n"/>
      <c r="D35" s="11" t="inlineStr">
        <is>
          <t>Wk27</t>
        </is>
      </c>
      <c r="E35" s="11" t="n"/>
      <c r="F35" s="278" t="inlineStr">
        <is>
          <t>신호수</t>
        </is>
      </c>
      <c r="G35" s="409" t="n">
        <v>60</v>
      </c>
      <c r="H35" s="410" t="n">
        <v>500</v>
      </c>
      <c r="I35" s="410" t="n">
        <v>130</v>
      </c>
      <c r="J35" s="410" t="n">
        <v>234</v>
      </c>
      <c r="K35" s="411" t="n"/>
      <c r="L35" s="412" t="n">
        <v>924</v>
      </c>
      <c r="M35" s="413" t="n"/>
      <c r="N35" s="414" t="n"/>
      <c r="O35" s="414" t="n"/>
      <c r="P35" s="414" t="n"/>
      <c r="Q35" s="415" t="n"/>
      <c r="R35" s="416" t="n"/>
      <c r="S35" s="417" t="n">
        <v>60</v>
      </c>
      <c r="T35" s="410" t="n">
        <v>500</v>
      </c>
      <c r="U35" s="410" t="n">
        <v>130</v>
      </c>
      <c r="V35" s="410" t="n">
        <v>234</v>
      </c>
      <c r="W35" s="411" t="n"/>
      <c r="X35" s="418" t="n">
        <v>924</v>
      </c>
      <c r="Y35" t="inlineStr">
        <is>
          <t>O</t>
        </is>
      </c>
    </row>
    <row r="36" ht="15" customHeight="1" s="362">
      <c r="B36" s="27" t="n"/>
      <c r="C36" s="11" t="n"/>
      <c r="D36" s="11" t="inlineStr">
        <is>
          <t>Wk34</t>
        </is>
      </c>
      <c r="E36" s="11" t="n"/>
      <c r="F36" s="278" t="inlineStr">
        <is>
          <t>유도원</t>
        </is>
      </c>
      <c r="G36" s="409" t="n">
        <v>292</v>
      </c>
      <c r="H36" s="410" t="n">
        <v>2821</v>
      </c>
      <c r="I36" s="410" t="n">
        <v>971</v>
      </c>
      <c r="J36" s="410" t="n">
        <v>968</v>
      </c>
      <c r="K36" s="411" t="n">
        <v>29</v>
      </c>
      <c r="L36" s="412" t="n">
        <v>5081</v>
      </c>
      <c r="M36" s="413" t="n"/>
      <c r="N36" s="414" t="n">
        <v>3</v>
      </c>
      <c r="O36" s="414" t="n">
        <v>2</v>
      </c>
      <c r="P36" s="414" t="n">
        <v>3</v>
      </c>
      <c r="Q36" s="415" t="n"/>
      <c r="R36" s="416" t="n">
        <v>8</v>
      </c>
      <c r="S36" s="417" t="n">
        <v>292</v>
      </c>
      <c r="T36" s="410" t="n">
        <v>2824</v>
      </c>
      <c r="U36" s="410" t="n">
        <v>973</v>
      </c>
      <c r="V36" s="410" t="n">
        <v>971</v>
      </c>
      <c r="W36" s="411" t="n">
        <v>29</v>
      </c>
      <c r="X36" s="418" t="n">
        <v>5089</v>
      </c>
      <c r="Y36" t="inlineStr">
        <is>
          <t>O</t>
        </is>
      </c>
    </row>
    <row r="37" ht="15" customHeight="1" s="362">
      <c r="B37" s="27" t="n"/>
      <c r="C37" s="11" t="n"/>
      <c r="D37" s="11" t="inlineStr">
        <is>
          <t>Wk39</t>
        </is>
      </c>
      <c r="E37" s="11" t="n"/>
      <c r="F37" s="278" t="inlineStr">
        <is>
          <t>철골공</t>
        </is>
      </c>
      <c r="G37" s="409" t="n"/>
      <c r="H37" s="410" t="n"/>
      <c r="I37" s="410" t="n">
        <v>9</v>
      </c>
      <c r="J37" s="410" t="n"/>
      <c r="K37" s="411" t="n"/>
      <c r="L37" s="412" t="n">
        <v>9</v>
      </c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>
        <v>9</v>
      </c>
      <c r="V37" s="410" t="n"/>
      <c r="W37" s="411" t="n"/>
      <c r="X37" s="418" t="n">
        <v>9</v>
      </c>
      <c r="Y37" t="inlineStr">
        <is>
          <t>O</t>
        </is>
      </c>
    </row>
    <row r="38" ht="15" customHeight="1" s="362">
      <c r="B38" s="27" t="n"/>
      <c r="C38" s="11" t="n"/>
      <c r="D38" s="11" t="inlineStr">
        <is>
          <t>Wk40</t>
        </is>
      </c>
      <c r="E38" s="11" t="n"/>
      <c r="F38" s="278" t="inlineStr">
        <is>
          <t>철근공</t>
        </is>
      </c>
      <c r="G38" s="409" t="n">
        <v>1925</v>
      </c>
      <c r="H38" s="410" t="n">
        <v>10213</v>
      </c>
      <c r="I38" s="410" t="n">
        <v>2681</v>
      </c>
      <c r="J38" s="410" t="n">
        <v>4310</v>
      </c>
      <c r="K38" s="411" t="n"/>
      <c r="L38" s="412" t="n">
        <v>19129</v>
      </c>
      <c r="M38" s="413" t="n"/>
      <c r="N38" s="414" t="n">
        <v>4</v>
      </c>
      <c r="O38" s="414" t="n">
        <v>4</v>
      </c>
      <c r="P38" s="414" t="n">
        <v>4</v>
      </c>
      <c r="Q38" s="415" t="n"/>
      <c r="R38" s="416" t="n">
        <v>12</v>
      </c>
      <c r="S38" s="417" t="n">
        <v>1925</v>
      </c>
      <c r="T38" s="410" t="n">
        <v>10217</v>
      </c>
      <c r="U38" s="410" t="n">
        <v>2685</v>
      </c>
      <c r="V38" s="410" t="n">
        <v>4314</v>
      </c>
      <c r="W38" s="411" t="n"/>
      <c r="X38" s="418" t="n">
        <v>19141</v>
      </c>
      <c r="Y38" t="inlineStr">
        <is>
          <t>O</t>
        </is>
      </c>
    </row>
    <row r="39" ht="15" customHeight="1" s="362">
      <c r="B39" s="27" t="n"/>
      <c r="C39" s="11" t="n"/>
      <c r="D39" s="11" t="inlineStr">
        <is>
          <t>Wk42</t>
        </is>
      </c>
      <c r="E39" s="11" t="n"/>
      <c r="F39" s="278" t="inlineStr">
        <is>
          <t>타설공</t>
        </is>
      </c>
      <c r="G39" s="409" t="n">
        <v>236</v>
      </c>
      <c r="H39" s="410" t="n">
        <v>2031</v>
      </c>
      <c r="I39" s="410" t="n">
        <v>921</v>
      </c>
      <c r="J39" s="410" t="n">
        <v>746</v>
      </c>
      <c r="K39" s="411" t="n">
        <v>91</v>
      </c>
      <c r="L39" s="412" t="n">
        <v>4025</v>
      </c>
      <c r="M39" s="413" t="n"/>
      <c r="N39" s="414" t="n">
        <v>7</v>
      </c>
      <c r="O39" s="414" t="n">
        <v>7</v>
      </c>
      <c r="P39" s="414" t="n">
        <v>7</v>
      </c>
      <c r="Q39" s="415" t="n"/>
      <c r="R39" s="416" t="n">
        <v>21</v>
      </c>
      <c r="S39" s="417" t="n">
        <v>236</v>
      </c>
      <c r="T39" s="410" t="n">
        <v>2038</v>
      </c>
      <c r="U39" s="410" t="n">
        <v>928</v>
      </c>
      <c r="V39" s="410" t="n">
        <v>753</v>
      </c>
      <c r="W39" s="411" t="n">
        <v>91</v>
      </c>
      <c r="X39" s="418" t="n">
        <v>4046</v>
      </c>
      <c r="Y39" t="inlineStr">
        <is>
          <t>O</t>
        </is>
      </c>
    </row>
    <row r="40" ht="15" customHeight="1" s="362">
      <c r="B40" s="27" t="n"/>
      <c r="C40" s="11" t="n"/>
      <c r="D40" s="11" t="inlineStr">
        <is>
          <t>Wk46</t>
        </is>
      </c>
      <c r="E40" s="11" t="n"/>
      <c r="F40" s="278" t="inlineStr">
        <is>
          <t>해체공</t>
        </is>
      </c>
      <c r="G40" s="409" t="n">
        <v>4</v>
      </c>
      <c r="H40" s="410" t="n">
        <v>19</v>
      </c>
      <c r="I40" s="410" t="n">
        <v>15</v>
      </c>
      <c r="J40" s="410" t="n">
        <v>1</v>
      </c>
      <c r="K40" s="411" t="n"/>
      <c r="L40" s="412" t="n">
        <v>39</v>
      </c>
      <c r="M40" s="413" t="n"/>
      <c r="N40" s="414" t="n">
        <v>2</v>
      </c>
      <c r="O40" s="414" t="n">
        <v>2</v>
      </c>
      <c r="P40" s="414" t="n">
        <v>1</v>
      </c>
      <c r="Q40" s="415" t="n"/>
      <c r="R40" s="416" t="n">
        <v>5</v>
      </c>
      <c r="S40" s="417" t="n">
        <v>4</v>
      </c>
      <c r="T40" s="410" t="n">
        <v>21</v>
      </c>
      <c r="U40" s="410" t="n">
        <v>17</v>
      </c>
      <c r="V40" s="410" t="n">
        <v>2</v>
      </c>
      <c r="W40" s="411" t="n"/>
      <c r="X40" s="418" t="n">
        <v>44</v>
      </c>
      <c r="Y40" t="inlineStr">
        <is>
          <t>O</t>
        </is>
      </c>
    </row>
    <row r="41" ht="15" customHeight="1" s="362">
      <c r="B41" s="27" t="n"/>
      <c r="C41" s="11" t="n"/>
      <c r="D41" s="11" t="inlineStr">
        <is>
          <t>Wk48</t>
        </is>
      </c>
      <c r="E41" s="11" t="n"/>
      <c r="F41" s="278" t="inlineStr">
        <is>
          <t>형틀공</t>
        </is>
      </c>
      <c r="G41" s="409" t="n">
        <v>1783</v>
      </c>
      <c r="H41" s="410" t="n">
        <v>6172</v>
      </c>
      <c r="I41" s="410" t="n">
        <v>1989</v>
      </c>
      <c r="J41" s="410" t="n">
        <v>1519</v>
      </c>
      <c r="K41" s="411" t="n">
        <v>15</v>
      </c>
      <c r="L41" s="412" t="n">
        <v>11478</v>
      </c>
      <c r="M41" s="413" t="n"/>
      <c r="N41" s="414" t="n">
        <v>6</v>
      </c>
      <c r="O41" s="414" t="n">
        <v>6</v>
      </c>
      <c r="P41" s="414" t="n">
        <v>6</v>
      </c>
      <c r="Q41" s="415" t="n"/>
      <c r="R41" s="416" t="n">
        <v>18</v>
      </c>
      <c r="S41" s="417" t="n">
        <v>1783</v>
      </c>
      <c r="T41" s="410" t="n">
        <v>6178</v>
      </c>
      <c r="U41" s="410" t="n">
        <v>1995</v>
      </c>
      <c r="V41" s="410" t="n">
        <v>1525</v>
      </c>
      <c r="W41" s="411" t="n">
        <v>15</v>
      </c>
      <c r="X41" s="418" t="n">
        <v>11496</v>
      </c>
      <c r="Y41" t="inlineStr">
        <is>
          <t>O</t>
        </is>
      </c>
    </row>
    <row r="42" ht="15" customHeight="1" s="362">
      <c r="B42" s="27" t="n"/>
      <c r="C42" s="11" t="n"/>
      <c r="D42" s="11" t="inlineStr">
        <is>
          <t>Wk64</t>
        </is>
      </c>
      <c r="E42" s="11" t="n"/>
      <c r="F42" s="278" t="inlineStr">
        <is>
          <t>일반공</t>
        </is>
      </c>
      <c r="G42" s="409" t="n">
        <v>245</v>
      </c>
      <c r="H42" s="410" t="n">
        <v>1346</v>
      </c>
      <c r="I42" s="410" t="n">
        <v>694</v>
      </c>
      <c r="J42" s="410" t="n">
        <v>303</v>
      </c>
      <c r="K42" s="411" t="n"/>
      <c r="L42" s="412" t="n">
        <v>2588</v>
      </c>
      <c r="M42" s="413" t="n"/>
      <c r="N42" s="414" t="n"/>
      <c r="O42" s="414" t="n"/>
      <c r="P42" s="414" t="n"/>
      <c r="Q42" s="415" t="n"/>
      <c r="R42" s="416" t="n"/>
      <c r="S42" s="417" t="n">
        <v>245</v>
      </c>
      <c r="T42" s="410" t="n">
        <v>1346</v>
      </c>
      <c r="U42" s="410" t="n">
        <v>694</v>
      </c>
      <c r="V42" s="410" t="n">
        <v>303</v>
      </c>
      <c r="W42" s="411" t="n"/>
      <c r="X42" s="418" t="n">
        <v>2588</v>
      </c>
      <c r="Y42" t="inlineStr">
        <is>
          <t>O</t>
        </is>
      </c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19" t="n"/>
      <c r="C87" s="373" t="n"/>
      <c r="D87" s="373" t="n"/>
      <c r="E87" s="373" t="n"/>
      <c r="F87" s="420" t="n"/>
      <c r="G87" s="421" t="n"/>
      <c r="H87" s="422" t="n"/>
      <c r="I87" s="422" t="n"/>
      <c r="J87" s="422" t="n"/>
      <c r="K87" s="423" t="n"/>
      <c r="L87" s="424" t="n"/>
      <c r="M87" s="425" t="n"/>
      <c r="N87" s="422" t="n"/>
      <c r="O87" s="422" t="n"/>
      <c r="P87" s="422" t="n"/>
      <c r="Q87" s="423" t="n"/>
      <c r="R87" s="424" t="n"/>
      <c r="S87" s="425" t="n"/>
      <c r="T87" s="422" t="n"/>
      <c r="U87" s="422" t="n"/>
      <c r="V87" s="422" t="n"/>
      <c r="W87" s="423" t="n"/>
      <c r="X87" s="426" t="n"/>
    </row>
    <row r="88" ht="15" customHeight="1" s="362">
      <c r="B88" s="419" t="n"/>
      <c r="C88" s="373" t="n"/>
      <c r="D88" s="373" t="n"/>
      <c r="E88" s="373" t="n"/>
      <c r="F88" s="420" t="n"/>
      <c r="G88" s="421" t="n"/>
      <c r="H88" s="422" t="n"/>
      <c r="I88" s="422" t="n"/>
      <c r="J88" s="422" t="n"/>
      <c r="K88" s="423" t="n"/>
      <c r="L88" s="424" t="n"/>
      <c r="M88" s="425" t="n"/>
      <c r="N88" s="422" t="n"/>
      <c r="O88" s="422" t="n"/>
      <c r="P88" s="422" t="n"/>
      <c r="Q88" s="423" t="n"/>
      <c r="R88" s="424" t="n"/>
      <c r="S88" s="425" t="n"/>
      <c r="T88" s="422" t="n"/>
      <c r="U88" s="422" t="n"/>
      <c r="V88" s="422" t="n"/>
      <c r="W88" s="423" t="n"/>
      <c r="X88" s="426" t="n"/>
    </row>
    <row r="89" ht="15" customHeight="1" s="362">
      <c r="B89" s="28" t="n"/>
      <c r="C89" s="12" t="n"/>
      <c r="D89" s="12" t="n"/>
      <c r="E89" s="12" t="n"/>
      <c r="F89" s="30" t="n"/>
      <c r="G89" s="427" t="n"/>
      <c r="H89" s="428" t="n"/>
      <c r="I89" s="428" t="n"/>
      <c r="J89" s="428" t="n"/>
      <c r="K89" s="429" t="n"/>
      <c r="L89" s="430" t="n"/>
      <c r="M89" s="431" t="n"/>
      <c r="N89" s="428" t="n"/>
      <c r="O89" s="428" t="n"/>
      <c r="P89" s="428" t="n"/>
      <c r="Q89" s="429" t="n"/>
      <c r="R89" s="430" t="n"/>
      <c r="S89" s="431" t="n"/>
      <c r="T89" s="428" t="n"/>
      <c r="U89" s="428" t="n"/>
      <c r="V89" s="428" t="n"/>
      <c r="W89" s="429" t="n"/>
      <c r="X89" s="43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33" t="inlineStr">
        <is>
          <t>PH_X-001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34" t="n"/>
      <c r="H6" s="435" t="n"/>
      <c r="I6" s="435" t="n"/>
      <c r="J6" s="435" t="n"/>
      <c r="K6" s="436" t="n"/>
      <c r="L6" s="437" t="n"/>
      <c r="M6" s="438" t="n"/>
      <c r="N6" s="439" t="n"/>
      <c r="O6" s="439" t="n"/>
      <c r="P6" s="439" t="n"/>
      <c r="Q6" s="440" t="n"/>
      <c r="R6" s="441" t="n"/>
      <c r="S6" s="442" t="n"/>
      <c r="T6" s="435" t="n"/>
      <c r="U6" s="435" t="n"/>
      <c r="V6" s="435" t="n"/>
      <c r="W6" s="436" t="n"/>
      <c r="X6" s="437" t="n"/>
      <c r="Y6" t="inlineStr">
        <is>
          <t>O</t>
        </is>
      </c>
    </row>
    <row r="7">
      <c r="B7" s="27" t="n"/>
      <c r="C7" s="11" t="inlineStr">
        <is>
          <t>남웅건설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4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3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34" t="n"/>
      <c r="H8" s="435" t="n"/>
      <c r="I8" s="435" t="n"/>
      <c r="J8" s="435" t="n"/>
      <c r="K8" s="436" t="n"/>
      <c r="L8" s="437" t="n"/>
      <c r="M8" s="438" t="n"/>
      <c r="N8" s="439" t="n"/>
      <c r="O8" s="439" t="n"/>
      <c r="P8" s="439" t="n"/>
      <c r="Q8" s="440" t="n"/>
      <c r="R8" s="441" t="n"/>
      <c r="S8" s="442" t="n"/>
      <c r="T8" s="435" t="n"/>
      <c r="U8" s="435" t="n"/>
      <c r="V8" s="435" t="n"/>
      <c r="W8" s="436" t="n"/>
      <c r="X8" s="437" t="n"/>
      <c r="Y8" t="inlineStr">
        <is>
          <t>O</t>
        </is>
      </c>
    </row>
    <row r="9">
      <c r="B9" s="26" t="n"/>
      <c r="C9" s="433" t="n"/>
      <c r="D9" s="277" t="inlineStr">
        <is>
          <t>크레인류</t>
        </is>
      </c>
      <c r="E9" s="279" t="inlineStr">
        <is>
          <t>Crane</t>
        </is>
      </c>
      <c r="F9" s="277" t="inlineStr">
        <is>
          <t>30 Ton 이하</t>
        </is>
      </c>
      <c r="G9" s="434" t="n">
        <v>1</v>
      </c>
      <c r="H9" s="435" t="n">
        <v>37</v>
      </c>
      <c r="I9" s="435" t="n">
        <v>7</v>
      </c>
      <c r="J9" s="435" t="n">
        <v>8</v>
      </c>
      <c r="K9" s="436" t="n">
        <v>2</v>
      </c>
      <c r="L9" s="437" t="n">
        <v>55</v>
      </c>
      <c r="M9" s="438" t="n"/>
      <c r="N9" s="439" t="n"/>
      <c r="O9" s="439" t="n"/>
      <c r="P9" s="439" t="n"/>
      <c r="Q9" s="440" t="n"/>
      <c r="R9" s="441" t="n"/>
      <c r="S9" s="442" t="n">
        <v>1</v>
      </c>
      <c r="T9" s="435" t="n">
        <v>37</v>
      </c>
      <c r="U9" s="435" t="n">
        <v>7</v>
      </c>
      <c r="V9" s="435" t="n">
        <v>8</v>
      </c>
      <c r="W9" s="436" t="n">
        <v>2</v>
      </c>
      <c r="X9" s="437" t="n">
        <v>55</v>
      </c>
      <c r="Y9" t="inlineStr">
        <is>
          <t>O</t>
        </is>
      </c>
    </row>
    <row r="10">
      <c r="B10" s="26" t="n"/>
      <c r="C10" s="433" t="n"/>
      <c r="D10" s="277" t="inlineStr">
        <is>
          <t>크레인류</t>
        </is>
      </c>
      <c r="E10" s="279" t="inlineStr">
        <is>
          <t>Crane</t>
        </is>
      </c>
      <c r="F10" s="277" t="inlineStr">
        <is>
          <t>30 Ton &gt; 70 Ton</t>
        </is>
      </c>
      <c r="G10" s="434" t="n">
        <v>215</v>
      </c>
      <c r="H10" s="435" t="n">
        <v>397</v>
      </c>
      <c r="I10" s="435" t="n">
        <v>146</v>
      </c>
      <c r="J10" s="435" t="n">
        <v>157</v>
      </c>
      <c r="K10" s="436" t="n">
        <v>7</v>
      </c>
      <c r="L10" s="437" t="n">
        <v>922</v>
      </c>
      <c r="M10" s="438" t="n"/>
      <c r="N10" s="439" t="n"/>
      <c r="O10" s="439" t="n"/>
      <c r="P10" s="439" t="n"/>
      <c r="Q10" s="440" t="n"/>
      <c r="R10" s="441" t="n"/>
      <c r="S10" s="442" t="n">
        <v>215</v>
      </c>
      <c r="T10" s="435" t="n">
        <v>397</v>
      </c>
      <c r="U10" s="435" t="n">
        <v>146</v>
      </c>
      <c r="V10" s="435" t="n">
        <v>157</v>
      </c>
      <c r="W10" s="436" t="n">
        <v>7</v>
      </c>
      <c r="X10" s="437" t="n">
        <v>922</v>
      </c>
      <c r="Y10" t="inlineStr">
        <is>
          <t>O</t>
        </is>
      </c>
    </row>
    <row r="11">
      <c r="B11" s="26" t="n"/>
      <c r="C11" s="433" t="n"/>
      <c r="D11" s="277" t="inlineStr">
        <is>
          <t>크레인류</t>
        </is>
      </c>
      <c r="E11" s="279" t="inlineStr">
        <is>
          <t>Crane</t>
        </is>
      </c>
      <c r="F11" s="277" t="inlineStr">
        <is>
          <t>70 Ton &gt; 100 Ton</t>
        </is>
      </c>
      <c r="G11" s="434" t="n">
        <v>32</v>
      </c>
      <c r="H11" s="435" t="n">
        <v>61</v>
      </c>
      <c r="I11" s="435" t="n">
        <v>15</v>
      </c>
      <c r="J11" s="435" t="n">
        <v>31</v>
      </c>
      <c r="K11" s="436" t="n">
        <v>5</v>
      </c>
      <c r="L11" s="437" t="n">
        <v>144</v>
      </c>
      <c r="M11" s="438" t="n"/>
      <c r="N11" s="439" t="n"/>
      <c r="O11" s="439" t="n"/>
      <c r="P11" s="439" t="n"/>
      <c r="Q11" s="440" t="n"/>
      <c r="R11" s="441" t="n"/>
      <c r="S11" s="442" t="n">
        <v>32</v>
      </c>
      <c r="T11" s="435" t="n">
        <v>61</v>
      </c>
      <c r="U11" s="435" t="n">
        <v>15</v>
      </c>
      <c r="V11" s="435" t="n">
        <v>31</v>
      </c>
      <c r="W11" s="436" t="n">
        <v>5</v>
      </c>
      <c r="X11" s="437" t="n">
        <v>144</v>
      </c>
      <c r="Y11" t="inlineStr">
        <is>
          <t>O</t>
        </is>
      </c>
    </row>
    <row r="12">
      <c r="B12" s="26" t="n"/>
      <c r="C12" s="43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100 Ton &gt; 200 Ton</t>
        </is>
      </c>
      <c r="G12" s="434" t="n">
        <v>9</v>
      </c>
      <c r="H12" s="435" t="n">
        <v>15</v>
      </c>
      <c r="I12" s="435" t="n">
        <v>7</v>
      </c>
      <c r="J12" s="435" t="n">
        <v>4</v>
      </c>
      <c r="K12" s="436" t="n">
        <v>1</v>
      </c>
      <c r="L12" s="437" t="n">
        <v>36</v>
      </c>
      <c r="M12" s="438" t="n"/>
      <c r="N12" s="439" t="n"/>
      <c r="O12" s="439" t="n"/>
      <c r="P12" s="439" t="n"/>
      <c r="Q12" s="440" t="n"/>
      <c r="R12" s="441" t="n"/>
      <c r="S12" s="442" t="n">
        <v>9</v>
      </c>
      <c r="T12" s="435" t="n">
        <v>15</v>
      </c>
      <c r="U12" s="435" t="n">
        <v>7</v>
      </c>
      <c r="V12" s="435" t="n">
        <v>4</v>
      </c>
      <c r="W12" s="436" t="n">
        <v>1</v>
      </c>
      <c r="X12" s="437" t="n">
        <v>36</v>
      </c>
      <c r="Y12" t="inlineStr">
        <is>
          <t>O</t>
        </is>
      </c>
    </row>
    <row r="13">
      <c r="B13" s="26" t="n"/>
      <c r="C13" s="43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200 Ton &gt; 300 Ton</t>
        </is>
      </c>
      <c r="G13" s="434" t="n">
        <v>30</v>
      </c>
      <c r="H13" s="435" t="n">
        <v>172</v>
      </c>
      <c r="I13" s="435" t="n">
        <v>82</v>
      </c>
      <c r="J13" s="435" t="n">
        <v>24</v>
      </c>
      <c r="K13" s="436" t="n">
        <v>3</v>
      </c>
      <c r="L13" s="437" t="n">
        <v>311</v>
      </c>
      <c r="M13" s="438" t="n"/>
      <c r="N13" s="439" t="n"/>
      <c r="O13" s="439" t="n"/>
      <c r="P13" s="439" t="n"/>
      <c r="Q13" s="440" t="n"/>
      <c r="R13" s="441" t="n"/>
      <c r="S13" s="442" t="n">
        <v>30</v>
      </c>
      <c r="T13" s="435" t="n">
        <v>172</v>
      </c>
      <c r="U13" s="435" t="n">
        <v>82</v>
      </c>
      <c r="V13" s="435" t="n">
        <v>24</v>
      </c>
      <c r="W13" s="436" t="n">
        <v>3</v>
      </c>
      <c r="X13" s="437" t="n">
        <v>311</v>
      </c>
      <c r="Y13" t="inlineStr">
        <is>
          <t>O</t>
        </is>
      </c>
    </row>
    <row r="14">
      <c r="B14" s="26" t="n"/>
      <c r="C14" s="43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300 Ton 초과</t>
        </is>
      </c>
      <c r="G14" s="434" t="n">
        <v>2</v>
      </c>
      <c r="H14" s="435" t="n">
        <v>20</v>
      </c>
      <c r="I14" s="435" t="n">
        <v>8</v>
      </c>
      <c r="J14" s="435" t="n">
        <v>3</v>
      </c>
      <c r="K14" s="436" t="n"/>
      <c r="L14" s="437" t="n">
        <v>33</v>
      </c>
      <c r="M14" s="438" t="n"/>
      <c r="N14" s="439" t="n"/>
      <c r="O14" s="439" t="n"/>
      <c r="P14" s="439" t="n"/>
      <c r="Q14" s="440" t="n"/>
      <c r="R14" s="441" t="n"/>
      <c r="S14" s="442" t="n">
        <v>2</v>
      </c>
      <c r="T14" s="435" t="n">
        <v>20</v>
      </c>
      <c r="U14" s="435" t="n">
        <v>8</v>
      </c>
      <c r="V14" s="435" t="n">
        <v>3</v>
      </c>
      <c r="W14" s="436" t="n"/>
      <c r="X14" s="437" t="n">
        <v>33</v>
      </c>
      <c r="Y14" t="inlineStr">
        <is>
          <t>O</t>
        </is>
      </c>
    </row>
    <row r="15">
      <c r="B15" s="26" t="n"/>
      <c r="C15" s="433" t="n"/>
      <c r="D15" s="277" t="inlineStr">
        <is>
          <t>크레인류</t>
        </is>
      </c>
      <c r="E15" s="279" t="inlineStr">
        <is>
          <t>Tower Crane</t>
        </is>
      </c>
      <c r="F15" s="277" t="inlineStr">
        <is>
          <t>Tower Crane</t>
        </is>
      </c>
      <c r="G15" s="434" t="n">
        <v>117</v>
      </c>
      <c r="H15" s="435" t="n">
        <v>553</v>
      </c>
      <c r="I15" s="435" t="n">
        <v>143</v>
      </c>
      <c r="J15" s="435" t="n">
        <v>108</v>
      </c>
      <c r="K15" s="436" t="n">
        <v>2</v>
      </c>
      <c r="L15" s="437" t="n">
        <v>923</v>
      </c>
      <c r="M15" s="438" t="n"/>
      <c r="N15" s="439" t="n"/>
      <c r="O15" s="439" t="n"/>
      <c r="P15" s="439" t="n"/>
      <c r="Q15" s="440" t="n"/>
      <c r="R15" s="441" t="n"/>
      <c r="S15" s="442" t="n">
        <v>117</v>
      </c>
      <c r="T15" s="435" t="n">
        <v>553</v>
      </c>
      <c r="U15" s="435" t="n">
        <v>143</v>
      </c>
      <c r="V15" s="435" t="n">
        <v>108</v>
      </c>
      <c r="W15" s="436" t="n">
        <v>2</v>
      </c>
      <c r="X15" s="437" t="n">
        <v>923</v>
      </c>
      <c r="Y15" t="inlineStr">
        <is>
          <t>O</t>
        </is>
      </c>
    </row>
    <row r="16">
      <c r="B16" s="26" t="n"/>
      <c r="C16" s="433" t="n"/>
      <c r="D16" s="277" t="inlineStr">
        <is>
          <t>운반기계류</t>
        </is>
      </c>
      <c r="E16" s="279" t="inlineStr">
        <is>
          <t>지게차</t>
        </is>
      </c>
      <c r="F16" s="277" t="inlineStr">
        <is>
          <t>지게차</t>
        </is>
      </c>
      <c r="G16" s="434" t="n">
        <v>249</v>
      </c>
      <c r="H16" s="435" t="n">
        <v>975</v>
      </c>
      <c r="I16" s="435" t="n">
        <v>501</v>
      </c>
      <c r="J16" s="435" t="n">
        <v>348</v>
      </c>
      <c r="K16" s="436" t="n">
        <v>42</v>
      </c>
      <c r="L16" s="437" t="n">
        <v>2115</v>
      </c>
      <c r="M16" s="438" t="n"/>
      <c r="N16" s="439" t="n"/>
      <c r="O16" s="439" t="n"/>
      <c r="P16" s="439" t="n"/>
      <c r="Q16" s="440" t="n"/>
      <c r="R16" s="441" t="n"/>
      <c r="S16" s="442" t="n">
        <v>249</v>
      </c>
      <c r="T16" s="435" t="n">
        <v>975</v>
      </c>
      <c r="U16" s="435" t="n">
        <v>501</v>
      </c>
      <c r="V16" s="435" t="n">
        <v>348</v>
      </c>
      <c r="W16" s="436" t="n">
        <v>42</v>
      </c>
      <c r="X16" s="437" t="n">
        <v>2115</v>
      </c>
      <c r="Y16" t="inlineStr">
        <is>
          <t>O</t>
        </is>
      </c>
    </row>
    <row r="17">
      <c r="B17" s="26" t="n"/>
      <c r="C17" s="433" t="n"/>
      <c r="D17" s="277" t="inlineStr">
        <is>
          <t>운반기계류</t>
        </is>
      </c>
      <c r="E17" s="279" t="inlineStr">
        <is>
          <t>전동지게차</t>
        </is>
      </c>
      <c r="F17" s="277" t="inlineStr">
        <is>
          <t>전동지게차</t>
        </is>
      </c>
      <c r="G17" s="434" t="n">
        <v>13</v>
      </c>
      <c r="H17" s="435" t="n">
        <v>23</v>
      </c>
      <c r="I17" s="435" t="n">
        <v>4</v>
      </c>
      <c r="J17" s="435" t="n">
        <v>3</v>
      </c>
      <c r="K17" s="436" t="n"/>
      <c r="L17" s="437" t="n">
        <v>43</v>
      </c>
      <c r="M17" s="438" t="n"/>
      <c r="N17" s="439" t="n"/>
      <c r="O17" s="439" t="n"/>
      <c r="P17" s="439" t="n"/>
      <c r="Q17" s="440" t="n"/>
      <c r="R17" s="441" t="n"/>
      <c r="S17" s="442" t="n">
        <v>13</v>
      </c>
      <c r="T17" s="435" t="n">
        <v>23</v>
      </c>
      <c r="U17" s="435" t="n">
        <v>4</v>
      </c>
      <c r="V17" s="435" t="n">
        <v>3</v>
      </c>
      <c r="W17" s="436" t="n"/>
      <c r="X17" s="437" t="n">
        <v>43</v>
      </c>
      <c r="Y17" t="inlineStr">
        <is>
          <t>O</t>
        </is>
      </c>
    </row>
    <row r="18">
      <c r="B18" s="26" t="n"/>
      <c r="C18" s="433" t="n"/>
      <c r="D18" s="277" t="inlineStr">
        <is>
          <t>콘크리트 기계류</t>
        </is>
      </c>
      <c r="E18" s="279" t="inlineStr">
        <is>
          <t>펌프카</t>
        </is>
      </c>
      <c r="F18" s="277" t="inlineStr">
        <is>
          <t>35M 이하</t>
        </is>
      </c>
      <c r="G18" s="434" t="n">
        <v>1</v>
      </c>
      <c r="H18" s="435" t="n">
        <v>181</v>
      </c>
      <c r="I18" s="435" t="n">
        <v>140</v>
      </c>
      <c r="J18" s="435" t="n">
        <v>126</v>
      </c>
      <c r="K18" s="436" t="n">
        <v>52</v>
      </c>
      <c r="L18" s="437" t="n">
        <v>500</v>
      </c>
      <c r="M18" s="438" t="n"/>
      <c r="N18" s="439" t="n"/>
      <c r="O18" s="439" t="n"/>
      <c r="P18" s="439" t="n"/>
      <c r="Q18" s="440" t="n"/>
      <c r="R18" s="441" t="n"/>
      <c r="S18" s="442" t="n">
        <v>1</v>
      </c>
      <c r="T18" s="435" t="n">
        <v>181</v>
      </c>
      <c r="U18" s="435" t="n">
        <v>140</v>
      </c>
      <c r="V18" s="435" t="n">
        <v>126</v>
      </c>
      <c r="W18" s="436" t="n">
        <v>52</v>
      </c>
      <c r="X18" s="437" t="n">
        <v>500</v>
      </c>
      <c r="Y18" t="inlineStr">
        <is>
          <t>O</t>
        </is>
      </c>
    </row>
    <row r="19">
      <c r="B19" s="26" t="n"/>
      <c r="C19" s="433" t="n"/>
      <c r="D19" s="277" t="inlineStr">
        <is>
          <t>콘크리트 기계류</t>
        </is>
      </c>
      <c r="E19" s="279" t="inlineStr">
        <is>
          <t>펌프카</t>
        </is>
      </c>
      <c r="F19" s="277" t="inlineStr">
        <is>
          <t>35 M &gt; 60M</t>
        </is>
      </c>
      <c r="G19" s="434" t="n">
        <v>21</v>
      </c>
      <c r="H19" s="435" t="n">
        <v>150</v>
      </c>
      <c r="I19" s="435" t="n">
        <v>127</v>
      </c>
      <c r="J19" s="435" t="n">
        <v>53</v>
      </c>
      <c r="K19" s="436" t="n">
        <v>17</v>
      </c>
      <c r="L19" s="437" t="n">
        <v>368</v>
      </c>
      <c r="M19" s="438" t="n"/>
      <c r="N19" s="439" t="n"/>
      <c r="O19" s="439" t="n"/>
      <c r="P19" s="439" t="n"/>
      <c r="Q19" s="440" t="n"/>
      <c r="R19" s="441" t="n"/>
      <c r="S19" s="442" t="n">
        <v>21</v>
      </c>
      <c r="T19" s="435" t="n">
        <v>150</v>
      </c>
      <c r="U19" s="435" t="n">
        <v>127</v>
      </c>
      <c r="V19" s="435" t="n">
        <v>53</v>
      </c>
      <c r="W19" s="436" t="n">
        <v>17</v>
      </c>
      <c r="X19" s="437" t="n">
        <v>368</v>
      </c>
      <c r="Y19" t="inlineStr">
        <is>
          <t>O</t>
        </is>
      </c>
    </row>
    <row r="20">
      <c r="B20" s="26" t="n"/>
      <c r="C20" s="433" t="n"/>
      <c r="D20" s="277" t="inlineStr">
        <is>
          <t>콘크리트 기계류</t>
        </is>
      </c>
      <c r="E20" s="279" t="inlineStr">
        <is>
          <t>펌프카</t>
        </is>
      </c>
      <c r="F20" s="277" t="inlineStr">
        <is>
          <t>60 M 초과</t>
        </is>
      </c>
      <c r="G20" s="434" t="n">
        <v>86</v>
      </c>
      <c r="H20" s="435" t="n">
        <v>235</v>
      </c>
      <c r="I20" s="435" t="n">
        <v>195</v>
      </c>
      <c r="J20" s="435" t="n">
        <v>58</v>
      </c>
      <c r="K20" s="436" t="n">
        <v>28</v>
      </c>
      <c r="L20" s="437" t="n">
        <v>602</v>
      </c>
      <c r="M20" s="438" t="n"/>
      <c r="N20" s="439" t="n"/>
      <c r="O20" s="439" t="n"/>
      <c r="P20" s="439" t="n"/>
      <c r="Q20" s="440" t="n"/>
      <c r="R20" s="441" t="n"/>
      <c r="S20" s="442" t="n">
        <v>86</v>
      </c>
      <c r="T20" s="435" t="n">
        <v>235</v>
      </c>
      <c r="U20" s="435" t="n">
        <v>195</v>
      </c>
      <c r="V20" s="435" t="n">
        <v>58</v>
      </c>
      <c r="W20" s="436" t="n">
        <v>28</v>
      </c>
      <c r="X20" s="437" t="n">
        <v>602</v>
      </c>
      <c r="Y20" t="inlineStr">
        <is>
          <t>O</t>
        </is>
      </c>
    </row>
    <row r="21">
      <c r="B21" s="26" t="n"/>
      <c r="C21" s="433" t="n"/>
      <c r="D21" s="277" t="inlineStr">
        <is>
          <t>운반기계류</t>
        </is>
      </c>
      <c r="E21" s="279" t="inlineStr">
        <is>
          <t>하이렌더</t>
        </is>
      </c>
      <c r="F21" s="277" t="inlineStr">
        <is>
          <t>하이렌더</t>
        </is>
      </c>
      <c r="G21" s="434" t="n"/>
      <c r="H21" s="435" t="n">
        <v>63</v>
      </c>
      <c r="I21" s="435" t="n">
        <v>18</v>
      </c>
      <c r="J21" s="435" t="n">
        <v>4</v>
      </c>
      <c r="K21" s="436" t="n"/>
      <c r="L21" s="437" t="n">
        <v>85</v>
      </c>
      <c r="M21" s="438" t="n"/>
      <c r="N21" s="439" t="n"/>
      <c r="O21" s="439" t="n"/>
      <c r="P21" s="439" t="n"/>
      <c r="Q21" s="440" t="n"/>
      <c r="R21" s="441" t="n"/>
      <c r="S21" s="442" t="n"/>
      <c r="T21" s="435" t="n">
        <v>63</v>
      </c>
      <c r="U21" s="435" t="n">
        <v>18</v>
      </c>
      <c r="V21" s="435" t="n">
        <v>4</v>
      </c>
      <c r="W21" s="436" t="n"/>
      <c r="X21" s="437" t="n">
        <v>85</v>
      </c>
      <c r="Y21" t="inlineStr">
        <is>
          <t>O</t>
        </is>
      </c>
    </row>
    <row r="22">
      <c r="B22" s="26" t="n"/>
      <c r="C22" s="433" t="n"/>
      <c r="D22" s="277" t="inlineStr">
        <is>
          <t>운반기계류</t>
        </is>
      </c>
      <c r="E22" s="279" t="inlineStr">
        <is>
          <t>화물차</t>
        </is>
      </c>
      <c r="F22" s="277" t="inlineStr">
        <is>
          <t>25 Ton</t>
        </is>
      </c>
      <c r="G22" s="434" t="n">
        <v>91</v>
      </c>
      <c r="H22" s="435" t="n">
        <v>629</v>
      </c>
      <c r="I22" s="435" t="n">
        <v>210</v>
      </c>
      <c r="J22" s="435" t="n">
        <v>182</v>
      </c>
      <c r="K22" s="436" t="n">
        <v>8</v>
      </c>
      <c r="L22" s="437" t="n">
        <v>1120</v>
      </c>
      <c r="M22" s="438" t="n"/>
      <c r="N22" s="439" t="n"/>
      <c r="O22" s="439" t="n"/>
      <c r="P22" s="439" t="n"/>
      <c r="Q22" s="440" t="n"/>
      <c r="R22" s="441" t="n"/>
      <c r="S22" s="442" t="n">
        <v>91</v>
      </c>
      <c r="T22" s="435" t="n">
        <v>629</v>
      </c>
      <c r="U22" s="435" t="n">
        <v>210</v>
      </c>
      <c r="V22" s="435" t="n">
        <v>182</v>
      </c>
      <c r="W22" s="436" t="n">
        <v>8</v>
      </c>
      <c r="X22" s="437" t="n">
        <v>1120</v>
      </c>
      <c r="Y22" t="inlineStr">
        <is>
          <t>O</t>
        </is>
      </c>
    </row>
    <row r="23">
      <c r="B23" s="26" t="n"/>
      <c r="C23" s="433" t="n"/>
      <c r="D23" s="277" t="inlineStr">
        <is>
          <t>운반기계류</t>
        </is>
      </c>
      <c r="E23" s="279" t="inlineStr">
        <is>
          <t>스카이</t>
        </is>
      </c>
      <c r="F23" s="277" t="inlineStr">
        <is>
          <t>스카이</t>
        </is>
      </c>
      <c r="G23" s="434" t="n"/>
      <c r="H23" s="435" t="n">
        <v>1</v>
      </c>
      <c r="I23" s="435" t="n"/>
      <c r="J23" s="435" t="n"/>
      <c r="K23" s="436" t="n"/>
      <c r="L23" s="437" t="n">
        <v>1</v>
      </c>
      <c r="M23" s="438" t="n"/>
      <c r="N23" s="439" t="n"/>
      <c r="O23" s="439" t="n"/>
      <c r="P23" s="439" t="n"/>
      <c r="Q23" s="440" t="n"/>
      <c r="R23" s="441" t="n"/>
      <c r="S23" s="442" t="n"/>
      <c r="T23" s="435" t="n">
        <v>1</v>
      </c>
      <c r="U23" s="435" t="n"/>
      <c r="V23" s="435" t="n"/>
      <c r="W23" s="436" t="n"/>
      <c r="X23" s="437" t="n">
        <v>1</v>
      </c>
      <c r="Y23" t="inlineStr">
        <is>
          <t>O</t>
        </is>
      </c>
    </row>
    <row r="24">
      <c r="B24" s="26" t="n"/>
      <c r="C24" s="433" t="n"/>
      <c r="D24" s="277" t="inlineStr">
        <is>
          <t>굴삭운반기계류</t>
        </is>
      </c>
      <c r="E24" s="279" t="inlineStr">
        <is>
          <t>Back Hoe</t>
        </is>
      </c>
      <c r="F24" s="277" t="inlineStr">
        <is>
          <t>2㎥ 미만</t>
        </is>
      </c>
      <c r="G24" s="434" t="n"/>
      <c r="H24" s="435" t="n"/>
      <c r="I24" s="435" t="n"/>
      <c r="J24" s="435" t="n"/>
      <c r="K24" s="436" t="n"/>
      <c r="L24" s="437" t="n"/>
      <c r="M24" s="438" t="n"/>
      <c r="N24" s="439" t="n"/>
      <c r="O24" s="439" t="n"/>
      <c r="P24" s="439" t="n"/>
      <c r="Q24" s="440" t="n"/>
      <c r="R24" s="441" t="n"/>
      <c r="S24" s="442" t="n"/>
      <c r="T24" s="435" t="n"/>
      <c r="U24" s="435" t="n"/>
      <c r="V24" s="435" t="n"/>
      <c r="W24" s="436" t="n"/>
      <c r="X24" s="437" t="n"/>
      <c r="Y24" t="inlineStr">
        <is>
          <t>O</t>
        </is>
      </c>
    </row>
    <row r="25">
      <c r="B25" s="26" t="n"/>
      <c r="C25" s="433" t="n"/>
      <c r="D25" s="277" t="inlineStr">
        <is>
          <t>굴삭운반기계류</t>
        </is>
      </c>
      <c r="E25" s="279" t="inlineStr">
        <is>
          <t>Back Hoe</t>
        </is>
      </c>
      <c r="F25" s="277" t="inlineStr">
        <is>
          <t>2㎥ 이상~5㎥ 미만</t>
        </is>
      </c>
      <c r="G25" s="434" t="n"/>
      <c r="H25" s="435" t="n"/>
      <c r="I25" s="435" t="n"/>
      <c r="J25" s="435" t="n"/>
      <c r="K25" s="436" t="n"/>
      <c r="L25" s="437" t="n"/>
      <c r="M25" s="438" t="n"/>
      <c r="N25" s="439" t="n"/>
      <c r="O25" s="439" t="n"/>
      <c r="P25" s="439" t="n"/>
      <c r="Q25" s="440" t="n"/>
      <c r="R25" s="441" t="n"/>
      <c r="S25" s="442" t="n"/>
      <c r="T25" s="435" t="n"/>
      <c r="U25" s="435" t="n"/>
      <c r="V25" s="435" t="n"/>
      <c r="W25" s="436" t="n"/>
      <c r="X25" s="437" t="n"/>
      <c r="Y25" t="inlineStr">
        <is>
          <t>O</t>
        </is>
      </c>
    </row>
    <row r="26">
      <c r="B26" s="26" t="n"/>
      <c r="C26" s="433" t="n"/>
      <c r="D26" s="277" t="inlineStr">
        <is>
          <t>크레인류</t>
        </is>
      </c>
      <c r="E26" s="279" t="inlineStr">
        <is>
          <t>Crane</t>
        </is>
      </c>
      <c r="F26" s="277" t="inlineStr">
        <is>
          <t>30 Ton 이하</t>
        </is>
      </c>
      <c r="G26" s="434" t="n">
        <v>1</v>
      </c>
      <c r="H26" s="435" t="n">
        <v>3</v>
      </c>
      <c r="I26" s="435" t="n">
        <v>1</v>
      </c>
      <c r="J26" s="435" t="n"/>
      <c r="K26" s="436" t="n"/>
      <c r="L26" s="437" t="n">
        <v>5</v>
      </c>
      <c r="M26" s="438" t="n"/>
      <c r="N26" s="439" t="n"/>
      <c r="O26" s="439" t="n"/>
      <c r="P26" s="439" t="n"/>
      <c r="Q26" s="440" t="n"/>
      <c r="R26" s="441" t="n"/>
      <c r="S26" s="442" t="n">
        <v>1</v>
      </c>
      <c r="T26" s="435" t="n">
        <v>3</v>
      </c>
      <c r="U26" s="435" t="n">
        <v>1</v>
      </c>
      <c r="V26" s="435" t="n"/>
      <c r="W26" s="436" t="n"/>
      <c r="X26" s="437" t="n">
        <v>5</v>
      </c>
      <c r="Y26" t="inlineStr">
        <is>
          <t>O</t>
        </is>
      </c>
    </row>
    <row r="27">
      <c r="B27" s="26" t="n"/>
      <c r="C27" s="433" t="n"/>
      <c r="D27" s="277" t="inlineStr">
        <is>
          <t>크레인류</t>
        </is>
      </c>
      <c r="E27" s="279" t="inlineStr">
        <is>
          <t>Crane</t>
        </is>
      </c>
      <c r="F27" s="277" t="inlineStr">
        <is>
          <t>30 Ton &gt; 70 Ton</t>
        </is>
      </c>
      <c r="G27" s="434" t="n">
        <v>4</v>
      </c>
      <c r="H27" s="435" t="n">
        <v>8</v>
      </c>
      <c r="I27" s="435" t="n">
        <v>2</v>
      </c>
      <c r="J27" s="435" t="n">
        <v>3</v>
      </c>
      <c r="K27" s="436" t="n"/>
      <c r="L27" s="437" t="n">
        <v>17</v>
      </c>
      <c r="M27" s="438" t="n"/>
      <c r="N27" s="439" t="n"/>
      <c r="O27" s="439" t="n"/>
      <c r="P27" s="439" t="n"/>
      <c r="Q27" s="440" t="n"/>
      <c r="R27" s="441" t="n"/>
      <c r="S27" s="442" t="n">
        <v>4</v>
      </c>
      <c r="T27" s="435" t="n">
        <v>8</v>
      </c>
      <c r="U27" s="435" t="n">
        <v>2</v>
      </c>
      <c r="V27" s="435" t="n">
        <v>3</v>
      </c>
      <c r="W27" s="436" t="n"/>
      <c r="X27" s="437" t="n">
        <v>17</v>
      </c>
      <c r="Y27" t="inlineStr">
        <is>
          <t>O</t>
        </is>
      </c>
    </row>
    <row r="28">
      <c r="B28" s="26" t="n"/>
      <c r="C28" s="433" t="n"/>
      <c r="D28" s="277" t="inlineStr">
        <is>
          <t>크레인류</t>
        </is>
      </c>
      <c r="E28" s="279" t="inlineStr">
        <is>
          <t>Crane</t>
        </is>
      </c>
      <c r="F28" s="277" t="inlineStr">
        <is>
          <t>70 Ton &gt; 100 Ton</t>
        </is>
      </c>
      <c r="G28" s="434" t="n">
        <v>31</v>
      </c>
      <c r="H28" s="435" t="n">
        <v>40</v>
      </c>
      <c r="I28" s="435" t="n">
        <v>16</v>
      </c>
      <c r="J28" s="435" t="n">
        <v>22</v>
      </c>
      <c r="K28" s="436" t="n"/>
      <c r="L28" s="437" t="n">
        <v>109</v>
      </c>
      <c r="M28" s="438" t="n"/>
      <c r="N28" s="439" t="n"/>
      <c r="O28" s="439" t="n"/>
      <c r="P28" s="439" t="n"/>
      <c r="Q28" s="440" t="n"/>
      <c r="R28" s="441" t="n"/>
      <c r="S28" s="442" t="n">
        <v>31</v>
      </c>
      <c r="T28" s="435" t="n">
        <v>40</v>
      </c>
      <c r="U28" s="435" t="n">
        <v>16</v>
      </c>
      <c r="V28" s="435" t="n">
        <v>22</v>
      </c>
      <c r="W28" s="436" t="n"/>
      <c r="X28" s="437" t="n">
        <v>109</v>
      </c>
      <c r="Y28" t="inlineStr">
        <is>
          <t>O</t>
        </is>
      </c>
    </row>
    <row r="29">
      <c r="B29" s="26" t="n"/>
      <c r="C29" s="433" t="n"/>
      <c r="D29" s="277" t="inlineStr">
        <is>
          <t>크레인류</t>
        </is>
      </c>
      <c r="E29" s="279" t="inlineStr">
        <is>
          <t>Crane</t>
        </is>
      </c>
      <c r="F29" s="277" t="inlineStr">
        <is>
          <t>100 Ton &gt; 200 Ton</t>
        </is>
      </c>
      <c r="G29" s="434" t="n">
        <v>17</v>
      </c>
      <c r="H29" s="435" t="n">
        <v>20</v>
      </c>
      <c r="I29" s="435" t="n">
        <v>4</v>
      </c>
      <c r="J29" s="435" t="n">
        <v>8</v>
      </c>
      <c r="K29" s="436" t="n"/>
      <c r="L29" s="437" t="n">
        <v>49</v>
      </c>
      <c r="M29" s="438" t="n"/>
      <c r="N29" s="439" t="n"/>
      <c r="O29" s="439" t="n"/>
      <c r="P29" s="439" t="n"/>
      <c r="Q29" s="440" t="n"/>
      <c r="R29" s="441" t="n"/>
      <c r="S29" s="442" t="n">
        <v>17</v>
      </c>
      <c r="T29" s="435" t="n">
        <v>20</v>
      </c>
      <c r="U29" s="435" t="n">
        <v>4</v>
      </c>
      <c r="V29" s="435" t="n">
        <v>8</v>
      </c>
      <c r="W29" s="436" t="n"/>
      <c r="X29" s="437" t="n">
        <v>49</v>
      </c>
      <c r="Y29" t="inlineStr">
        <is>
          <t>O</t>
        </is>
      </c>
    </row>
    <row r="30">
      <c r="B30" s="26" t="n"/>
      <c r="C30" s="433" t="n"/>
      <c r="D30" s="277" t="inlineStr">
        <is>
          <t>크레인류</t>
        </is>
      </c>
      <c r="E30" s="279" t="inlineStr">
        <is>
          <t>Crane</t>
        </is>
      </c>
      <c r="F30" s="277" t="inlineStr">
        <is>
          <t>200 Ton &gt; 300 Ton</t>
        </is>
      </c>
      <c r="G30" s="434" t="n">
        <v>57</v>
      </c>
      <c r="H30" s="435" t="n">
        <v>72</v>
      </c>
      <c r="I30" s="435" t="n">
        <v>25</v>
      </c>
      <c r="J30" s="435" t="n">
        <v>34</v>
      </c>
      <c r="K30" s="436" t="n"/>
      <c r="L30" s="437" t="n">
        <v>188</v>
      </c>
      <c r="M30" s="438" t="n"/>
      <c r="N30" s="439" t="n"/>
      <c r="O30" s="439" t="n"/>
      <c r="P30" s="439" t="n"/>
      <c r="Q30" s="440" t="n"/>
      <c r="R30" s="441" t="n"/>
      <c r="S30" s="442" t="n">
        <v>57</v>
      </c>
      <c r="T30" s="435" t="n">
        <v>72</v>
      </c>
      <c r="U30" s="435" t="n">
        <v>25</v>
      </c>
      <c r="V30" s="435" t="n">
        <v>34</v>
      </c>
      <c r="W30" s="436" t="n"/>
      <c r="X30" s="437" t="n">
        <v>188</v>
      </c>
      <c r="Y30" t="inlineStr">
        <is>
          <t>O</t>
        </is>
      </c>
    </row>
    <row r="31">
      <c r="B31" s="26" t="n"/>
      <c r="C31" s="433" t="n"/>
      <c r="D31" s="277" t="inlineStr">
        <is>
          <t>크레인류</t>
        </is>
      </c>
      <c r="E31" s="279" t="inlineStr">
        <is>
          <t>Tower Crane</t>
        </is>
      </c>
      <c r="F31" s="277" t="inlineStr">
        <is>
          <t>Tower Crane</t>
        </is>
      </c>
      <c r="G31" s="434" t="n">
        <v>25</v>
      </c>
      <c r="H31" s="435" t="n">
        <v>829</v>
      </c>
      <c r="I31" s="435" t="n">
        <v>300</v>
      </c>
      <c r="J31" s="435" t="n">
        <v>266</v>
      </c>
      <c r="K31" s="436" t="n">
        <v>2</v>
      </c>
      <c r="L31" s="437" t="n">
        <v>1422</v>
      </c>
      <c r="M31" s="438" t="n"/>
      <c r="N31" s="439" t="n"/>
      <c r="O31" s="439" t="n"/>
      <c r="P31" s="439" t="n"/>
      <c r="Q31" s="440" t="n"/>
      <c r="R31" s="441" t="n"/>
      <c r="S31" s="442" t="n">
        <v>25</v>
      </c>
      <c r="T31" s="435" t="n">
        <v>829</v>
      </c>
      <c r="U31" s="435" t="n">
        <v>300</v>
      </c>
      <c r="V31" s="435" t="n">
        <v>266</v>
      </c>
      <c r="W31" s="436" t="n">
        <v>2</v>
      </c>
      <c r="X31" s="437" t="n">
        <v>1422</v>
      </c>
      <c r="Y31" t="inlineStr">
        <is>
          <t>O</t>
        </is>
      </c>
    </row>
    <row r="32">
      <c r="B32" s="26" t="n"/>
      <c r="C32" s="433" t="n"/>
      <c r="D32" s="277" t="inlineStr">
        <is>
          <t>운반기계류</t>
        </is>
      </c>
      <c r="E32" s="279" t="inlineStr">
        <is>
          <t>지게차</t>
        </is>
      </c>
      <c r="F32" s="277" t="inlineStr">
        <is>
          <t>지게차</t>
        </is>
      </c>
      <c r="G32" s="434" t="n">
        <v>80</v>
      </c>
      <c r="H32" s="435" t="n">
        <v>485</v>
      </c>
      <c r="I32" s="435" t="n">
        <v>184</v>
      </c>
      <c r="J32" s="435" t="n">
        <v>177</v>
      </c>
      <c r="K32" s="436" t="n"/>
      <c r="L32" s="437" t="n">
        <v>926</v>
      </c>
      <c r="M32" s="438" t="n"/>
      <c r="N32" s="439" t="n"/>
      <c r="O32" s="439" t="n"/>
      <c r="P32" s="439" t="n"/>
      <c r="Q32" s="440" t="n"/>
      <c r="R32" s="441" t="n"/>
      <c r="S32" s="442" t="n">
        <v>80</v>
      </c>
      <c r="T32" s="435" t="n">
        <v>485</v>
      </c>
      <c r="U32" s="435" t="n">
        <v>184</v>
      </c>
      <c r="V32" s="435" t="n">
        <v>177</v>
      </c>
      <c r="W32" s="436" t="n"/>
      <c r="X32" s="437" t="n">
        <v>926</v>
      </c>
      <c r="Y32" t="inlineStr">
        <is>
          <t>O</t>
        </is>
      </c>
    </row>
    <row r="33">
      <c r="B33" s="26" t="n"/>
      <c r="C33" s="433" t="n"/>
      <c r="D33" s="277" t="inlineStr">
        <is>
          <t>운반기계류</t>
        </is>
      </c>
      <c r="E33" s="279" t="inlineStr">
        <is>
          <t>전동지게차</t>
        </is>
      </c>
      <c r="F33" s="277" t="inlineStr">
        <is>
          <t>전동지게차</t>
        </is>
      </c>
      <c r="G33" s="434" t="n"/>
      <c r="H33" s="435" t="n"/>
      <c r="I33" s="435" t="n">
        <v>1</v>
      </c>
      <c r="J33" s="435" t="n"/>
      <c r="K33" s="436" t="n"/>
      <c r="L33" s="437" t="n">
        <v>1</v>
      </c>
      <c r="M33" s="438" t="n"/>
      <c r="N33" s="439" t="n"/>
      <c r="O33" s="439" t="n"/>
      <c r="P33" s="439" t="n"/>
      <c r="Q33" s="440" t="n"/>
      <c r="R33" s="441" t="n"/>
      <c r="S33" s="442" t="n"/>
      <c r="T33" s="435" t="n"/>
      <c r="U33" s="435" t="n">
        <v>1</v>
      </c>
      <c r="V33" s="435" t="n"/>
      <c r="W33" s="436" t="n"/>
      <c r="X33" s="437" t="n">
        <v>1</v>
      </c>
      <c r="Y33" t="inlineStr">
        <is>
          <t>O</t>
        </is>
      </c>
    </row>
    <row r="34">
      <c r="B34" s="26" t="n"/>
      <c r="C34" s="433" t="n"/>
      <c r="D34" s="277" t="inlineStr">
        <is>
          <t>운반기계류</t>
        </is>
      </c>
      <c r="E34" s="279" t="inlineStr">
        <is>
          <t>집게차</t>
        </is>
      </c>
      <c r="F34" s="277" t="inlineStr">
        <is>
          <t>35㎥</t>
        </is>
      </c>
      <c r="G34" s="434" t="n"/>
      <c r="H34" s="435" t="n">
        <v>4</v>
      </c>
      <c r="I34" s="435" t="n">
        <v>4</v>
      </c>
      <c r="J34" s="435" t="n"/>
      <c r="K34" s="436" t="n"/>
      <c r="L34" s="437" t="n">
        <v>8</v>
      </c>
      <c r="M34" s="438" t="n"/>
      <c r="N34" s="439" t="n"/>
      <c r="O34" s="439" t="n"/>
      <c r="P34" s="439" t="n"/>
      <c r="Q34" s="440" t="n"/>
      <c r="R34" s="441" t="n"/>
      <c r="S34" s="442" t="n"/>
      <c r="T34" s="435" t="n">
        <v>4</v>
      </c>
      <c r="U34" s="435" t="n">
        <v>4</v>
      </c>
      <c r="V34" s="435" t="n"/>
      <c r="W34" s="436" t="n"/>
      <c r="X34" s="437" t="n">
        <v>8</v>
      </c>
      <c r="Y34" t="inlineStr">
        <is>
          <t>O</t>
        </is>
      </c>
    </row>
    <row r="35">
      <c r="B35" s="26" t="n"/>
      <c r="C35" s="433" t="n"/>
      <c r="D35" s="277" t="inlineStr">
        <is>
          <t>콘크리트 기계류</t>
        </is>
      </c>
      <c r="E35" s="279" t="inlineStr">
        <is>
          <t>펌프카</t>
        </is>
      </c>
      <c r="F35" s="277" t="inlineStr">
        <is>
          <t>35M 이하</t>
        </is>
      </c>
      <c r="G35" s="434" t="n">
        <v>1</v>
      </c>
      <c r="H35" s="435" t="n">
        <v>86</v>
      </c>
      <c r="I35" s="435" t="n">
        <v>51</v>
      </c>
      <c r="J35" s="435" t="n">
        <v>34</v>
      </c>
      <c r="K35" s="436" t="n">
        <v>6</v>
      </c>
      <c r="L35" s="437" t="n">
        <v>178</v>
      </c>
      <c r="M35" s="438" t="n"/>
      <c r="N35" s="439" t="n"/>
      <c r="O35" s="439" t="n"/>
      <c r="P35" s="439" t="n"/>
      <c r="Q35" s="440" t="n"/>
      <c r="R35" s="441" t="n"/>
      <c r="S35" s="442" t="n">
        <v>1</v>
      </c>
      <c r="T35" s="435" t="n">
        <v>86</v>
      </c>
      <c r="U35" s="435" t="n">
        <v>51</v>
      </c>
      <c r="V35" s="435" t="n">
        <v>34</v>
      </c>
      <c r="W35" s="436" t="n">
        <v>6</v>
      </c>
      <c r="X35" s="437" t="n">
        <v>178</v>
      </c>
      <c r="Y35" t="inlineStr">
        <is>
          <t>O</t>
        </is>
      </c>
    </row>
    <row r="36">
      <c r="B36" s="26" t="n"/>
      <c r="C36" s="433" t="n"/>
      <c r="D36" s="277" t="inlineStr">
        <is>
          <t>콘크리트 기계류</t>
        </is>
      </c>
      <c r="E36" s="279" t="inlineStr">
        <is>
          <t>펌프카</t>
        </is>
      </c>
      <c r="F36" s="277" t="inlineStr">
        <is>
          <t>35 M &gt; 60M</t>
        </is>
      </c>
      <c r="G36" s="434" t="n">
        <v>15</v>
      </c>
      <c r="H36" s="435" t="n">
        <v>59</v>
      </c>
      <c r="I36" s="435" t="n">
        <v>24</v>
      </c>
      <c r="J36" s="435" t="n">
        <v>22</v>
      </c>
      <c r="K36" s="436" t="n">
        <v>1</v>
      </c>
      <c r="L36" s="437" t="n">
        <v>121</v>
      </c>
      <c r="M36" s="438" t="n"/>
      <c r="N36" s="439" t="n"/>
      <c r="O36" s="439" t="n"/>
      <c r="P36" s="439" t="n"/>
      <c r="Q36" s="440" t="n"/>
      <c r="R36" s="441" t="n"/>
      <c r="S36" s="442" t="n">
        <v>15</v>
      </c>
      <c r="T36" s="435" t="n">
        <v>59</v>
      </c>
      <c r="U36" s="435" t="n">
        <v>24</v>
      </c>
      <c r="V36" s="435" t="n">
        <v>22</v>
      </c>
      <c r="W36" s="436" t="n">
        <v>1</v>
      </c>
      <c r="X36" s="437" t="n">
        <v>121</v>
      </c>
      <c r="Y36" t="inlineStr">
        <is>
          <t>O</t>
        </is>
      </c>
    </row>
    <row r="37">
      <c r="B37" s="26" t="n"/>
      <c r="C37" s="433" t="n"/>
      <c r="D37" s="277" t="inlineStr">
        <is>
          <t>콘크리트 기계류</t>
        </is>
      </c>
      <c r="E37" s="279" t="inlineStr">
        <is>
          <t>펌프카</t>
        </is>
      </c>
      <c r="F37" s="277" t="inlineStr">
        <is>
          <t>60 M 초과</t>
        </is>
      </c>
      <c r="G37" s="434" t="n">
        <v>27</v>
      </c>
      <c r="H37" s="435" t="n">
        <v>53</v>
      </c>
      <c r="I37" s="435" t="n">
        <v>19</v>
      </c>
      <c r="J37" s="435" t="n">
        <v>27</v>
      </c>
      <c r="K37" s="436" t="n">
        <v>2</v>
      </c>
      <c r="L37" s="437" t="n">
        <v>128</v>
      </c>
      <c r="M37" s="438" t="n"/>
      <c r="N37" s="439" t="n"/>
      <c r="O37" s="439" t="n"/>
      <c r="P37" s="439" t="n"/>
      <c r="Q37" s="440" t="n"/>
      <c r="R37" s="441" t="n"/>
      <c r="S37" s="442" t="n">
        <v>27</v>
      </c>
      <c r="T37" s="435" t="n">
        <v>53</v>
      </c>
      <c r="U37" s="435" t="n">
        <v>19</v>
      </c>
      <c r="V37" s="435" t="n">
        <v>27</v>
      </c>
      <c r="W37" s="436" t="n">
        <v>2</v>
      </c>
      <c r="X37" s="437" t="n">
        <v>128</v>
      </c>
      <c r="Y37" t="inlineStr">
        <is>
          <t>O</t>
        </is>
      </c>
    </row>
    <row r="38">
      <c r="B38" s="26" t="n"/>
      <c r="C38" s="433" t="n"/>
      <c r="D38" s="277" t="inlineStr">
        <is>
          <t>운반기계류</t>
        </is>
      </c>
      <c r="E38" s="279" t="inlineStr">
        <is>
          <t>화물차</t>
        </is>
      </c>
      <c r="F38" s="277" t="inlineStr">
        <is>
          <t>25 Ton</t>
        </is>
      </c>
      <c r="G38" s="434" t="n">
        <v>137</v>
      </c>
      <c r="H38" s="435" t="n">
        <v>636</v>
      </c>
      <c r="I38" s="435" t="n">
        <v>360</v>
      </c>
      <c r="J38" s="435" t="n">
        <v>314</v>
      </c>
      <c r="K38" s="436" t="n"/>
      <c r="L38" s="437" t="n">
        <v>1447</v>
      </c>
      <c r="M38" s="438" t="n"/>
      <c r="N38" s="439" t="n"/>
      <c r="O38" s="439" t="n"/>
      <c r="P38" s="439" t="n"/>
      <c r="Q38" s="440" t="n"/>
      <c r="R38" s="441" t="n"/>
      <c r="S38" s="442" t="n">
        <v>137</v>
      </c>
      <c r="T38" s="435" t="n">
        <v>636</v>
      </c>
      <c r="U38" s="435" t="n">
        <v>360</v>
      </c>
      <c r="V38" s="435" t="n">
        <v>314</v>
      </c>
      <c r="W38" s="436" t="n"/>
      <c r="X38" s="437" t="n">
        <v>1447</v>
      </c>
      <c r="Y38" t="inlineStr">
        <is>
          <t>O</t>
        </is>
      </c>
    </row>
    <row r="39">
      <c r="B39" s="26" t="n"/>
      <c r="C39" s="433" t="n"/>
      <c r="D39" s="277" t="inlineStr">
        <is>
          <t>운반기계류</t>
        </is>
      </c>
      <c r="E39" s="279" t="inlineStr">
        <is>
          <t>스카이</t>
        </is>
      </c>
      <c r="F39" s="277" t="inlineStr">
        <is>
          <t>스카이</t>
        </is>
      </c>
      <c r="G39" s="434" t="n"/>
      <c r="H39" s="435" t="n">
        <v>4</v>
      </c>
      <c r="I39" s="435" t="n">
        <v>1</v>
      </c>
      <c r="J39" s="435" t="n">
        <v>1</v>
      </c>
      <c r="K39" s="436" t="n"/>
      <c r="L39" s="437" t="n">
        <v>6</v>
      </c>
      <c r="M39" s="438" t="n"/>
      <c r="N39" s="439" t="n"/>
      <c r="O39" s="439" t="n"/>
      <c r="P39" s="439" t="n"/>
      <c r="Q39" s="440" t="n"/>
      <c r="R39" s="441" t="n"/>
      <c r="S39" s="442" t="n"/>
      <c r="T39" s="435" t="n">
        <v>4</v>
      </c>
      <c r="U39" s="435" t="n">
        <v>1</v>
      </c>
      <c r="V39" s="435" t="n">
        <v>1</v>
      </c>
      <c r="W39" s="436" t="n"/>
      <c r="X39" s="437" t="n">
        <v>6</v>
      </c>
      <c r="Y39" t="inlineStr">
        <is>
          <t>O</t>
        </is>
      </c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4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4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4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4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4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4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4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4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4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4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4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4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4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4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4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44" t="n"/>
      <c r="H55" s="445" t="n"/>
      <c r="I55" s="445" t="n"/>
      <c r="J55" s="445" t="n"/>
      <c r="K55" s="446" t="n"/>
      <c r="L55" s="447" t="n"/>
      <c r="M55" s="448" t="n"/>
      <c r="N55" s="449" t="n"/>
      <c r="O55" s="449" t="n"/>
      <c r="P55" s="449" t="n"/>
      <c r="Q55" s="450" t="n"/>
      <c r="R55" s="451" t="n"/>
      <c r="S55" s="452" t="n"/>
      <c r="T55" s="445" t="n"/>
      <c r="U55" s="445" t="n"/>
      <c r="V55" s="445" t="n"/>
      <c r="W55" s="446" t="n"/>
      <c r="X55" s="447" t="n"/>
    </row>
    <row r="56">
      <c r="B56" s="27" t="n"/>
      <c r="C56" s="11" t="n"/>
      <c r="D56" s="126" t="n"/>
      <c r="E56" s="127" t="n"/>
      <c r="F56" s="126" t="n"/>
      <c r="G56" s="444" t="n"/>
      <c r="H56" s="445" t="n"/>
      <c r="I56" s="445" t="n"/>
      <c r="J56" s="445" t="n"/>
      <c r="K56" s="446" t="n"/>
      <c r="L56" s="447" t="n"/>
      <c r="M56" s="448" t="n"/>
      <c r="N56" s="449" t="n"/>
      <c r="O56" s="449" t="n"/>
      <c r="P56" s="449" t="n"/>
      <c r="Q56" s="450" t="n"/>
      <c r="R56" s="451" t="n"/>
      <c r="S56" s="452" t="n"/>
      <c r="T56" s="445" t="n"/>
      <c r="U56" s="445" t="n"/>
      <c r="V56" s="445" t="n"/>
      <c r="W56" s="446" t="n"/>
      <c r="X56" s="447" t="n"/>
    </row>
    <row r="57">
      <c r="B57" s="27" t="n"/>
      <c r="C57" s="11" t="n"/>
      <c r="D57" s="126" t="n"/>
      <c r="E57" s="127" t="n"/>
      <c r="F57" s="126" t="n"/>
      <c r="G57" s="444" t="n"/>
      <c r="H57" s="445" t="n"/>
      <c r="I57" s="445" t="n"/>
      <c r="J57" s="445" t="n"/>
      <c r="K57" s="446" t="n"/>
      <c r="L57" s="447" t="n"/>
      <c r="M57" s="448" t="n"/>
      <c r="N57" s="449" t="n"/>
      <c r="O57" s="449" t="n"/>
      <c r="P57" s="449" t="n"/>
      <c r="Q57" s="450" t="n"/>
      <c r="R57" s="451" t="n"/>
      <c r="S57" s="452" t="n"/>
      <c r="T57" s="445" t="n"/>
      <c r="U57" s="445" t="n"/>
      <c r="V57" s="445" t="n"/>
      <c r="W57" s="446" t="n"/>
      <c r="X57" s="447" t="n"/>
    </row>
    <row r="58">
      <c r="B58" s="27" t="n"/>
      <c r="C58" s="11" t="n"/>
      <c r="D58" s="126" t="n"/>
      <c r="E58" s="127" t="n"/>
      <c r="F58" s="126" t="n"/>
      <c r="G58" s="444" t="n"/>
      <c r="H58" s="445" t="n"/>
      <c r="I58" s="445" t="n"/>
      <c r="J58" s="445" t="n"/>
      <c r="K58" s="446" t="n"/>
      <c r="L58" s="447" t="n"/>
      <c r="M58" s="448" t="n"/>
      <c r="N58" s="449" t="n"/>
      <c r="O58" s="449" t="n"/>
      <c r="P58" s="449" t="n"/>
      <c r="Q58" s="450" t="n"/>
      <c r="R58" s="451" t="n"/>
      <c r="S58" s="452" t="n"/>
      <c r="T58" s="445" t="n"/>
      <c r="U58" s="445" t="n"/>
      <c r="V58" s="445" t="n"/>
      <c r="W58" s="446" t="n"/>
      <c r="X58" s="447" t="n"/>
    </row>
    <row r="59">
      <c r="B59" s="27" t="n"/>
      <c r="C59" s="11" t="n"/>
      <c r="D59" s="126" t="n"/>
      <c r="E59" s="127" t="n"/>
      <c r="F59" s="126" t="n"/>
      <c r="G59" s="444" t="n"/>
      <c r="H59" s="445" t="n"/>
      <c r="I59" s="445" t="n"/>
      <c r="J59" s="445" t="n"/>
      <c r="K59" s="446" t="n"/>
      <c r="L59" s="447" t="n"/>
      <c r="M59" s="448" t="n"/>
      <c r="N59" s="449" t="n"/>
      <c r="O59" s="449" t="n"/>
      <c r="P59" s="449" t="n"/>
      <c r="Q59" s="450" t="n"/>
      <c r="R59" s="451" t="n"/>
      <c r="S59" s="452" t="n"/>
      <c r="T59" s="445" t="n"/>
      <c r="U59" s="445" t="n"/>
      <c r="V59" s="445" t="n"/>
      <c r="W59" s="446" t="n"/>
      <c r="X59" s="447" t="n"/>
    </row>
    <row r="60">
      <c r="B60" s="27" t="n"/>
      <c r="C60" s="11" t="n"/>
      <c r="D60" s="126" t="n"/>
      <c r="E60" s="127" t="n"/>
      <c r="F60" s="126" t="n"/>
      <c r="G60" s="444" t="n"/>
      <c r="H60" s="445" t="n"/>
      <c r="I60" s="445" t="n"/>
      <c r="J60" s="445" t="n"/>
      <c r="K60" s="446" t="n"/>
      <c r="L60" s="447" t="n"/>
      <c r="M60" s="448" t="n"/>
      <c r="N60" s="449" t="n"/>
      <c r="O60" s="449" t="n"/>
      <c r="P60" s="449" t="n"/>
      <c r="Q60" s="450" t="n"/>
      <c r="R60" s="451" t="n"/>
      <c r="S60" s="452" t="n"/>
      <c r="T60" s="445" t="n"/>
      <c r="U60" s="445" t="n"/>
      <c r="V60" s="445" t="n"/>
      <c r="W60" s="446" t="n"/>
      <c r="X60" s="447" t="n"/>
    </row>
    <row r="61">
      <c r="B61" s="27" t="n"/>
      <c r="C61" s="11" t="n"/>
      <c r="D61" s="126" t="n"/>
      <c r="E61" s="127" t="n"/>
      <c r="F61" s="126" t="n"/>
      <c r="G61" s="444" t="n"/>
      <c r="H61" s="445" t="n"/>
      <c r="I61" s="445" t="n"/>
      <c r="J61" s="445" t="n"/>
      <c r="K61" s="446" t="n"/>
      <c r="L61" s="447" t="n"/>
      <c r="M61" s="448" t="n"/>
      <c r="N61" s="449" t="n"/>
      <c r="O61" s="449" t="n"/>
      <c r="P61" s="449" t="n"/>
      <c r="Q61" s="450" t="n"/>
      <c r="R61" s="451" t="n"/>
      <c r="S61" s="452" t="n"/>
      <c r="T61" s="445" t="n"/>
      <c r="U61" s="445" t="n"/>
      <c r="V61" s="445" t="n"/>
      <c r="W61" s="446" t="n"/>
      <c r="X61" s="447" t="n"/>
    </row>
    <row r="62">
      <c r="B62" s="27" t="n"/>
      <c r="C62" s="11" t="n"/>
      <c r="D62" s="126" t="n"/>
      <c r="E62" s="127" t="n"/>
      <c r="F62" s="126" t="n"/>
      <c r="G62" s="444" t="n"/>
      <c r="H62" s="445" t="n"/>
      <c r="I62" s="445" t="n"/>
      <c r="J62" s="445" t="n"/>
      <c r="K62" s="446" t="n"/>
      <c r="L62" s="447" t="n"/>
      <c r="M62" s="448" t="n"/>
      <c r="N62" s="449" t="n"/>
      <c r="O62" s="449" t="n"/>
      <c r="P62" s="449" t="n"/>
      <c r="Q62" s="450" t="n"/>
      <c r="R62" s="451" t="n"/>
      <c r="S62" s="452" t="n"/>
      <c r="T62" s="445" t="n"/>
      <c r="U62" s="445" t="n"/>
      <c r="V62" s="445" t="n"/>
      <c r="W62" s="446" t="n"/>
      <c r="X62" s="447" t="n"/>
    </row>
    <row r="63">
      <c r="B63" s="27" t="n"/>
      <c r="C63" s="11" t="n"/>
      <c r="D63" s="126" t="n"/>
      <c r="E63" s="127" t="n"/>
      <c r="F63" s="126" t="n"/>
      <c r="G63" s="444" t="n"/>
      <c r="H63" s="445" t="n"/>
      <c r="I63" s="445" t="n"/>
      <c r="J63" s="445" t="n"/>
      <c r="K63" s="446" t="n"/>
      <c r="L63" s="447" t="n"/>
      <c r="M63" s="448" t="n"/>
      <c r="N63" s="449" t="n"/>
      <c r="O63" s="449" t="n"/>
      <c r="P63" s="449" t="n"/>
      <c r="Q63" s="450" t="n"/>
      <c r="R63" s="451" t="n"/>
      <c r="S63" s="452" t="n"/>
      <c r="T63" s="445" t="n"/>
      <c r="U63" s="445" t="n"/>
      <c r="V63" s="445" t="n"/>
      <c r="W63" s="446" t="n"/>
      <c r="X63" s="447" t="n"/>
    </row>
    <row r="64">
      <c r="B64" s="27" t="n"/>
      <c r="C64" s="11" t="n"/>
      <c r="D64" s="126" t="n"/>
      <c r="E64" s="127" t="n"/>
      <c r="F64" s="126" t="n"/>
      <c r="G64" s="444" t="n"/>
      <c r="H64" s="445" t="n"/>
      <c r="I64" s="445" t="n"/>
      <c r="J64" s="445" t="n"/>
      <c r="K64" s="446" t="n"/>
      <c r="L64" s="447" t="n"/>
      <c r="M64" s="448" t="n"/>
      <c r="N64" s="449" t="n"/>
      <c r="O64" s="449" t="n"/>
      <c r="P64" s="449" t="n"/>
      <c r="Q64" s="450" t="n"/>
      <c r="R64" s="451" t="n"/>
      <c r="S64" s="452" t="n"/>
      <c r="T64" s="445" t="n"/>
      <c r="U64" s="445" t="n"/>
      <c r="V64" s="445" t="n"/>
      <c r="W64" s="446" t="n"/>
      <c r="X64" s="447" t="n"/>
    </row>
    <row r="65">
      <c r="B65" s="27" t="n"/>
      <c r="C65" s="11" t="n"/>
      <c r="D65" s="126" t="n"/>
      <c r="E65" s="127" t="n"/>
      <c r="F65" s="126" t="n"/>
      <c r="G65" s="444" t="n"/>
      <c r="H65" s="445" t="n"/>
      <c r="I65" s="445" t="n"/>
      <c r="J65" s="445" t="n"/>
      <c r="K65" s="446" t="n"/>
      <c r="L65" s="447" t="n"/>
      <c r="M65" s="448" t="n"/>
      <c r="N65" s="449" t="n"/>
      <c r="O65" s="449" t="n"/>
      <c r="P65" s="449" t="n"/>
      <c r="Q65" s="450" t="n"/>
      <c r="R65" s="451" t="n"/>
      <c r="S65" s="452" t="n"/>
      <c r="T65" s="445" t="n"/>
      <c r="U65" s="445" t="n"/>
      <c r="V65" s="445" t="n"/>
      <c r="W65" s="446" t="n"/>
      <c r="X65" s="447" t="n"/>
    </row>
    <row r="66">
      <c r="B66" s="27" t="n"/>
      <c r="C66" s="11" t="n"/>
      <c r="D66" s="126" t="n"/>
      <c r="E66" s="127" t="n"/>
      <c r="F66" s="126" t="n"/>
      <c r="G66" s="444" t="n"/>
      <c r="H66" s="445" t="n"/>
      <c r="I66" s="445" t="n"/>
      <c r="J66" s="445" t="n"/>
      <c r="K66" s="446" t="n"/>
      <c r="L66" s="447" t="n"/>
      <c r="M66" s="448" t="n"/>
      <c r="N66" s="449" t="n"/>
      <c r="O66" s="449" t="n"/>
      <c r="P66" s="449" t="n"/>
      <c r="Q66" s="450" t="n"/>
      <c r="R66" s="451" t="n"/>
      <c r="S66" s="452" t="n"/>
      <c r="T66" s="445" t="n"/>
      <c r="U66" s="445" t="n"/>
      <c r="V66" s="445" t="n"/>
      <c r="W66" s="446" t="n"/>
      <c r="X66" s="447" t="n"/>
    </row>
    <row r="67">
      <c r="B67" s="27" t="n"/>
      <c r="C67" s="11" t="n"/>
      <c r="D67" s="126" t="n"/>
      <c r="E67" s="127" t="n"/>
      <c r="F67" s="126" t="n"/>
      <c r="G67" s="444" t="n"/>
      <c r="H67" s="445" t="n"/>
      <c r="I67" s="445" t="n"/>
      <c r="J67" s="445" t="n"/>
      <c r="K67" s="446" t="n"/>
      <c r="L67" s="447" t="n"/>
      <c r="M67" s="448" t="n"/>
      <c r="N67" s="449" t="n"/>
      <c r="O67" s="449" t="n"/>
      <c r="P67" s="449" t="n"/>
      <c r="Q67" s="450" t="n"/>
      <c r="R67" s="451" t="n"/>
      <c r="S67" s="452" t="n"/>
      <c r="T67" s="445" t="n"/>
      <c r="U67" s="445" t="n"/>
      <c r="V67" s="445" t="n"/>
      <c r="W67" s="446" t="n"/>
      <c r="X67" s="447" t="n"/>
    </row>
    <row r="68">
      <c r="B68" s="27" t="n"/>
      <c r="C68" s="11" t="n"/>
      <c r="D68" s="126" t="n"/>
      <c r="E68" s="127" t="n"/>
      <c r="F68" s="126" t="n"/>
      <c r="G68" s="444" t="n"/>
      <c r="H68" s="445" t="n"/>
      <c r="I68" s="445" t="n"/>
      <c r="J68" s="445" t="n"/>
      <c r="K68" s="446" t="n"/>
      <c r="L68" s="447" t="n"/>
      <c r="M68" s="448" t="n"/>
      <c r="N68" s="449" t="n"/>
      <c r="O68" s="449" t="n"/>
      <c r="P68" s="449" t="n"/>
      <c r="Q68" s="450" t="n"/>
      <c r="R68" s="451" t="n"/>
      <c r="S68" s="452" t="n"/>
      <c r="T68" s="445" t="n"/>
      <c r="U68" s="445" t="n"/>
      <c r="V68" s="445" t="n"/>
      <c r="W68" s="446" t="n"/>
      <c r="X68" s="447" t="n"/>
    </row>
    <row r="69">
      <c r="B69" s="27" t="n"/>
      <c r="C69" s="11" t="n"/>
      <c r="D69" s="126" t="n"/>
      <c r="E69" s="127" t="n"/>
      <c r="F69" s="126" t="n"/>
      <c r="G69" s="444" t="n"/>
      <c r="H69" s="445" t="n"/>
      <c r="I69" s="445" t="n"/>
      <c r="J69" s="445" t="n"/>
      <c r="K69" s="446" t="n"/>
      <c r="L69" s="447" t="n"/>
      <c r="M69" s="448" t="n"/>
      <c r="N69" s="449" t="n"/>
      <c r="O69" s="449" t="n"/>
      <c r="P69" s="449" t="n"/>
      <c r="Q69" s="450" t="n"/>
      <c r="R69" s="451" t="n"/>
      <c r="S69" s="452" t="n"/>
      <c r="T69" s="445" t="n"/>
      <c r="U69" s="445" t="n"/>
      <c r="V69" s="445" t="n"/>
      <c r="W69" s="446" t="n"/>
      <c r="X69" s="447" t="n"/>
    </row>
    <row r="70">
      <c r="B70" s="27" t="n"/>
      <c r="C70" s="11" t="n"/>
      <c r="D70" s="126" t="n"/>
      <c r="E70" s="127" t="n"/>
      <c r="F70" s="126" t="n"/>
      <c r="G70" s="444" t="n"/>
      <c r="H70" s="445" t="n"/>
      <c r="I70" s="445" t="n"/>
      <c r="J70" s="445" t="n"/>
      <c r="K70" s="446" t="n"/>
      <c r="L70" s="447" t="n"/>
      <c r="M70" s="448" t="n"/>
      <c r="N70" s="449" t="n"/>
      <c r="O70" s="449" t="n"/>
      <c r="P70" s="449" t="n"/>
      <c r="Q70" s="450" t="n"/>
      <c r="R70" s="451" t="n"/>
      <c r="S70" s="452" t="n"/>
      <c r="T70" s="445" t="n"/>
      <c r="U70" s="445" t="n"/>
      <c r="V70" s="445" t="n"/>
      <c r="W70" s="446" t="n"/>
      <c r="X70" s="447" t="n"/>
    </row>
    <row r="71">
      <c r="B71" s="27" t="n"/>
      <c r="C71" s="11" t="n"/>
      <c r="D71" s="126" t="n"/>
      <c r="E71" s="127" t="n"/>
      <c r="F71" s="453" t="n"/>
      <c r="G71" s="444" t="n"/>
      <c r="H71" s="445" t="n"/>
      <c r="I71" s="445" t="n"/>
      <c r="J71" s="445" t="n"/>
      <c r="K71" s="446" t="n"/>
      <c r="L71" s="447" t="n"/>
      <c r="M71" s="448" t="n"/>
      <c r="N71" s="449" t="n"/>
      <c r="O71" s="449" t="n"/>
      <c r="P71" s="449" t="n"/>
      <c r="Q71" s="450" t="n"/>
      <c r="R71" s="451" t="n"/>
      <c r="S71" s="452" t="n"/>
      <c r="T71" s="445" t="n"/>
      <c r="U71" s="445" t="n"/>
      <c r="V71" s="445" t="n"/>
      <c r="W71" s="446" t="n"/>
      <c r="X71" s="447" t="n"/>
    </row>
    <row r="72">
      <c r="B72" s="27" t="n"/>
      <c r="C72" s="11" t="n"/>
      <c r="D72" s="126" t="n"/>
      <c r="E72" s="127" t="n"/>
      <c r="F72" s="453" t="n"/>
      <c r="G72" s="444" t="n"/>
      <c r="H72" s="445" t="n"/>
      <c r="I72" s="445" t="n"/>
      <c r="J72" s="445" t="n"/>
      <c r="K72" s="446" t="n"/>
      <c r="L72" s="447" t="n"/>
      <c r="M72" s="448" t="n"/>
      <c r="N72" s="449" t="n"/>
      <c r="O72" s="449" t="n"/>
      <c r="P72" s="449" t="n"/>
      <c r="Q72" s="450" t="n"/>
      <c r="R72" s="451" t="n"/>
      <c r="S72" s="452" t="n"/>
      <c r="T72" s="445" t="n"/>
      <c r="U72" s="445" t="n"/>
      <c r="V72" s="445" t="n"/>
      <c r="W72" s="446" t="n"/>
      <c r="X72" s="447" t="n"/>
    </row>
    <row r="73" ht="17.25" customHeight="1" s="362" thickBot="1">
      <c r="B73" s="34" t="n"/>
      <c r="C73" s="105" t="n"/>
      <c r="D73" s="126" t="n"/>
      <c r="E73" s="131" t="n"/>
      <c r="F73" s="130" t="n"/>
      <c r="G73" s="454" t="n"/>
      <c r="H73" s="455" t="n"/>
      <c r="I73" s="455" t="n"/>
      <c r="J73" s="455" t="n"/>
      <c r="K73" s="456" t="n"/>
      <c r="L73" s="457" t="n"/>
      <c r="M73" s="458" t="n"/>
      <c r="N73" s="459" t="n"/>
      <c r="O73" s="459" t="n"/>
      <c r="P73" s="459" t="n"/>
      <c r="Q73" s="460" t="n"/>
      <c r="R73" s="461" t="n"/>
      <c r="S73" s="462" t="n"/>
      <c r="T73" s="455" t="n"/>
      <c r="U73" s="455" t="n"/>
      <c r="V73" s="455" t="n"/>
      <c r="W73" s="456" t="n"/>
      <c r="X73" s="457" t="n"/>
    </row>
    <row r="74" ht="17.25" customHeight="1" s="362" thickBot="1">
      <c r="B74" s="463" t="n"/>
      <c r="C74" s="464" t="n"/>
      <c r="D74" s="464" t="n"/>
      <c r="E74" s="464" t="n"/>
      <c r="F74" s="465" t="n"/>
      <c r="G74" s="466" t="n"/>
      <c r="H74" s="467" t="n"/>
      <c r="I74" s="467" t="n"/>
      <c r="J74" s="467" t="n"/>
      <c r="K74" s="468" t="n"/>
      <c r="L74" s="469" t="n"/>
      <c r="M74" s="466" t="n"/>
      <c r="N74" s="467" t="n"/>
      <c r="O74" s="467" t="n"/>
      <c r="P74" s="467" t="n"/>
      <c r="Q74" s="468" t="n"/>
      <c r="R74" s="469" t="n"/>
      <c r="S74" s="466" t="n"/>
      <c r="T74" s="467" t="n"/>
      <c r="U74" s="467" t="n"/>
      <c r="V74" s="467" t="n"/>
      <c r="W74" s="468" t="n"/>
      <c r="X74" s="46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70" min="9" max="12"/>
    <col width="14.125" customWidth="1" style="471" min="13" max="13"/>
    <col width="11.125" customWidth="1" style="470" min="14" max="14"/>
    <col width="14.125" customWidth="1" style="47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72" t="inlineStr">
        <is>
          <t>총물량</t>
        </is>
      </c>
      <c r="J3" s="472" t="inlineStr">
        <is>
          <t>전일누적</t>
        </is>
      </c>
      <c r="K3" s="47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73" t="inlineStr">
        <is>
          <t>[A]</t>
        </is>
      </c>
      <c r="J4" s="473" t="inlineStr">
        <is>
          <t>[B]</t>
        </is>
      </c>
      <c r="K4" s="473" t="inlineStr">
        <is>
          <t>[C]</t>
        </is>
      </c>
      <c r="L4" s="473" t="inlineStr">
        <is>
          <t>[D = B+C]</t>
        </is>
      </c>
      <c r="M4" s="474" t="inlineStr">
        <is>
          <t>F% : [D/A]</t>
        </is>
      </c>
      <c r="N4" s="473" t="inlineStr">
        <is>
          <t>[E = A-D]</t>
        </is>
      </c>
      <c r="O4" s="47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A구간</t>
        </is>
      </c>
      <c r="G5" s="140" t="inlineStr">
        <is>
          <t>버림틀 설치</t>
        </is>
      </c>
      <c r="H5" s="196" t="inlineStr">
        <is>
          <t>m</t>
        </is>
      </c>
      <c r="I5" s="475" t="n">
        <v>315</v>
      </c>
      <c r="J5" s="476" t="n">
        <v>315</v>
      </c>
      <c r="K5" s="475" t="n">
        <v>2.6</v>
      </c>
      <c r="L5" s="476" t="n">
        <v>317.6</v>
      </c>
      <c r="M5" s="477" t="n">
        <v>1.0083</v>
      </c>
      <c r="N5" s="476" t="n">
        <v>-2.6</v>
      </c>
      <c r="O5" s="477" t="n">
        <v>-0.0083</v>
      </c>
      <c r="P5" s="140" t="inlineStr">
        <is>
          <t>A구간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남웅건설</t>
        </is>
      </c>
      <c r="F6" s="195" t="inlineStr">
        <is>
          <t>A구간</t>
        </is>
      </c>
      <c r="G6" s="140" t="inlineStr">
        <is>
          <t>버림 타설</t>
        </is>
      </c>
      <c r="H6" s="196" t="inlineStr">
        <is>
          <t>m3</t>
        </is>
      </c>
      <c r="I6" s="475" t="n">
        <v>326</v>
      </c>
      <c r="J6" s="476" t="n">
        <v>326</v>
      </c>
      <c r="K6" s="475" t="n">
        <v>2.7</v>
      </c>
      <c r="L6" s="476" t="n">
        <v>328.7</v>
      </c>
      <c r="M6" s="477" t="n">
        <v>1.0083</v>
      </c>
      <c r="N6" s="476" t="n">
        <v>-2.7</v>
      </c>
      <c r="O6" s="477" t="n">
        <v>-0.0083</v>
      </c>
      <c r="P6" s="140" t="inlineStr">
        <is>
          <t>A구간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A구간</t>
        </is>
      </c>
      <c r="G7" s="140" t="inlineStr">
        <is>
          <t>철근 배근</t>
        </is>
      </c>
      <c r="H7" s="196" t="inlineStr">
        <is>
          <t>ton</t>
        </is>
      </c>
      <c r="I7" s="475" t="n">
        <v>1350</v>
      </c>
      <c r="J7" s="476" t="n">
        <v>1350</v>
      </c>
      <c r="K7" s="475" t="n">
        <v>11.5</v>
      </c>
      <c r="L7" s="476" t="n">
        <v>1361.5</v>
      </c>
      <c r="M7" s="477" t="n">
        <v>1.0085</v>
      </c>
      <c r="N7" s="476" t="n">
        <v>-11.5</v>
      </c>
      <c r="O7" s="477" t="n">
        <v>-0.008500000000000001</v>
      </c>
      <c r="P7" s="140" t="inlineStr">
        <is>
          <t>A구간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A구간</t>
        </is>
      </c>
      <c r="G8" s="140" t="inlineStr">
        <is>
          <t>기초 거푸집 설치</t>
        </is>
      </c>
      <c r="H8" s="196" t="inlineStr">
        <is>
          <t>m2</t>
        </is>
      </c>
      <c r="I8" s="475" t="n">
        <v>2135</v>
      </c>
      <c r="J8" s="476" t="n">
        <v>2135</v>
      </c>
      <c r="K8" s="475" t="n">
        <v>17.9</v>
      </c>
      <c r="L8" s="476" t="n">
        <v>2152.9</v>
      </c>
      <c r="M8" s="477" t="n">
        <v>1.0084</v>
      </c>
      <c r="N8" s="476" t="n">
        <v>-17.9</v>
      </c>
      <c r="O8" s="477" t="n">
        <v>-0.008399999999999999</v>
      </c>
      <c r="P8" s="140" t="inlineStr">
        <is>
          <t>A구간</t>
        </is>
      </c>
      <c r="Q8" s="140" t="inlineStr">
        <is>
          <t>건축</t>
        </is>
      </c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>A구간</t>
        </is>
      </c>
      <c r="G9" s="140" t="inlineStr">
        <is>
          <t>기초 타설</t>
        </is>
      </c>
      <c r="H9" s="196" t="inlineStr">
        <is>
          <t>m3</t>
        </is>
      </c>
      <c r="I9" s="475" t="n">
        <v>6024</v>
      </c>
      <c r="J9" s="476" t="n">
        <v>6024</v>
      </c>
      <c r="K9" s="475" t="n">
        <v>53.2</v>
      </c>
      <c r="L9" s="476" t="n">
        <v>6077.2</v>
      </c>
      <c r="M9" s="477" t="n">
        <v>1.0088</v>
      </c>
      <c r="N9" s="476" t="n">
        <v>-53.2</v>
      </c>
      <c r="O9" s="477" t="n">
        <v>-0.008800000000000001</v>
      </c>
      <c r="P9" s="140" t="inlineStr">
        <is>
          <t>A구간</t>
        </is>
      </c>
      <c r="Q9" s="140" t="inlineStr">
        <is>
          <t>건축</t>
        </is>
      </c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>B구간</t>
        </is>
      </c>
      <c r="G10" s="140" t="inlineStr">
        <is>
          <t>버림틀 설치</t>
        </is>
      </c>
      <c r="H10" s="196" t="inlineStr">
        <is>
          <t>m</t>
        </is>
      </c>
      <c r="I10" s="475" t="n">
        <v>700</v>
      </c>
      <c r="J10" s="476" t="n">
        <v>700</v>
      </c>
      <c r="K10" s="475" t="n">
        <v>5.7</v>
      </c>
      <c r="L10" s="476" t="n">
        <v>705.7</v>
      </c>
      <c r="M10" s="477" t="n">
        <v>1.0081</v>
      </c>
      <c r="N10" s="476" t="n">
        <v>-5.7</v>
      </c>
      <c r="O10" s="477" t="n">
        <v>-0.0081</v>
      </c>
      <c r="P10" s="140" t="inlineStr">
        <is>
          <t>B구간</t>
        </is>
      </c>
      <c r="Q10" s="140" t="inlineStr">
        <is>
          <t>건축</t>
        </is>
      </c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>B구간</t>
        </is>
      </c>
      <c r="G11" s="140" t="inlineStr">
        <is>
          <t>버림 타설</t>
        </is>
      </c>
      <c r="H11" s="196" t="inlineStr">
        <is>
          <t>m3</t>
        </is>
      </c>
      <c r="I11" s="475" t="n">
        <v>1064</v>
      </c>
      <c r="J11" s="476" t="n">
        <v>1064</v>
      </c>
      <c r="K11" s="475" t="n">
        <v>8.699999999999999</v>
      </c>
      <c r="L11" s="476" t="n">
        <v>1072.7</v>
      </c>
      <c r="M11" s="477" t="n">
        <v>1.0082</v>
      </c>
      <c r="N11" s="476" t="n">
        <v>-8.699999999999999</v>
      </c>
      <c r="O11" s="477" t="n">
        <v>-0.008200000000000001</v>
      </c>
      <c r="P11" s="140" t="inlineStr">
        <is>
          <t>B구간</t>
        </is>
      </c>
      <c r="Q11" s="140" t="inlineStr">
        <is>
          <t>건축</t>
        </is>
      </c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B구간</t>
        </is>
      </c>
      <c r="G12" s="140" t="inlineStr">
        <is>
          <t>철근 배근</t>
        </is>
      </c>
      <c r="H12" s="196" t="inlineStr">
        <is>
          <t>ton</t>
        </is>
      </c>
      <c r="I12" s="475" t="n">
        <v>1300</v>
      </c>
      <c r="J12" s="476" t="n">
        <v>1300</v>
      </c>
      <c r="K12" s="475" t="n">
        <v>11</v>
      </c>
      <c r="L12" s="476" t="n">
        <v>1311</v>
      </c>
      <c r="M12" s="477" t="n">
        <v>1.0085</v>
      </c>
      <c r="N12" s="476" t="n">
        <v>-11</v>
      </c>
      <c r="O12" s="477" t="n">
        <v>-0.008500000000000001</v>
      </c>
      <c r="P12" s="140" t="inlineStr">
        <is>
          <t>B구간</t>
        </is>
      </c>
      <c r="Q12" s="140" t="inlineStr">
        <is>
          <t>건축</t>
        </is>
      </c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B구간</t>
        </is>
      </c>
      <c r="G13" s="140" t="inlineStr">
        <is>
          <t>기초 거푸집 설치</t>
        </is>
      </c>
      <c r="H13" s="196" t="inlineStr">
        <is>
          <t>m2</t>
        </is>
      </c>
      <c r="I13" s="475" t="n">
        <v>1850</v>
      </c>
      <c r="J13" s="476" t="n">
        <v>1850</v>
      </c>
      <c r="K13" s="475" t="n">
        <v>15.5</v>
      </c>
      <c r="L13" s="476" t="n">
        <v>1865.5</v>
      </c>
      <c r="M13" s="477" t="n">
        <v>1.0084</v>
      </c>
      <c r="N13" s="476" t="n">
        <v>-15.5</v>
      </c>
      <c r="O13" s="477" t="n">
        <v>-0.008399999999999999</v>
      </c>
      <c r="P13" s="140" t="inlineStr">
        <is>
          <t>B구간</t>
        </is>
      </c>
      <c r="Q13" s="140" t="inlineStr">
        <is>
          <t>건축</t>
        </is>
      </c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B구간</t>
        </is>
      </c>
      <c r="G14" s="140" t="inlineStr">
        <is>
          <t>기초 타설</t>
        </is>
      </c>
      <c r="H14" s="196" t="inlineStr">
        <is>
          <t>m3</t>
        </is>
      </c>
      <c r="I14" s="475" t="n">
        <v>14846</v>
      </c>
      <c r="J14" s="476" t="n">
        <v>14846</v>
      </c>
      <c r="K14" s="475" t="n">
        <v>131.1</v>
      </c>
      <c r="L14" s="476" t="n">
        <v>14977.1</v>
      </c>
      <c r="M14" s="477" t="n">
        <v>1.0088</v>
      </c>
      <c r="N14" s="476" t="n">
        <v>-131.1</v>
      </c>
      <c r="O14" s="477" t="n">
        <v>-0.008800000000000001</v>
      </c>
      <c r="P14" s="140" t="inlineStr">
        <is>
          <t>B구간</t>
        </is>
      </c>
      <c r="Q14" s="140" t="inlineStr">
        <is>
          <t>건축</t>
        </is>
      </c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C구간</t>
        </is>
      </c>
      <c r="G15" s="140" t="inlineStr">
        <is>
          <t>철근 배근</t>
        </is>
      </c>
      <c r="H15" s="196" t="inlineStr">
        <is>
          <t>ton</t>
        </is>
      </c>
      <c r="I15" s="475" t="n">
        <v>750</v>
      </c>
      <c r="J15" s="476" t="n">
        <v>750</v>
      </c>
      <c r="K15" s="475" t="n">
        <v>6.4</v>
      </c>
      <c r="L15" s="476" t="n">
        <v>756.4</v>
      </c>
      <c r="M15" s="477" t="n">
        <v>1.0085</v>
      </c>
      <c r="N15" s="476" t="n">
        <v>-6.4</v>
      </c>
      <c r="O15" s="477" t="n">
        <v>-0.008500000000000001</v>
      </c>
      <c r="P15" s="140" t="inlineStr">
        <is>
          <t>C구간</t>
        </is>
      </c>
      <c r="Q15" s="140" t="inlineStr">
        <is>
          <t>건축</t>
        </is>
      </c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C구간</t>
        </is>
      </c>
      <c r="G16" s="140" t="inlineStr">
        <is>
          <t>기초 거푸집 설치</t>
        </is>
      </c>
      <c r="H16" s="196" t="inlineStr">
        <is>
          <t>m2</t>
        </is>
      </c>
      <c r="I16" s="475" t="n">
        <v>1230</v>
      </c>
      <c r="J16" s="476" t="n">
        <v>1230</v>
      </c>
      <c r="K16" s="475" t="n">
        <v>10.3</v>
      </c>
      <c r="L16" s="476" t="n">
        <v>1240.3</v>
      </c>
      <c r="M16" s="477" t="n">
        <v>1.0084</v>
      </c>
      <c r="N16" s="476" t="n">
        <v>-10.3</v>
      </c>
      <c r="O16" s="477" t="n">
        <v>-0.008399999999999999</v>
      </c>
      <c r="P16" s="140" t="inlineStr">
        <is>
          <t>C구간</t>
        </is>
      </c>
      <c r="Q16" s="140" t="inlineStr">
        <is>
          <t>건축</t>
        </is>
      </c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C구간</t>
        </is>
      </c>
      <c r="G17" s="140" t="inlineStr">
        <is>
          <t>기초 타설</t>
        </is>
      </c>
      <c r="H17" s="196" t="inlineStr">
        <is>
          <t>m3</t>
        </is>
      </c>
      <c r="I17" s="475" t="n">
        <v>5624</v>
      </c>
      <c r="J17" s="476" t="n">
        <v>5624</v>
      </c>
      <c r="K17" s="475" t="n">
        <v>49.7</v>
      </c>
      <c r="L17" s="476" t="n">
        <v>5673.7</v>
      </c>
      <c r="M17" s="477" t="n">
        <v>1.0088</v>
      </c>
      <c r="N17" s="476" t="n">
        <v>-49.7</v>
      </c>
      <c r="O17" s="477" t="n">
        <v>-0.008800000000000001</v>
      </c>
      <c r="P17" s="140" t="inlineStr">
        <is>
          <t>C구간</t>
        </is>
      </c>
      <c r="Q17" s="140" t="inlineStr">
        <is>
          <t>건축</t>
        </is>
      </c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D구간</t>
        </is>
      </c>
      <c r="G18" s="140" t="inlineStr">
        <is>
          <t>버림틀 설치</t>
        </is>
      </c>
      <c r="H18" s="196" t="inlineStr">
        <is>
          <t>m</t>
        </is>
      </c>
      <c r="I18" s="475" t="n">
        <v>260</v>
      </c>
      <c r="J18" s="476" t="n">
        <v>260</v>
      </c>
      <c r="K18" s="475" t="n">
        <v>2.1</v>
      </c>
      <c r="L18" s="476" t="n">
        <v>262.1</v>
      </c>
      <c r="M18" s="477" t="n">
        <v>1.0081</v>
      </c>
      <c r="N18" s="476" t="n">
        <v>-2.1</v>
      </c>
      <c r="O18" s="477" t="n">
        <v>-0.0081</v>
      </c>
      <c r="P18" s="140" t="inlineStr">
        <is>
          <t>D구간</t>
        </is>
      </c>
      <c r="Q18" s="140" t="inlineStr">
        <is>
          <t>건축</t>
        </is>
      </c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D구간</t>
        </is>
      </c>
      <c r="G19" s="140" t="inlineStr">
        <is>
          <t>버림 타설</t>
        </is>
      </c>
      <c r="H19" s="196" t="inlineStr">
        <is>
          <t>m3</t>
        </is>
      </c>
      <c r="I19" s="475" t="n">
        <v>576</v>
      </c>
      <c r="J19" s="476" t="n">
        <v>576</v>
      </c>
      <c r="K19" s="475" t="n">
        <v>4.7</v>
      </c>
      <c r="L19" s="476" t="n">
        <v>580.7</v>
      </c>
      <c r="M19" s="477" t="n">
        <v>1.0082</v>
      </c>
      <c r="N19" s="476" t="n">
        <v>-4.7</v>
      </c>
      <c r="O19" s="477" t="n">
        <v>-0.008200000000000001</v>
      </c>
      <c r="P19" s="140" t="inlineStr">
        <is>
          <t>D구간</t>
        </is>
      </c>
      <c r="Q19" s="140" t="inlineStr">
        <is>
          <t>건축</t>
        </is>
      </c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D구간</t>
        </is>
      </c>
      <c r="G20" s="140" t="inlineStr">
        <is>
          <t>철근 배근</t>
        </is>
      </c>
      <c r="H20" s="196" t="inlineStr">
        <is>
          <t>ton</t>
        </is>
      </c>
      <c r="I20" s="475" t="n">
        <v>700</v>
      </c>
      <c r="J20" s="476" t="n">
        <v>700</v>
      </c>
      <c r="K20" s="475" t="n">
        <v>5.9</v>
      </c>
      <c r="L20" s="476" t="n">
        <v>705.9</v>
      </c>
      <c r="M20" s="477" t="n">
        <v>1.0084</v>
      </c>
      <c r="N20" s="476" t="n">
        <v>-5.9</v>
      </c>
      <c r="O20" s="477" t="n">
        <v>-0.008399999999999999</v>
      </c>
      <c r="P20" s="140" t="inlineStr">
        <is>
          <t>D구간</t>
        </is>
      </c>
      <c r="Q20" s="140" t="inlineStr">
        <is>
          <t>건축</t>
        </is>
      </c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D구간</t>
        </is>
      </c>
      <c r="G21" s="140" t="inlineStr">
        <is>
          <t>기초 거푸집 설치</t>
        </is>
      </c>
      <c r="H21" s="196" t="inlineStr">
        <is>
          <t>m2</t>
        </is>
      </c>
      <c r="I21" s="475" t="n">
        <v>1000</v>
      </c>
      <c r="J21" s="476" t="n">
        <v>1000</v>
      </c>
      <c r="K21" s="475" t="n">
        <v>8.4</v>
      </c>
      <c r="L21" s="476" t="n">
        <v>1008.4</v>
      </c>
      <c r="M21" s="477" t="n">
        <v>1.0084</v>
      </c>
      <c r="N21" s="476" t="n">
        <v>-8.4</v>
      </c>
      <c r="O21" s="477" t="n">
        <v>-0.008399999999999999</v>
      </c>
      <c r="P21" s="140" t="inlineStr">
        <is>
          <t>D구간</t>
        </is>
      </c>
      <c r="Q21" s="140" t="inlineStr">
        <is>
          <t>건축</t>
        </is>
      </c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D구간</t>
        </is>
      </c>
      <c r="G22" s="140" t="inlineStr">
        <is>
          <t>기초 타설</t>
        </is>
      </c>
      <c r="H22" s="196" t="inlineStr">
        <is>
          <t>m3</t>
        </is>
      </c>
      <c r="I22" s="475" t="n">
        <v>11321</v>
      </c>
      <c r="J22" s="476" t="n">
        <v>11321</v>
      </c>
      <c r="K22" s="475" t="n">
        <v>99.90000000000001</v>
      </c>
      <c r="L22" s="476" t="n">
        <v>11420.9</v>
      </c>
      <c r="M22" s="477" t="n">
        <v>1.0088</v>
      </c>
      <c r="N22" s="476" t="n">
        <v>-99.90000000000001</v>
      </c>
      <c r="O22" s="477" t="n">
        <v>-0.008800000000000001</v>
      </c>
      <c r="P22" s="140" t="inlineStr">
        <is>
          <t>D구간</t>
        </is>
      </c>
      <c r="Q22" s="140" t="inlineStr">
        <is>
          <t>건축</t>
        </is>
      </c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E구간</t>
        </is>
      </c>
      <c r="G23" s="140" t="inlineStr">
        <is>
          <t>버림틀 설치</t>
        </is>
      </c>
      <c r="H23" s="196" t="inlineStr">
        <is>
          <t>m</t>
        </is>
      </c>
      <c r="I23" s="475" t="n">
        <v>360</v>
      </c>
      <c r="J23" s="476" t="n">
        <v>360</v>
      </c>
      <c r="K23" s="475" t="n">
        <v>2.9</v>
      </c>
      <c r="L23" s="476" t="n">
        <v>362.9</v>
      </c>
      <c r="M23" s="477" t="n">
        <v>1.0081</v>
      </c>
      <c r="N23" s="476" t="n">
        <v>-2.9</v>
      </c>
      <c r="O23" s="477" t="n">
        <v>-0.0081</v>
      </c>
      <c r="P23" s="140" t="inlineStr">
        <is>
          <t>E구간</t>
        </is>
      </c>
      <c r="Q23" s="140" t="inlineStr">
        <is>
          <t>건축</t>
        </is>
      </c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E구간</t>
        </is>
      </c>
      <c r="G24" s="140" t="inlineStr">
        <is>
          <t>버림 타설</t>
        </is>
      </c>
      <c r="H24" s="196" t="inlineStr">
        <is>
          <t>m3</t>
        </is>
      </c>
      <c r="I24" s="475" t="n">
        <v>1085</v>
      </c>
      <c r="J24" s="476" t="n">
        <v>1085</v>
      </c>
      <c r="K24" s="475" t="n">
        <v>8.9</v>
      </c>
      <c r="L24" s="476" t="n">
        <v>1093.9</v>
      </c>
      <c r="M24" s="477" t="n">
        <v>1.0082</v>
      </c>
      <c r="N24" s="476" t="n">
        <v>-8.9</v>
      </c>
      <c r="O24" s="477" t="n">
        <v>-0.008200000000000001</v>
      </c>
      <c r="P24" s="140" t="inlineStr">
        <is>
          <t>E구간</t>
        </is>
      </c>
      <c r="Q24" s="140" t="inlineStr">
        <is>
          <t>건축</t>
        </is>
      </c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>E구간</t>
        </is>
      </c>
      <c r="G25" s="140" t="inlineStr">
        <is>
          <t>철근 배근</t>
        </is>
      </c>
      <c r="H25" s="196" t="inlineStr">
        <is>
          <t>ton</t>
        </is>
      </c>
      <c r="I25" s="475" t="n">
        <v>930</v>
      </c>
      <c r="J25" s="476" t="n">
        <v>930</v>
      </c>
      <c r="K25" s="475" t="n">
        <v>7.9</v>
      </c>
      <c r="L25" s="476" t="n">
        <v>937.9</v>
      </c>
      <c r="M25" s="477" t="n">
        <v>1.0085</v>
      </c>
      <c r="N25" s="476" t="n">
        <v>-7.9</v>
      </c>
      <c r="O25" s="477" t="n">
        <v>-0.008500000000000001</v>
      </c>
      <c r="P25" s="140" t="inlineStr">
        <is>
          <t>E구간</t>
        </is>
      </c>
      <c r="Q25" s="140" t="inlineStr">
        <is>
          <t>건축</t>
        </is>
      </c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E구간</t>
        </is>
      </c>
      <c r="G26" s="140" t="inlineStr">
        <is>
          <t>기초 거푸집 설치</t>
        </is>
      </c>
      <c r="H26" s="196" t="inlineStr">
        <is>
          <t>m2</t>
        </is>
      </c>
      <c r="I26" s="475" t="n">
        <v>1230</v>
      </c>
      <c r="J26" s="476" t="n">
        <v>1230</v>
      </c>
      <c r="K26" s="475" t="n">
        <v>10.3</v>
      </c>
      <c r="L26" s="476" t="n">
        <v>1240.3</v>
      </c>
      <c r="M26" s="477" t="n">
        <v>1.0084</v>
      </c>
      <c r="N26" s="476" t="n">
        <v>-10.3</v>
      </c>
      <c r="O26" s="477" t="n">
        <v>-0.008399999999999999</v>
      </c>
      <c r="P26" s="140" t="inlineStr">
        <is>
          <t>E구간</t>
        </is>
      </c>
      <c r="Q26" s="140" t="inlineStr">
        <is>
          <t>건축</t>
        </is>
      </c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>E구간</t>
        </is>
      </c>
      <c r="G27" s="140" t="inlineStr">
        <is>
          <t>기초 타설</t>
        </is>
      </c>
      <c r="H27" s="196" t="inlineStr">
        <is>
          <t>m3</t>
        </is>
      </c>
      <c r="I27" s="475" t="n">
        <v>13348</v>
      </c>
      <c r="J27" s="476" t="n">
        <v>13348</v>
      </c>
      <c r="K27" s="475" t="n">
        <v>117.8</v>
      </c>
      <c r="L27" s="476" t="n">
        <v>13465.8</v>
      </c>
      <c r="M27" s="477" t="n">
        <v>1.0088</v>
      </c>
      <c r="N27" s="476" t="n">
        <v>-117.8</v>
      </c>
      <c r="O27" s="477" t="n">
        <v>-0.008800000000000001</v>
      </c>
      <c r="P27" s="140" t="inlineStr">
        <is>
          <t>E구간</t>
        </is>
      </c>
      <c r="Q27" s="140" t="inlineStr">
        <is>
          <t>건축</t>
        </is>
      </c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F02 2F</t>
        </is>
      </c>
      <c r="G28" s="140" t="inlineStr">
        <is>
          <t>철근배근</t>
        </is>
      </c>
      <c r="H28" s="196" t="inlineStr">
        <is>
          <t>ton</t>
        </is>
      </c>
      <c r="I28" s="475" t="n">
        <v>400</v>
      </c>
      <c r="J28" s="476" t="n">
        <v>400</v>
      </c>
      <c r="K28" s="475" t="n">
        <v>3.8</v>
      </c>
      <c r="L28" s="476" t="n">
        <v>403.8</v>
      </c>
      <c r="M28" s="477" t="n">
        <v>1.0095</v>
      </c>
      <c r="N28" s="476" t="n">
        <v>-3.8</v>
      </c>
      <c r="O28" s="477" t="n">
        <v>-0.0095</v>
      </c>
      <c r="P28" s="140" t="inlineStr">
        <is>
          <t>F02 2F</t>
        </is>
      </c>
      <c r="Q28" s="140" t="inlineStr">
        <is>
          <t>건축</t>
        </is>
      </c>
      <c r="R28" s="140" t="n"/>
      <c r="S28" s="140" t="n"/>
    </row>
    <row r="29" ht="15" customHeight="1" s="362">
      <c r="B29" s="31" t="n"/>
      <c r="C29" s="32" t="n"/>
      <c r="D29" s="32" t="inlineStr">
        <is>
          <t>건축</t>
        </is>
      </c>
      <c r="E29" s="32" t="n"/>
      <c r="F29" s="195" t="inlineStr">
        <is>
          <t>유수분리조 기초</t>
        </is>
      </c>
      <c r="G29" s="140" t="inlineStr">
        <is>
          <t>거푸집 탈형</t>
        </is>
      </c>
      <c r="H29" s="196" t="inlineStr">
        <is>
          <t>m2</t>
        </is>
      </c>
      <c r="I29" s="475" t="n">
        <v>9</v>
      </c>
      <c r="J29" s="476" t="n">
        <v>9</v>
      </c>
      <c r="K29" s="475" t="n">
        <v>1</v>
      </c>
      <c r="L29" s="476" t="n">
        <v>10</v>
      </c>
      <c r="M29" s="477" t="n">
        <v>1.1111</v>
      </c>
      <c r="N29" s="476" t="n">
        <v>-1</v>
      </c>
      <c r="O29" s="477" t="n">
        <v>-0.1111</v>
      </c>
      <c r="P29" s="140" t="inlineStr">
        <is>
          <t>유수분리조 기초</t>
        </is>
      </c>
      <c r="Q29" s="140" t="inlineStr">
        <is>
          <t>건축</t>
        </is>
      </c>
      <c r="R29" s="140" t="n"/>
      <c r="S29" s="140" t="n"/>
    </row>
    <row r="30" ht="15" customHeight="1" s="362">
      <c r="B30" s="31" t="n"/>
      <c r="C30" s="32" t="n"/>
      <c r="D30" s="32" t="inlineStr">
        <is>
          <t>건축</t>
        </is>
      </c>
      <c r="E30" s="32" t="n"/>
      <c r="F30" s="195" t="inlineStr">
        <is>
          <t>유수분리조 벽체</t>
        </is>
      </c>
      <c r="G30" s="140" t="inlineStr">
        <is>
          <t>벽체 철근 조립</t>
        </is>
      </c>
      <c r="H30" s="196" t="inlineStr">
        <is>
          <t>m2</t>
        </is>
      </c>
      <c r="I30" s="475" t="n">
        <v>80</v>
      </c>
      <c r="J30" s="476" t="n">
        <v>80</v>
      </c>
      <c r="K30" s="475" t="n">
        <v>1</v>
      </c>
      <c r="L30" s="476" t="n">
        <v>81</v>
      </c>
      <c r="M30" s="477" t="n">
        <v>1.0125</v>
      </c>
      <c r="N30" s="476" t="n">
        <v>-1</v>
      </c>
      <c r="O30" s="477" t="n">
        <v>-0.0125</v>
      </c>
      <c r="P30" s="140" t="inlineStr">
        <is>
          <t>유수분리조 벽체</t>
        </is>
      </c>
      <c r="Q30" s="140" t="inlineStr">
        <is>
          <t>건축</t>
        </is>
      </c>
      <c r="R30" s="140" t="n"/>
      <c r="S30" s="140" t="n"/>
    </row>
    <row r="31" ht="15" customHeight="1" s="362">
      <c r="B31" s="31" t="n"/>
      <c r="C31" s="32" t="n"/>
      <c r="D31" s="32" t="inlineStr">
        <is>
          <t>건축</t>
        </is>
      </c>
      <c r="E31" s="32" t="n"/>
      <c r="F31" s="195" t="inlineStr">
        <is>
          <t>유수분리조 벽체</t>
        </is>
      </c>
      <c r="G31" s="140" t="inlineStr">
        <is>
          <t>비계 설치</t>
        </is>
      </c>
      <c r="H31" s="196" t="inlineStr">
        <is>
          <t>m2</t>
        </is>
      </c>
      <c r="I31" s="475" t="n">
        <v>40</v>
      </c>
      <c r="J31" s="476" t="n">
        <v>40</v>
      </c>
      <c r="K31" s="475" t="n">
        <v>1</v>
      </c>
      <c r="L31" s="476" t="n">
        <v>41</v>
      </c>
      <c r="M31" s="477" t="n">
        <v>1.025</v>
      </c>
      <c r="N31" s="476" t="n">
        <v>-1</v>
      </c>
      <c r="O31" s="477" t="n">
        <v>-0.025</v>
      </c>
      <c r="P31" s="140" t="inlineStr">
        <is>
          <t>유수분리조 벽체</t>
        </is>
      </c>
      <c r="Q31" s="140" t="inlineStr">
        <is>
          <t>건축</t>
        </is>
      </c>
      <c r="R31" s="140" t="n"/>
      <c r="S31" s="140" t="n"/>
    </row>
    <row r="32" ht="15" customHeight="1" s="362">
      <c r="B32" s="31" t="n"/>
      <c r="C32" s="32" t="n"/>
      <c r="D32" s="32" t="inlineStr">
        <is>
          <t>건축</t>
        </is>
      </c>
      <c r="E32" s="32" t="n"/>
      <c r="F32" s="195" t="inlineStr">
        <is>
          <t>유수분리조 벽체</t>
        </is>
      </c>
      <c r="G32" s="140" t="inlineStr">
        <is>
          <t>벽체 거푸집 설치</t>
        </is>
      </c>
      <c r="H32" s="196" t="inlineStr">
        <is>
          <t>m2</t>
        </is>
      </c>
      <c r="I32" s="475" t="n">
        <v>80</v>
      </c>
      <c r="J32" s="476" t="n">
        <v>80</v>
      </c>
      <c r="K32" s="475" t="n">
        <v>1</v>
      </c>
      <c r="L32" s="476" t="n">
        <v>81</v>
      </c>
      <c r="M32" s="477" t="n">
        <v>1.0125</v>
      </c>
      <c r="N32" s="476" t="n">
        <v>-1</v>
      </c>
      <c r="O32" s="477" t="n">
        <v>-0.0125</v>
      </c>
      <c r="P32" s="140" t="inlineStr">
        <is>
          <t>유수분리조 벽체</t>
        </is>
      </c>
      <c r="Q32" s="140" t="inlineStr">
        <is>
          <t>건축</t>
        </is>
      </c>
      <c r="R32" s="140" t="n"/>
      <c r="S32" s="140" t="n"/>
    </row>
    <row r="33" ht="15" customHeight="1" s="362">
      <c r="B33" s="31" t="n"/>
      <c r="C33" s="32" t="n"/>
      <c r="D33" s="32" t="inlineStr">
        <is>
          <t>건축</t>
        </is>
      </c>
      <c r="E33" s="32" t="n"/>
      <c r="F33" s="195" t="inlineStr">
        <is>
          <t>유수분리조 벽체</t>
        </is>
      </c>
      <c r="G33" s="140" t="inlineStr">
        <is>
          <t>벽체 타설</t>
        </is>
      </c>
      <c r="H33" s="196" t="inlineStr">
        <is>
          <t>m3</t>
        </is>
      </c>
      <c r="I33" s="475" t="n">
        <v>40</v>
      </c>
      <c r="J33" s="476" t="n">
        <v>40</v>
      </c>
      <c r="K33" s="475" t="n">
        <v>1</v>
      </c>
      <c r="L33" s="476" t="n">
        <v>41</v>
      </c>
      <c r="M33" s="477" t="n">
        <v>1.025</v>
      </c>
      <c r="N33" s="476" t="n">
        <v>-1</v>
      </c>
      <c r="O33" s="477" t="n">
        <v>-0.025</v>
      </c>
      <c r="P33" s="140" t="inlineStr">
        <is>
          <t>유수분리조 벽체</t>
        </is>
      </c>
      <c r="Q33" s="140" t="inlineStr">
        <is>
          <t>건축</t>
        </is>
      </c>
      <c r="R33" s="140" t="n"/>
      <c r="S33" s="140" t="n"/>
    </row>
    <row r="34" ht="15" customHeight="1" s="362">
      <c r="B34" s="31" t="n"/>
      <c r="C34" s="32" t="n"/>
      <c r="D34" s="32" t="inlineStr">
        <is>
          <t>건축</t>
        </is>
      </c>
      <c r="E34" s="32" t="n"/>
      <c r="F34" s="195" t="inlineStr">
        <is>
          <t>A구간</t>
        </is>
      </c>
      <c r="G34" s="140" t="inlineStr">
        <is>
          <t>버림틀 설치</t>
        </is>
      </c>
      <c r="H34" s="196" t="inlineStr">
        <is>
          <t>m</t>
        </is>
      </c>
      <c r="I34" s="475" t="n">
        <v>150</v>
      </c>
      <c r="J34" s="476" t="n">
        <v>150</v>
      </c>
      <c r="K34" s="475" t="n">
        <v>1.7</v>
      </c>
      <c r="L34" s="476" t="n">
        <v>151.7</v>
      </c>
      <c r="M34" s="477" t="n">
        <v>1.0113</v>
      </c>
      <c r="N34" s="476" t="n">
        <v>-1.7</v>
      </c>
      <c r="O34" s="477" t="n">
        <v>-0.0113</v>
      </c>
      <c r="P34" s="140" t="inlineStr">
        <is>
          <t>A구간</t>
        </is>
      </c>
      <c r="Q34" s="140" t="inlineStr">
        <is>
          <t>건축</t>
        </is>
      </c>
      <c r="R34" s="140" t="n"/>
      <c r="S34" s="140" t="n"/>
    </row>
    <row r="35" ht="15" customHeight="1" s="362">
      <c r="B35" s="31" t="n"/>
      <c r="C35" s="32" t="n"/>
      <c r="D35" s="32" t="inlineStr">
        <is>
          <t>건축</t>
        </is>
      </c>
      <c r="E35" s="32" t="n"/>
      <c r="F35" s="195" t="inlineStr">
        <is>
          <t>A구간</t>
        </is>
      </c>
      <c r="G35" s="140" t="inlineStr">
        <is>
          <t>버림 타설</t>
        </is>
      </c>
      <c r="H35" s="196" t="inlineStr">
        <is>
          <t>m3</t>
        </is>
      </c>
      <c r="I35" s="475" t="n">
        <v>468</v>
      </c>
      <c r="J35" s="476" t="n">
        <v>468</v>
      </c>
      <c r="K35" s="475" t="n">
        <v>5.3</v>
      </c>
      <c r="L35" s="476" t="n">
        <v>473.3</v>
      </c>
      <c r="M35" s="477" t="n">
        <v>1.0113</v>
      </c>
      <c r="N35" s="476" t="n">
        <v>-5.3</v>
      </c>
      <c r="O35" s="477" t="n">
        <v>-0.0113</v>
      </c>
      <c r="P35" s="140" t="inlineStr">
        <is>
          <t>A구간</t>
        </is>
      </c>
      <c r="Q35" s="140" t="inlineStr">
        <is>
          <t>건축</t>
        </is>
      </c>
      <c r="R35" s="140" t="n"/>
      <c r="S35" s="140" t="n"/>
    </row>
    <row r="36" ht="15" customHeight="1" s="362">
      <c r="B36" s="31" t="n"/>
      <c r="C36" s="32" t="n"/>
      <c r="D36" s="32" t="inlineStr">
        <is>
          <t>건축</t>
        </is>
      </c>
      <c r="E36" s="32" t="n"/>
      <c r="F36" s="195" t="inlineStr">
        <is>
          <t>A구간</t>
        </is>
      </c>
      <c r="G36" s="140" t="inlineStr">
        <is>
          <t>철근 배근</t>
        </is>
      </c>
      <c r="H36" s="196" t="inlineStr">
        <is>
          <t>ton</t>
        </is>
      </c>
      <c r="I36" s="475" t="n">
        <v>760</v>
      </c>
      <c r="J36" s="476" t="n">
        <v>760</v>
      </c>
      <c r="K36" s="475" t="n">
        <v>8.699999999999999</v>
      </c>
      <c r="L36" s="476" t="n">
        <v>768.7</v>
      </c>
      <c r="M36" s="477" t="n">
        <v>1.0114</v>
      </c>
      <c r="N36" s="476" t="n">
        <v>-8.699999999999999</v>
      </c>
      <c r="O36" s="477" t="n">
        <v>-0.0114</v>
      </c>
      <c r="P36" s="140" t="inlineStr">
        <is>
          <t>A구간</t>
        </is>
      </c>
      <c r="Q36" s="140" t="inlineStr">
        <is>
          <t>건축</t>
        </is>
      </c>
      <c r="R36" s="140" t="n"/>
      <c r="S36" s="140" t="n"/>
    </row>
    <row r="37" ht="15" customHeight="1" s="362">
      <c r="B37" s="31" t="n"/>
      <c r="C37" s="32" t="n"/>
      <c r="D37" s="32" t="inlineStr">
        <is>
          <t>건축</t>
        </is>
      </c>
      <c r="E37" s="32" t="n"/>
      <c r="F37" s="195" t="inlineStr">
        <is>
          <t>A구간</t>
        </is>
      </c>
      <c r="G37" s="140" t="inlineStr">
        <is>
          <t>기초 거푸집 설치</t>
        </is>
      </c>
      <c r="H37" s="196" t="inlineStr">
        <is>
          <t>m2</t>
        </is>
      </c>
      <c r="I37" s="475" t="n">
        <v>1040</v>
      </c>
      <c r="J37" s="476" t="n">
        <v>1040</v>
      </c>
      <c r="K37" s="475" t="n">
        <v>11.8</v>
      </c>
      <c r="L37" s="476" t="n">
        <v>1051.8</v>
      </c>
      <c r="M37" s="477" t="n">
        <v>1.0113</v>
      </c>
      <c r="N37" s="476" t="n">
        <v>-11.8</v>
      </c>
      <c r="O37" s="477" t="n">
        <v>-0.0113</v>
      </c>
      <c r="P37" s="140" t="inlineStr">
        <is>
          <t>A구간</t>
        </is>
      </c>
      <c r="Q37" s="140" t="inlineStr">
        <is>
          <t>건축</t>
        </is>
      </c>
      <c r="R37" s="140" t="n"/>
      <c r="S37" s="140" t="n"/>
    </row>
    <row r="38" ht="15" customHeight="1" s="362">
      <c r="B38" s="31" t="n"/>
      <c r="C38" s="32" t="n"/>
      <c r="D38" s="32" t="inlineStr">
        <is>
          <t>건축</t>
        </is>
      </c>
      <c r="E38" s="32" t="n"/>
      <c r="F38" s="195" t="inlineStr">
        <is>
          <t>A구간</t>
        </is>
      </c>
      <c r="G38" s="140" t="inlineStr">
        <is>
          <t>기초 타설</t>
        </is>
      </c>
      <c r="H38" s="196" t="inlineStr">
        <is>
          <t>m3</t>
        </is>
      </c>
      <c r="I38" s="475" t="n">
        <v>9915</v>
      </c>
      <c r="J38" s="476" t="n">
        <v>9915</v>
      </c>
      <c r="K38" s="475" t="n">
        <v>116.3</v>
      </c>
      <c r="L38" s="476" t="n">
        <v>10031.3</v>
      </c>
      <c r="M38" s="477" t="n">
        <v>1.0117</v>
      </c>
      <c r="N38" s="476" t="n">
        <v>-116.3</v>
      </c>
      <c r="O38" s="477" t="n">
        <v>-0.0117</v>
      </c>
      <c r="P38" s="140" t="inlineStr">
        <is>
          <t>A구간</t>
        </is>
      </c>
      <c r="Q38" s="140" t="inlineStr">
        <is>
          <t>건축</t>
        </is>
      </c>
      <c r="R38" s="140" t="n"/>
      <c r="S38" s="140" t="n"/>
    </row>
    <row r="39" ht="15" customHeight="1" s="362">
      <c r="B39" s="31" t="n"/>
      <c r="C39" s="32" t="n"/>
      <c r="D39" s="32" t="inlineStr">
        <is>
          <t>건축</t>
        </is>
      </c>
      <c r="E39" s="32" t="n"/>
      <c r="F39" s="195" t="inlineStr">
        <is>
          <t>B구간</t>
        </is>
      </c>
      <c r="G39" s="140" t="inlineStr">
        <is>
          <t>버림틀 설치</t>
        </is>
      </c>
      <c r="H39" s="196" t="inlineStr">
        <is>
          <t>m</t>
        </is>
      </c>
      <c r="I39" s="475" t="n">
        <v>230</v>
      </c>
      <c r="J39" s="476" t="n">
        <v>230</v>
      </c>
      <c r="K39" s="475" t="n">
        <v>2.6</v>
      </c>
      <c r="L39" s="476" t="n">
        <v>232.6</v>
      </c>
      <c r="M39" s="477" t="n">
        <v>1.0113</v>
      </c>
      <c r="N39" s="476" t="n">
        <v>-2.6</v>
      </c>
      <c r="O39" s="477" t="n">
        <v>-0.0113</v>
      </c>
      <c r="P39" s="140" t="inlineStr">
        <is>
          <t>B구간</t>
        </is>
      </c>
      <c r="Q39" s="140" t="inlineStr">
        <is>
          <t>건축</t>
        </is>
      </c>
      <c r="R39" s="140" t="n"/>
      <c r="S39" s="140" t="n"/>
    </row>
    <row r="40" ht="15" customHeight="1" s="362">
      <c r="B40" s="31" t="n"/>
      <c r="C40" s="32" t="n"/>
      <c r="D40" s="32" t="inlineStr">
        <is>
          <t>건축</t>
        </is>
      </c>
      <c r="E40" s="32" t="n"/>
      <c r="F40" s="195" t="inlineStr">
        <is>
          <t>B구간</t>
        </is>
      </c>
      <c r="G40" s="140" t="inlineStr">
        <is>
          <t>버림 타설</t>
        </is>
      </c>
      <c r="H40" s="196" t="inlineStr">
        <is>
          <t>m3</t>
        </is>
      </c>
      <c r="I40" s="475" t="n">
        <v>892</v>
      </c>
      <c r="J40" s="476" t="n">
        <v>892</v>
      </c>
      <c r="K40" s="475" t="n">
        <v>10</v>
      </c>
      <c r="L40" s="476" t="n">
        <v>902</v>
      </c>
      <c r="M40" s="477" t="n">
        <v>1.0112</v>
      </c>
      <c r="N40" s="476" t="n">
        <v>-10</v>
      </c>
      <c r="O40" s="477" t="n">
        <v>-0.0112</v>
      </c>
      <c r="P40" s="140" t="inlineStr">
        <is>
          <t>B구간</t>
        </is>
      </c>
      <c r="Q40" s="140" t="inlineStr">
        <is>
          <t>건축</t>
        </is>
      </c>
      <c r="R40" s="140" t="n"/>
      <c r="S40" s="140" t="n"/>
    </row>
    <row r="41" ht="15" customHeight="1" s="362">
      <c r="B41" s="31" t="n"/>
      <c r="C41" s="32" t="n"/>
      <c r="D41" s="32" t="inlineStr">
        <is>
          <t>건축</t>
        </is>
      </c>
      <c r="E41" s="32" t="n"/>
      <c r="F41" s="195" t="inlineStr">
        <is>
          <t>B구간</t>
        </is>
      </c>
      <c r="G41" s="140" t="inlineStr">
        <is>
          <t>철근 배근</t>
        </is>
      </c>
      <c r="H41" s="196" t="inlineStr">
        <is>
          <t>ton</t>
        </is>
      </c>
      <c r="I41" s="475" t="n">
        <v>940</v>
      </c>
      <c r="J41" s="476" t="n">
        <v>940</v>
      </c>
      <c r="K41" s="475" t="n">
        <v>10.8</v>
      </c>
      <c r="L41" s="476" t="n">
        <v>950.8</v>
      </c>
      <c r="M41" s="477" t="n">
        <v>1.0115</v>
      </c>
      <c r="N41" s="476" t="n">
        <v>-10.8</v>
      </c>
      <c r="O41" s="477" t="n">
        <v>-0.0115</v>
      </c>
      <c r="P41" s="140" t="inlineStr">
        <is>
          <t>B구간</t>
        </is>
      </c>
      <c r="Q41" s="140" t="inlineStr">
        <is>
          <t>건축</t>
        </is>
      </c>
      <c r="R41" s="140" t="n"/>
      <c r="S41" s="140" t="n"/>
    </row>
    <row r="42" ht="15" customHeight="1" s="362">
      <c r="B42" s="31" t="n"/>
      <c r="C42" s="32" t="n"/>
      <c r="D42" s="32" t="inlineStr">
        <is>
          <t>건축</t>
        </is>
      </c>
      <c r="E42" s="32" t="n"/>
      <c r="F42" s="195" t="inlineStr">
        <is>
          <t>B구간</t>
        </is>
      </c>
      <c r="G42" s="140" t="inlineStr">
        <is>
          <t>기초 거푸집 설치</t>
        </is>
      </c>
      <c r="H42" s="196" t="inlineStr">
        <is>
          <t>m2</t>
        </is>
      </c>
      <c r="I42" s="475" t="n">
        <v>1240</v>
      </c>
      <c r="J42" s="476" t="n">
        <v>1240</v>
      </c>
      <c r="K42" s="475" t="n">
        <v>14.1</v>
      </c>
      <c r="L42" s="476" t="n">
        <v>1254.1</v>
      </c>
      <c r="M42" s="477" t="n">
        <v>1.0114</v>
      </c>
      <c r="N42" s="476" t="n">
        <v>-14.1</v>
      </c>
      <c r="O42" s="477" t="n">
        <v>-0.0114</v>
      </c>
      <c r="P42" s="140" t="inlineStr">
        <is>
          <t>B구간</t>
        </is>
      </c>
      <c r="Q42" s="140" t="inlineStr">
        <is>
          <t>건축</t>
        </is>
      </c>
      <c r="R42" s="140" t="n"/>
      <c r="S42" s="140" t="n"/>
    </row>
    <row r="43" ht="15" customHeight="1" s="362">
      <c r="B43" s="31" t="n"/>
      <c r="C43" s="32" t="n"/>
      <c r="D43" s="32" t="inlineStr">
        <is>
          <t>건축</t>
        </is>
      </c>
      <c r="E43" s="32" t="n"/>
      <c r="F43" s="195" t="inlineStr">
        <is>
          <t>B구간</t>
        </is>
      </c>
      <c r="G43" s="140" t="inlineStr">
        <is>
          <t>기초 타설</t>
        </is>
      </c>
      <c r="H43" s="196" t="inlineStr">
        <is>
          <t>m3</t>
        </is>
      </c>
      <c r="I43" s="475" t="n">
        <v>14256</v>
      </c>
      <c r="J43" s="476" t="n">
        <v>14256</v>
      </c>
      <c r="K43" s="475" t="n">
        <v>167.2</v>
      </c>
      <c r="L43" s="476" t="n">
        <v>14423.2</v>
      </c>
      <c r="M43" s="477" t="n">
        <v>1.0117</v>
      </c>
      <c r="N43" s="476" t="n">
        <v>-167.2</v>
      </c>
      <c r="O43" s="477" t="n">
        <v>-0.0117</v>
      </c>
      <c r="P43" s="140" t="inlineStr">
        <is>
          <t>B구간</t>
        </is>
      </c>
      <c r="Q43" s="140" t="inlineStr">
        <is>
          <t>건축</t>
        </is>
      </c>
      <c r="R43" s="140" t="n"/>
      <c r="S43" s="140" t="n"/>
    </row>
    <row r="44" ht="15" customHeight="1" s="362">
      <c r="B44" s="31" t="n"/>
      <c r="C44" s="32" t="n"/>
      <c r="D44" s="32" t="inlineStr">
        <is>
          <t>건축</t>
        </is>
      </c>
      <c r="E44" s="32" t="n"/>
      <c r="F44" s="195" t="inlineStr">
        <is>
          <t>2F B구간</t>
        </is>
      </c>
      <c r="G44" s="140" t="inlineStr">
        <is>
          <t>철근 배근</t>
        </is>
      </c>
      <c r="H44" s="196" t="inlineStr">
        <is>
          <t>ton</t>
        </is>
      </c>
      <c r="I44" s="475" t="n">
        <v>470</v>
      </c>
      <c r="J44" s="476" t="n">
        <v>470</v>
      </c>
      <c r="K44" s="475" t="n">
        <v>5.4</v>
      </c>
      <c r="L44" s="476" t="n">
        <v>475.4</v>
      </c>
      <c r="M44" s="477" t="n">
        <v>1.0115</v>
      </c>
      <c r="N44" s="476" t="n">
        <v>-5.4</v>
      </c>
      <c r="O44" s="477" t="n">
        <v>-0.0115</v>
      </c>
      <c r="P44" s="140" t="inlineStr">
        <is>
          <t>2F B구간</t>
        </is>
      </c>
      <c r="Q44" s="140" t="inlineStr">
        <is>
          <t>건축</t>
        </is>
      </c>
      <c r="R44" s="140" t="n"/>
      <c r="S44" s="140" t="n"/>
    </row>
    <row r="45" ht="15" customHeight="1" s="362">
      <c r="B45" s="31" t="n"/>
      <c r="C45" s="32" t="n"/>
      <c r="D45" s="32" t="inlineStr">
        <is>
          <t>건축</t>
        </is>
      </c>
      <c r="E45" s="32" t="n"/>
      <c r="F45" s="195" t="inlineStr">
        <is>
          <t>2F B구간</t>
        </is>
      </c>
      <c r="G45" s="140" t="inlineStr">
        <is>
          <t>슬라브타설</t>
        </is>
      </c>
      <c r="H45" s="196" t="inlineStr">
        <is>
          <t>m3</t>
        </is>
      </c>
      <c r="I45" s="475" t="n">
        <v>1476</v>
      </c>
      <c r="J45" s="476" t="n">
        <v>1476</v>
      </c>
      <c r="K45" s="475" t="n">
        <v>16.6</v>
      </c>
      <c r="L45" s="476" t="n">
        <v>1492.6</v>
      </c>
      <c r="M45" s="477" t="n">
        <v>1.0112</v>
      </c>
      <c r="N45" s="476" t="n">
        <v>-16.6</v>
      </c>
      <c r="O45" s="477" t="n">
        <v>-0.0112</v>
      </c>
      <c r="P45" s="140" t="inlineStr">
        <is>
          <t>2F B구간</t>
        </is>
      </c>
      <c r="Q45" s="140" t="inlineStr">
        <is>
          <t>건축</t>
        </is>
      </c>
      <c r="R45" s="140" t="n"/>
      <c r="S45" s="140" t="n"/>
    </row>
    <row r="46" ht="15" customHeight="1" s="362">
      <c r="B46" s="31" t="n"/>
      <c r="C46" s="32" t="n"/>
      <c r="D46" s="32" t="inlineStr">
        <is>
          <t>건축</t>
        </is>
      </c>
      <c r="E46" s="32" t="n"/>
      <c r="F46" s="195" t="inlineStr">
        <is>
          <t>2MF</t>
        </is>
      </c>
      <c r="G46" s="140" t="inlineStr">
        <is>
          <t>철근 배근</t>
        </is>
      </c>
      <c r="H46" s="196" t="inlineStr">
        <is>
          <t>ton</t>
        </is>
      </c>
      <c r="I46" s="475" t="n">
        <v>8</v>
      </c>
      <c r="J46" s="476" t="n">
        <v>8</v>
      </c>
      <c r="K46" s="475" t="n">
        <v>1</v>
      </c>
      <c r="L46" s="476" t="n">
        <v>9</v>
      </c>
      <c r="M46" s="477" t="n">
        <v>1.125</v>
      </c>
      <c r="N46" s="476" t="n">
        <v>-1</v>
      </c>
      <c r="O46" s="477" t="n">
        <v>-0.125</v>
      </c>
      <c r="P46" s="140" t="inlineStr">
        <is>
          <t>2MF</t>
        </is>
      </c>
      <c r="Q46" s="140" t="inlineStr">
        <is>
          <t>건축</t>
        </is>
      </c>
      <c r="R46" s="140" t="n"/>
      <c r="S46" s="140" t="n"/>
    </row>
    <row r="47" ht="15" customHeight="1" s="362">
      <c r="B47" s="31" t="n"/>
      <c r="C47" s="32" t="n"/>
      <c r="D47" s="32" t="inlineStr">
        <is>
          <t>건축</t>
        </is>
      </c>
      <c r="E47" s="32" t="n"/>
      <c r="F47" s="195" t="inlineStr">
        <is>
          <t>2MF</t>
        </is>
      </c>
      <c r="G47" s="140" t="inlineStr">
        <is>
          <t>슬라브타설</t>
        </is>
      </c>
      <c r="H47" s="196" t="inlineStr">
        <is>
          <t>m3</t>
        </is>
      </c>
      <c r="I47" s="475" t="n">
        <v>252</v>
      </c>
      <c r="J47" s="476" t="n">
        <v>252</v>
      </c>
      <c r="K47" s="475" t="n">
        <v>2.8</v>
      </c>
      <c r="L47" s="476" t="n">
        <v>254.8</v>
      </c>
      <c r="M47" s="477" t="n">
        <v>1.0111</v>
      </c>
      <c r="N47" s="476" t="n">
        <v>-2.8</v>
      </c>
      <c r="O47" s="477" t="n">
        <v>-0.0111</v>
      </c>
      <c r="P47" s="140" t="inlineStr">
        <is>
          <t>2MF</t>
        </is>
      </c>
      <c r="Q47" s="140" t="inlineStr">
        <is>
          <t>건축</t>
        </is>
      </c>
      <c r="R47" s="140" t="n"/>
      <c r="S47" s="140" t="n"/>
    </row>
    <row r="48" ht="15" customHeight="1" s="362">
      <c r="B48" s="31" t="n"/>
      <c r="C48" s="32" t="n"/>
      <c r="D48" s="32" t="inlineStr">
        <is>
          <t>건축</t>
        </is>
      </c>
      <c r="E48" s="32" t="n"/>
      <c r="F48" s="195" t="inlineStr">
        <is>
          <t>3F SLAB</t>
        </is>
      </c>
      <c r="G48" s="140" t="inlineStr">
        <is>
          <t>철근 배근</t>
        </is>
      </c>
      <c r="H48" s="196" t="inlineStr">
        <is>
          <t>ton</t>
        </is>
      </c>
      <c r="I48" s="475" t="n">
        <v>442</v>
      </c>
      <c r="J48" s="476" t="n">
        <v>442</v>
      </c>
      <c r="K48" s="475" t="n">
        <v>5.1</v>
      </c>
      <c r="L48" s="476" t="n">
        <v>447.1</v>
      </c>
      <c r="M48" s="477" t="n">
        <v>1.0115</v>
      </c>
      <c r="N48" s="476" t="n">
        <v>-5.1</v>
      </c>
      <c r="O48" s="477" t="n">
        <v>-0.0115</v>
      </c>
      <c r="P48" s="140" t="inlineStr">
        <is>
          <t>3F SLAB</t>
        </is>
      </c>
      <c r="Q48" s="140" t="inlineStr">
        <is>
          <t>건축</t>
        </is>
      </c>
      <c r="R48" s="140" t="n"/>
      <c r="S48" s="140" t="n"/>
    </row>
    <row r="49" ht="15" customHeight="1" s="362">
      <c r="B49" s="31" t="n"/>
      <c r="C49" s="32" t="n"/>
      <c r="D49" s="32" t="inlineStr">
        <is>
          <t>건축</t>
        </is>
      </c>
      <c r="E49" s="32" t="n"/>
      <c r="F49" s="195" t="inlineStr">
        <is>
          <t>3F SLAB</t>
        </is>
      </c>
      <c r="G49" s="140" t="inlineStr">
        <is>
          <t>슬라브타설</t>
        </is>
      </c>
      <c r="H49" s="196" t="inlineStr">
        <is>
          <t>m3</t>
        </is>
      </c>
      <c r="I49" s="475" t="n">
        <v>1489</v>
      </c>
      <c r="J49" s="476" t="n">
        <v>1489</v>
      </c>
      <c r="K49" s="475" t="n">
        <v>16.7</v>
      </c>
      <c r="L49" s="476" t="n">
        <v>1505.7</v>
      </c>
      <c r="M49" s="477" t="n">
        <v>1.0112</v>
      </c>
      <c r="N49" s="476" t="n">
        <v>-16.7</v>
      </c>
      <c r="O49" s="477" t="n">
        <v>-0.0112</v>
      </c>
      <c r="P49" s="140" t="inlineStr">
        <is>
          <t>3F SLAB</t>
        </is>
      </c>
      <c r="Q49" s="140" t="inlineStr">
        <is>
          <t>건축</t>
        </is>
      </c>
      <c r="R49" s="140" t="n"/>
      <c r="S49" s="140" t="n"/>
    </row>
    <row r="50" ht="15" customHeight="1" s="362">
      <c r="B50" s="31" t="n"/>
      <c r="C50" s="32" t="n"/>
      <c r="D50" s="32" t="inlineStr">
        <is>
          <t>건축</t>
        </is>
      </c>
      <c r="E50" s="32" t="n"/>
      <c r="F50" s="195" t="inlineStr">
        <is>
          <t>4F SLAB</t>
        </is>
      </c>
      <c r="G50" s="140" t="inlineStr">
        <is>
          <t>철근 배근</t>
        </is>
      </c>
      <c r="H50" s="196" t="inlineStr">
        <is>
          <t>ton</t>
        </is>
      </c>
      <c r="I50" s="475" t="n">
        <v>295</v>
      </c>
      <c r="J50" s="476" t="n">
        <v>295</v>
      </c>
      <c r="K50" s="475" t="n">
        <v>3.4</v>
      </c>
      <c r="L50" s="476" t="n">
        <v>298.4</v>
      </c>
      <c r="M50" s="477" t="n">
        <v>1.0115</v>
      </c>
      <c r="N50" s="476" t="n">
        <v>-3.4</v>
      </c>
      <c r="O50" s="477" t="n">
        <v>-0.0115</v>
      </c>
      <c r="P50" s="140" t="inlineStr">
        <is>
          <t>4F SLAB</t>
        </is>
      </c>
      <c r="Q50" s="140" t="inlineStr">
        <is>
          <t>건축</t>
        </is>
      </c>
      <c r="R50" s="140" t="n"/>
      <c r="S50" s="140" t="n"/>
    </row>
    <row r="51" ht="15" customHeight="1" s="362">
      <c r="B51" s="31" t="n"/>
      <c r="C51" s="32" t="n"/>
      <c r="D51" s="32" t="inlineStr">
        <is>
          <t>건축</t>
        </is>
      </c>
      <c r="E51" s="32" t="n"/>
      <c r="F51" s="195" t="inlineStr">
        <is>
          <t>4F SLAB</t>
        </is>
      </c>
      <c r="G51" s="140" t="inlineStr">
        <is>
          <t>슬라브타설</t>
        </is>
      </c>
      <c r="H51" s="196" t="inlineStr">
        <is>
          <t>m3</t>
        </is>
      </c>
      <c r="I51" s="475" t="n">
        <v>1908</v>
      </c>
      <c r="J51" s="476" t="n">
        <v>1908</v>
      </c>
      <c r="K51" s="475" t="n">
        <v>21.4</v>
      </c>
      <c r="L51" s="476" t="n">
        <v>1929.4</v>
      </c>
      <c r="M51" s="477" t="n">
        <v>1.0112</v>
      </c>
      <c r="N51" s="476" t="n">
        <v>-21.4</v>
      </c>
      <c r="O51" s="477" t="n">
        <v>-0.0112</v>
      </c>
      <c r="P51" s="140" t="inlineStr">
        <is>
          <t>4F SLAB</t>
        </is>
      </c>
      <c r="Q51" s="140" t="inlineStr">
        <is>
          <t>건축</t>
        </is>
      </c>
      <c r="R51" s="140" t="n"/>
      <c r="S51" s="140" t="n"/>
    </row>
    <row r="52" ht="15" customHeight="1" s="362">
      <c r="B52" s="31" t="n"/>
      <c r="C52" s="32" t="n"/>
      <c r="D52" s="32" t="inlineStr">
        <is>
          <t>건축</t>
        </is>
      </c>
      <c r="E52" s="32" t="n"/>
      <c r="F52" s="195" t="inlineStr">
        <is>
          <t>5F SLAB</t>
        </is>
      </c>
      <c r="G52" s="140" t="inlineStr">
        <is>
          <t>철근 배근</t>
        </is>
      </c>
      <c r="H52" s="196" t="inlineStr">
        <is>
          <t>ton</t>
        </is>
      </c>
      <c r="I52" s="475" t="n">
        <v>281</v>
      </c>
      <c r="J52" s="476" t="n">
        <v>281</v>
      </c>
      <c r="K52" s="475" t="n">
        <v>3.2</v>
      </c>
      <c r="L52" s="476" t="n">
        <v>284.2</v>
      </c>
      <c r="M52" s="477" t="n">
        <v>1.0114</v>
      </c>
      <c r="N52" s="476" t="n">
        <v>-3.2</v>
      </c>
      <c r="O52" s="477" t="n">
        <v>-0.0114</v>
      </c>
      <c r="P52" s="140" t="inlineStr">
        <is>
          <t>5F SLAB</t>
        </is>
      </c>
      <c r="Q52" s="140" t="inlineStr">
        <is>
          <t>건축</t>
        </is>
      </c>
      <c r="R52" s="140" t="n"/>
      <c r="S52" s="140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75" t="n"/>
      <c r="J53" s="476" t="n"/>
      <c r="K53" s="475" t="n"/>
      <c r="L53" s="476" t="n"/>
      <c r="M53" s="477" t="n"/>
      <c r="N53" s="476" t="n"/>
      <c r="O53" s="47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75" t="n"/>
      <c r="J54" s="476" t="n"/>
      <c r="K54" s="475" t="n"/>
      <c r="L54" s="476" t="n"/>
      <c r="M54" s="477" t="n"/>
      <c r="N54" s="476" t="n"/>
      <c r="O54" s="47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75" t="n"/>
      <c r="J55" s="476" t="n"/>
      <c r="K55" s="475" t="n"/>
      <c r="L55" s="476" t="n"/>
      <c r="M55" s="477" t="n"/>
      <c r="N55" s="476" t="n"/>
      <c r="O55" s="47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75" t="n"/>
      <c r="J56" s="476" t="n"/>
      <c r="K56" s="475" t="n"/>
      <c r="L56" s="476" t="n"/>
      <c r="M56" s="477" t="n"/>
      <c r="N56" s="476" t="n"/>
      <c r="O56" s="47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75" t="n"/>
      <c r="J57" s="476" t="n"/>
      <c r="K57" s="475" t="n"/>
      <c r="L57" s="476" t="n"/>
      <c r="M57" s="477" t="n"/>
      <c r="N57" s="476" t="n"/>
      <c r="O57" s="47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75" t="n"/>
      <c r="J58" s="476" t="n"/>
      <c r="K58" s="475" t="n"/>
      <c r="L58" s="476" t="n"/>
      <c r="M58" s="477" t="n"/>
      <c r="N58" s="476" t="n"/>
      <c r="O58" s="47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75" t="n"/>
      <c r="J59" s="476" t="n"/>
      <c r="K59" s="475" t="n"/>
      <c r="L59" s="476" t="n"/>
      <c r="M59" s="477" t="n"/>
      <c r="N59" s="476" t="n"/>
      <c r="O59" s="47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75" t="n"/>
      <c r="J60" s="476" t="n"/>
      <c r="K60" s="475" t="n"/>
      <c r="L60" s="476" t="n"/>
      <c r="M60" s="477" t="n"/>
      <c r="N60" s="476" t="n"/>
      <c r="O60" s="47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75" t="n"/>
      <c r="J61" s="476" t="n"/>
      <c r="K61" s="475" t="n"/>
      <c r="L61" s="476" t="n"/>
      <c r="M61" s="477" t="n"/>
      <c r="N61" s="476" t="n"/>
      <c r="O61" s="47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75" t="n"/>
      <c r="J62" s="476" t="n"/>
      <c r="K62" s="475" t="n"/>
      <c r="L62" s="476" t="n"/>
      <c r="M62" s="477" t="n"/>
      <c r="N62" s="476" t="n"/>
      <c r="O62" s="47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75" t="n"/>
      <c r="J63" s="476" t="n"/>
      <c r="K63" s="475" t="n"/>
      <c r="L63" s="476" t="n"/>
      <c r="M63" s="477" t="n"/>
      <c r="N63" s="476" t="n"/>
      <c r="O63" s="47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75" t="n"/>
      <c r="J64" s="476" t="n"/>
      <c r="K64" s="475" t="n"/>
      <c r="L64" s="476" t="n"/>
      <c r="M64" s="477" t="n"/>
      <c r="N64" s="476" t="n"/>
      <c r="O64" s="47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75" t="n"/>
      <c r="J65" s="476" t="n"/>
      <c r="K65" s="475" t="n"/>
      <c r="L65" s="476" t="n"/>
      <c r="M65" s="477" t="n"/>
      <c r="N65" s="476" t="n"/>
      <c r="O65" s="47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75" t="n"/>
      <c r="J66" s="476" t="n"/>
      <c r="K66" s="475" t="n"/>
      <c r="L66" s="476" t="n"/>
      <c r="M66" s="477" t="n"/>
      <c r="N66" s="476" t="n"/>
      <c r="O66" s="47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75" t="n"/>
      <c r="J67" s="476" t="n"/>
      <c r="K67" s="475" t="n"/>
      <c r="L67" s="476" t="n"/>
      <c r="M67" s="477" t="n"/>
      <c r="N67" s="476" t="n"/>
      <c r="O67" s="47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75" t="n"/>
      <c r="J68" s="476" t="n"/>
      <c r="K68" s="475" t="n"/>
      <c r="L68" s="476" t="n"/>
      <c r="M68" s="477" t="n"/>
      <c r="N68" s="476" t="n"/>
      <c r="O68" s="47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75" t="n"/>
      <c r="J69" s="476" t="n"/>
      <c r="K69" s="475" t="n"/>
      <c r="L69" s="476" t="n"/>
      <c r="M69" s="477" t="n"/>
      <c r="N69" s="476" t="n"/>
      <c r="O69" s="47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75" t="n"/>
      <c r="J70" s="476" t="n"/>
      <c r="K70" s="475" t="n"/>
      <c r="L70" s="476" t="n"/>
      <c r="M70" s="477" t="n"/>
      <c r="N70" s="476" t="n"/>
      <c r="O70" s="47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75" t="n"/>
      <c r="J71" s="476" t="n"/>
      <c r="K71" s="475" t="n"/>
      <c r="L71" s="476" t="n"/>
      <c r="M71" s="477" t="n"/>
      <c r="N71" s="476" t="n"/>
      <c r="O71" s="47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75" t="n"/>
      <c r="J72" s="476" t="n"/>
      <c r="K72" s="475" t="n"/>
      <c r="L72" s="476" t="n"/>
      <c r="M72" s="477" t="n"/>
      <c r="N72" s="476" t="n"/>
      <c r="O72" s="47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75" t="n"/>
      <c r="J73" s="476" t="n"/>
      <c r="K73" s="475" t="n"/>
      <c r="L73" s="476" t="n"/>
      <c r="M73" s="477" t="n"/>
      <c r="N73" s="476" t="n"/>
      <c r="O73" s="47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75" t="n"/>
      <c r="J74" s="476" t="n"/>
      <c r="K74" s="475" t="n"/>
      <c r="L74" s="476" t="n"/>
      <c r="M74" s="477" t="n"/>
      <c r="N74" s="476" t="n"/>
      <c r="O74" s="47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75" t="n"/>
      <c r="J75" s="476" t="n"/>
      <c r="K75" s="475" t="n"/>
      <c r="L75" s="476" t="n"/>
      <c r="M75" s="477" t="n"/>
      <c r="N75" s="476" t="n"/>
      <c r="O75" s="47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75" t="n"/>
      <c r="J76" s="476" t="n"/>
      <c r="K76" s="475" t="n"/>
      <c r="L76" s="476" t="n"/>
      <c r="M76" s="477" t="n"/>
      <c r="N76" s="476" t="n"/>
      <c r="O76" s="47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75" t="n"/>
      <c r="J77" s="476" t="n"/>
      <c r="K77" s="475" t="n"/>
      <c r="L77" s="476" t="n"/>
      <c r="M77" s="477" t="n"/>
      <c r="N77" s="476" t="n"/>
      <c r="O77" s="47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75" t="n"/>
      <c r="J78" s="476" t="n"/>
      <c r="K78" s="475" t="n"/>
      <c r="L78" s="476" t="n"/>
      <c r="M78" s="477" t="n"/>
      <c r="N78" s="476" t="n"/>
      <c r="O78" s="47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75" t="n"/>
      <c r="J79" s="476" t="n"/>
      <c r="K79" s="475" t="n"/>
      <c r="L79" s="476" t="n"/>
      <c r="M79" s="477" t="n"/>
      <c r="N79" s="476" t="n"/>
      <c r="O79" s="47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75" t="n"/>
      <c r="J80" s="476" t="n"/>
      <c r="K80" s="475" t="n"/>
      <c r="L80" s="476" t="n"/>
      <c r="M80" s="477" t="n"/>
      <c r="N80" s="476" t="n"/>
      <c r="O80" s="47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75" t="n"/>
      <c r="J81" s="476" t="n"/>
      <c r="K81" s="475" t="n"/>
      <c r="L81" s="476" t="n"/>
      <c r="M81" s="477" t="n"/>
      <c r="N81" s="476" t="n"/>
      <c r="O81" s="47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75" t="n"/>
      <c r="J82" s="476" t="n"/>
      <c r="K82" s="475" t="n"/>
      <c r="L82" s="476" t="n"/>
      <c r="M82" s="477" t="n"/>
      <c r="N82" s="476" t="n"/>
      <c r="O82" s="47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75" t="n"/>
      <c r="J83" s="476" t="n"/>
      <c r="K83" s="475" t="n"/>
      <c r="L83" s="476" t="n"/>
      <c r="M83" s="477" t="n"/>
      <c r="N83" s="476" t="n"/>
      <c r="O83" s="47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78" t="n"/>
      <c r="J84" s="479" t="n"/>
      <c r="K84" s="478" t="n"/>
      <c r="L84" s="479" t="n"/>
      <c r="M84" s="480" t="n"/>
      <c r="N84" s="479" t="n"/>
      <c r="O84" s="48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482" t="inlineStr">
        <is>
          <t>5. 사진 대지</t>
        </is>
      </c>
      <c r="C2" s="483" t="n"/>
      <c r="D2" s="483" t="n"/>
      <c r="E2" s="483" t="n"/>
      <c r="F2" s="483" t="n"/>
      <c r="G2" s="483" t="n"/>
      <c r="H2" s="483" t="n"/>
      <c r="I2" s="483" t="n"/>
      <c r="J2" s="483" t="n"/>
      <c r="K2" s="483" t="n"/>
      <c r="L2" s="483" t="n"/>
      <c r="M2" s="48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485">
        <f>'4.물량'!B2</f>
        <v/>
      </c>
      <c r="J4" s="486" t="n"/>
      <c r="K4" s="486" t="n"/>
      <c r="L4" s="486" t="n"/>
      <c r="M4" s="487" t="n"/>
      <c r="N4" s="77" t="n"/>
    </row>
    <row r="5" ht="13.5" customHeight="1" s="362"/>
    <row r="6" ht="142.5" customHeight="1" s="362">
      <c r="B6" s="488" t="n"/>
      <c r="C6" s="489" t="n"/>
      <c r="D6" s="489" t="n"/>
      <c r="E6" s="489" t="n"/>
      <c r="F6" s="489" t="n"/>
      <c r="G6" s="490" t="n"/>
      <c r="H6" s="488" t="n"/>
      <c r="I6" s="489" t="n"/>
      <c r="J6" s="489" t="n"/>
      <c r="K6" s="489" t="n"/>
      <c r="L6" s="489" t="n"/>
      <c r="M6" s="490" t="n"/>
      <c r="N6" s="77" t="n"/>
    </row>
    <row r="7" ht="142.5" customHeight="1" s="362">
      <c r="B7" s="491" t="n"/>
      <c r="G7" s="492" t="n"/>
      <c r="H7" s="491" t="n"/>
      <c r="M7" s="492" t="n"/>
      <c r="N7" s="77" t="n"/>
    </row>
    <row r="8" ht="142.5" customHeight="1" s="362">
      <c r="B8" s="491" t="n"/>
      <c r="G8" s="492" t="n"/>
      <c r="H8" s="491" t="n"/>
      <c r="M8" s="49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49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49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488" t="n"/>
      <c r="C12" s="489" t="n"/>
      <c r="D12" s="489" t="n"/>
      <c r="E12" s="489" t="n"/>
      <c r="F12" s="489" t="n"/>
      <c r="G12" s="490" t="n"/>
      <c r="H12" s="488" t="n"/>
      <c r="I12" s="489" t="n"/>
      <c r="J12" s="489" t="n"/>
      <c r="K12" s="489" t="n"/>
      <c r="L12" s="489" t="n"/>
      <c r="M12" s="490" t="n"/>
      <c r="N12" s="77" t="n"/>
    </row>
    <row r="13" ht="142.5" customHeight="1" s="362">
      <c r="B13" s="491" t="n"/>
      <c r="G13" s="492" t="n"/>
      <c r="H13" s="491" t="n"/>
      <c r="M13" s="492" t="n"/>
      <c r="N13" s="77" t="n"/>
    </row>
    <row r="14" ht="142.5" customHeight="1" s="362">
      <c r="B14" s="491" t="n"/>
      <c r="G14" s="492" t="n"/>
      <c r="H14" s="491" t="n"/>
      <c r="M14" s="49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49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49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488" t="n"/>
      <c r="C18" s="489" t="n"/>
      <c r="D18" s="489" t="n"/>
      <c r="E18" s="489" t="n"/>
      <c r="F18" s="489" t="n"/>
      <c r="G18" s="490" t="n"/>
      <c r="H18" s="488" t="n"/>
      <c r="I18" s="489" t="n"/>
      <c r="J18" s="489" t="n"/>
      <c r="K18" s="489" t="n"/>
      <c r="L18" s="489" t="n"/>
      <c r="M18" s="490" t="n"/>
      <c r="N18" s="77" t="n"/>
    </row>
    <row r="19" ht="142.5" customHeight="1" s="362">
      <c r="B19" s="491" t="n"/>
      <c r="G19" s="492" t="n"/>
      <c r="H19" s="491" t="n"/>
      <c r="M19" s="492" t="n"/>
      <c r="N19" s="77" t="n"/>
    </row>
    <row r="20" ht="142.5" customHeight="1" s="362">
      <c r="B20" s="491" t="n"/>
      <c r="G20" s="492" t="n"/>
      <c r="H20" s="491" t="n"/>
      <c r="M20" s="49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493" t="n"/>
      <c r="D22" s="407" t="n"/>
      <c r="E22" s="407" t="n"/>
      <c r="F22" s="407" t="n"/>
      <c r="G22" s="408" t="n"/>
      <c r="H22" s="194" t="inlineStr">
        <is>
          <t>작업 내용</t>
        </is>
      </c>
      <c r="I22" s="49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49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495">
        <f>SUM(R5:R14)</f>
        <v/>
      </c>
      <c r="S86" s="495">
        <f>SUM(S5:S14)</f>
        <v/>
      </c>
      <c r="T86" s="495">
        <f>SUM(T5:T14)</f>
        <v/>
      </c>
      <c r="U86" s="495">
        <f>SUM(U5:U14)</f>
        <v/>
      </c>
      <c r="V86" s="495">
        <f>SUM(V5:V14)</f>
        <v/>
      </c>
      <c r="W86" s="49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496">
        <f>SUM(R15:R85)</f>
        <v/>
      </c>
      <c r="S87" s="496">
        <f>SUM(S15:S85)</f>
        <v/>
      </c>
      <c r="T87" s="496">
        <f>SUM(T15:T85)</f>
        <v/>
      </c>
      <c r="U87" s="496">
        <f>SUM(U15:U85)</f>
        <v/>
      </c>
      <c r="V87" s="496">
        <f>SUM(V15:V85)</f>
        <v/>
      </c>
      <c r="W87" s="49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497">
        <f>SUM(R5:R85)</f>
        <v/>
      </c>
      <c r="S88" s="497">
        <f>SUM(S5:S85)</f>
        <v/>
      </c>
      <c r="T88" s="497">
        <f>SUM(T5:T85)</f>
        <v/>
      </c>
      <c r="U88" s="497">
        <f>SUM(U5:U85)</f>
        <v/>
      </c>
      <c r="V88" s="497">
        <f>SUM(V5:V85)</f>
        <v/>
      </c>
      <c r="W88" s="49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2026-06-02T04:12:21Z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