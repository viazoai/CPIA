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ables/table1.xml" ContentType="application/vnd.openxmlformats-officedocument.spreadsheetml.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현재_통합_문서"/>
  <bookViews>
    <workbookView visibility="visible" minimized="0" showHorizontalScroll="1" showVerticalScroll="1" showSheetTabs="1" xWindow="-120" yWindow="-120" windowWidth="29040" windowHeight="15720" tabRatio="600" firstSheet="0" activeTab="4" autoFilterDateGrouping="1"/>
  </bookViews>
  <sheets>
    <sheet name="Cover" sheetId="1" state="visible" r:id="rId1"/>
    <sheet name="1.출력인원 현황" sheetId="2" state="visible" r:id="rId2"/>
    <sheet name="2.직종별 인원현황" sheetId="3" state="visible" r:id="rId3"/>
    <sheet name="3.장비현황" sheetId="4" state="visible" r:id="rId4"/>
    <sheet name="4.물량" sheetId="5" state="visible" r:id="rId5"/>
    <sheet name="5.사진대지" sheetId="6" state="visible" r:id="rId6"/>
    <sheet name="6.출력일보" sheetId="7" state="visible" r:id="rId7"/>
    <sheet name="WBS" sheetId="8" state="visible" r:id="rId8"/>
    <sheet name="작성 방법" sheetId="9" state="visible" r:id="rId9"/>
    <sheet name="Code" sheetId="10" state="hidden" r:id="rId10"/>
  </sheets>
  <externalReferences>
    <externalReference r:id="rId11"/>
  </externalReferences>
  <definedNames>
    <definedName name="UT소">WBS!$F$77:$F$101</definedName>
    <definedName name="설비소">WBS!$F$3:$F$76</definedName>
    <definedName name="소방소">WBS!$F$102:$F$122</definedName>
    <definedName name="_xlnm._FilterDatabase" localSheetId="4" hidden="1">'4.물량'!$A$4:$S$84</definedName>
    <definedName name="_xlnm._FilterDatabase" localSheetId="7" hidden="1">'WBS'!$A$2:$I$2</definedName>
  </definedNames>
  <calcPr calcId="191029" fullCalcOnLoad="1"/>
</workbook>
</file>

<file path=xl/styles.xml><?xml version="1.0" encoding="utf-8"?>
<styleSheet xmlns="http://schemas.openxmlformats.org/spreadsheetml/2006/main">
  <numFmts count="9">
    <numFmt numFmtId="164" formatCode="yyyy/mm/dd\,\ aaa"/>
    <numFmt numFmtId="165" formatCode="&quot;BP&quot;00"/>
    <numFmt numFmtId="166" formatCode="&quot;   Date : &quot;yyyy\.\ mm\.\ dd\(aaa\)"/>
    <numFmt numFmtId="167" formatCode="0.0%"/>
    <numFmt numFmtId="168" formatCode="0.0%\ ;;&quot;- &quot;"/>
    <numFmt numFmtId="169" formatCode="&quot;관리자 : &quot;General&quot;명&quot;"/>
    <numFmt numFmtId="170" formatCode="&quot;근로자 : &quot;General&quot;명&quot;"/>
    <numFmt numFmtId="171" formatCode="yyyy\.\ mm\.\ dd\(aaa\)"/>
    <numFmt numFmtId="172" formatCode="&quot;총 : &quot;General&quot;명&quot;"/>
  </numFmts>
  <fonts count="72">
    <font>
      <name val="맑은 고딕"/>
      <charset val="129"/>
      <family val="2"/>
      <color theme="1"/>
      <sz val="11"/>
      <scheme val="minor"/>
    </font>
    <font>
      <name val="Microsoft GothicNeo"/>
      <charset val="129"/>
      <family val="2"/>
      <color theme="1"/>
      <sz val="11"/>
    </font>
    <font>
      <name val="Microsoft 고딕Neo"/>
      <charset val="129"/>
      <family val="2"/>
      <color theme="1"/>
      <sz val="11"/>
    </font>
    <font>
      <name val="맑은 고딕"/>
      <charset val="129"/>
      <family val="2"/>
      <sz val="8"/>
      <scheme val="minor"/>
    </font>
    <font>
      <name val="돋움"/>
      <charset val="129"/>
      <family val="3"/>
      <sz val="11"/>
    </font>
    <font>
      <name val="돋움"/>
      <charset val="129"/>
      <family val="3"/>
      <sz val="8"/>
    </font>
    <font>
      <name val="Microsoft GothicNeo"/>
      <charset val="129"/>
      <family val="3"/>
      <color theme="1"/>
      <sz val="8"/>
    </font>
    <font>
      <name val="Microsoft GothicNeo"/>
      <charset val="129"/>
      <family val="3"/>
      <b val="1"/>
      <color theme="1"/>
      <sz val="8"/>
    </font>
    <font>
      <name val="Microsoft GothicNeo"/>
      <charset val="129"/>
      <family val="2"/>
      <b val="1"/>
      <color theme="1"/>
      <sz val="16"/>
    </font>
    <font>
      <name val="Microsoft GothicNeo"/>
      <charset val="129"/>
      <family val="3"/>
      <color theme="1"/>
      <sz val="16"/>
    </font>
    <font>
      <name val="Microsoft GothicNeo"/>
      <charset val="129"/>
      <family val="3"/>
      <b val="1"/>
      <sz val="9"/>
    </font>
    <font>
      <name val="Microsoft GothicNeo"/>
      <charset val="129"/>
      <family val="3"/>
      <color theme="1"/>
      <sz val="9"/>
    </font>
    <font>
      <name val="Microsoft GothicNeo"/>
      <charset val="129"/>
      <family val="2"/>
      <color theme="1"/>
      <sz val="9"/>
    </font>
    <font>
      <name val="Microsoft GothicNeo"/>
      <charset val="129"/>
      <family val="3"/>
      <b val="1"/>
      <color theme="1"/>
      <sz val="9"/>
    </font>
    <font>
      <name val="맑은 고딕"/>
      <charset val="129"/>
      <family val="3"/>
      <color theme="1"/>
      <sz val="8"/>
    </font>
    <font>
      <name val="Microsoft GothicNeo"/>
      <charset val="129"/>
      <family val="3"/>
      <color rgb="FF334885"/>
      <sz val="12"/>
    </font>
    <font>
      <name val="Microsoft GothicNeo"/>
      <charset val="129"/>
      <family val="3"/>
      <color rgb="FF000000"/>
      <sz val="12"/>
    </font>
    <font>
      <name val="Microsoft GothicNeo"/>
      <charset val="129"/>
      <family val="3"/>
      <color theme="1"/>
      <sz val="11"/>
    </font>
    <font>
      <name val="Microsoft GothicNeo"/>
      <charset val="129"/>
      <family val="2"/>
      <color theme="1"/>
      <sz val="11"/>
    </font>
    <font>
      <name val="Segoe UI Symbol"/>
      <family val="2"/>
      <color theme="1"/>
      <sz val="11"/>
    </font>
    <font>
      <name val="Microsoft GothicNeo"/>
      <charset val="129"/>
      <family val="3"/>
      <color rgb="FF334885"/>
      <sz val="11"/>
    </font>
    <font>
      <name val="Microsoft GothicNeo"/>
      <charset val="129"/>
      <family val="3"/>
      <color rgb="FF000000"/>
      <sz val="11"/>
    </font>
    <font>
      <name val="Arial Unicode MS"/>
      <charset val="129"/>
      <family val="2"/>
      <color theme="1"/>
      <sz val="11"/>
    </font>
    <font>
      <name val="Arial Unicode MS"/>
      <charset val="129"/>
      <family val="3"/>
      <color rgb="FF334885"/>
      <sz val="11"/>
    </font>
    <font>
      <name val="Segoe UI Symbol"/>
      <family val="3"/>
      <color theme="1"/>
      <sz val="11"/>
    </font>
    <font>
      <name val="Arial"/>
      <family val="2"/>
      <color indexed="36"/>
      <sz val="10"/>
      <u val="single"/>
    </font>
    <font>
      <name val="맑은 고딕"/>
      <charset val="129"/>
      <family val="3"/>
      <sz val="8"/>
    </font>
    <font>
      <name val="맑은 고딕"/>
      <charset val="129"/>
      <family val="3"/>
      <b val="1"/>
      <sz val="12"/>
      <scheme val="minor"/>
    </font>
    <font>
      <name val="Microsoft GothicNeo"/>
      <charset val="129"/>
      <family val="2"/>
      <sz val="11"/>
    </font>
    <font>
      <name val="Microsoft GothicNeo"/>
      <charset val="129"/>
      <family val="3"/>
      <b val="1"/>
      <sz val="26"/>
    </font>
    <font>
      <name val="Microsoft GothicNeo"/>
      <charset val="129"/>
      <family val="3"/>
      <color indexed="36"/>
      <sz val="10"/>
      <u val="single"/>
    </font>
    <font>
      <name val="Microsoft GothicNeo"/>
      <charset val="129"/>
      <family val="3"/>
      <b val="1"/>
      <sz val="13"/>
    </font>
    <font>
      <name val="맑은 고딕"/>
      <charset val="129"/>
      <family val="2"/>
      <color theme="1"/>
      <sz val="12"/>
      <scheme val="minor"/>
    </font>
    <font>
      <name val="맑은 고딕"/>
      <charset val="129"/>
      <family val="2"/>
      <b val="1"/>
      <sz val="28"/>
      <u val="single"/>
      <scheme val="minor"/>
    </font>
    <font>
      <name val="맑은 고딕"/>
      <charset val="129"/>
      <family val="3"/>
      <b val="1"/>
      <sz val="28"/>
      <u val="single"/>
      <scheme val="minor"/>
    </font>
    <font>
      <name val="맑은 고딕"/>
      <charset val="129"/>
      <family val="3"/>
      <b val="1"/>
      <sz val="12"/>
      <u val="single"/>
      <scheme val="minor"/>
    </font>
    <font>
      <name val="맑은 고딕"/>
      <charset val="129"/>
      <family val="3"/>
      <color theme="1"/>
      <sz val="12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sz val="11"/>
      <scheme val="major"/>
    </font>
    <font>
      <name val="맑은 고딕"/>
      <charset val="129"/>
      <family val="3"/>
      <color theme="0"/>
      <sz val="11"/>
      <scheme val="major"/>
    </font>
    <font>
      <name val="맑은 고딕"/>
      <charset val="129"/>
      <family val="3"/>
      <color theme="1"/>
      <sz val="11"/>
      <scheme val="major"/>
    </font>
    <font>
      <name val="맑은 고딕"/>
      <charset val="129"/>
      <family val="3"/>
      <b val="1"/>
      <sz val="26"/>
      <scheme val="major"/>
    </font>
    <font>
      <name val="맑은 고딕"/>
      <charset val="129"/>
      <family val="3"/>
      <b val="1"/>
      <sz val="14"/>
      <scheme val="major"/>
    </font>
    <font>
      <name val="맑은 고딕"/>
      <charset val="129"/>
      <family val="3"/>
      <b val="1"/>
      <sz val="11"/>
      <scheme val="major"/>
    </font>
    <font>
      <name val="맑은 고딕"/>
      <charset val="129"/>
      <family val="3"/>
      <b val="1"/>
      <sz val="13"/>
      <scheme val="major"/>
    </font>
    <font>
      <name val="맑은 고딕"/>
      <charset val="129"/>
      <family val="3"/>
      <b val="1"/>
      <sz val="15"/>
      <scheme val="major"/>
    </font>
    <font>
      <name val="맑은 고딕"/>
      <charset val="129"/>
      <family val="3"/>
      <b val="1"/>
      <sz val="12"/>
      <scheme val="major"/>
    </font>
    <font>
      <name val="맑은 고딕"/>
      <charset val="129"/>
      <family val="3"/>
      <b val="1"/>
      <color theme="1"/>
      <sz val="16"/>
      <scheme val="major"/>
    </font>
    <font>
      <name val="맑은 고딕"/>
      <charset val="129"/>
      <family val="3"/>
      <b val="1"/>
      <color theme="1"/>
      <sz val="8"/>
      <scheme val="major"/>
    </font>
    <font>
      <name val="Microsoft GothicNeo"/>
      <charset val="129"/>
      <family val="3"/>
      <b val="1"/>
      <color theme="1"/>
      <sz val="16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3"/>
      <b val="1"/>
      <color rgb="FF000000"/>
      <sz val="11"/>
    </font>
    <font>
      <name val="Microsoft GothicNeo"/>
      <charset val="129"/>
      <family val="3"/>
      <color theme="1"/>
      <sz val="10"/>
    </font>
    <font>
      <name val="Microsoft GothicNeo"/>
      <charset val="129"/>
      <family val="2"/>
      <b val="1"/>
      <color theme="1"/>
      <sz val="10"/>
    </font>
    <font>
      <name val="Microsoft GothicNeo"/>
      <charset val="129"/>
      <family val="3"/>
      <b val="1"/>
      <color theme="1"/>
      <sz val="10"/>
    </font>
    <font>
      <name val="Microsoft 고딕Neo"/>
      <charset val="129"/>
      <family val="3"/>
      <color theme="1"/>
      <sz val="8"/>
    </font>
    <font>
      <name val="Microsoft GothicNeo"/>
      <charset val="129"/>
      <family val="3"/>
      <b val="1"/>
      <color theme="1" tint="0.249977111117893"/>
      <sz val="8"/>
    </font>
    <font>
      <name val="Microsoft GothicNeo"/>
      <charset val="129"/>
      <family val="3"/>
      <color theme="1" tint="0.249977111117893"/>
      <sz val="8"/>
    </font>
    <font>
      <name val="맑은 고딕"/>
      <charset val="129"/>
      <family val="3"/>
      <color theme="1"/>
      <sz val="9"/>
    </font>
    <font>
      <name val="나눔고딕"/>
      <charset val="129"/>
      <family val="3"/>
      <color theme="1"/>
      <sz val="9"/>
    </font>
    <font>
      <name val="나눔고딕"/>
      <charset val="129"/>
      <family val="3"/>
      <b val="1"/>
      <color theme="1"/>
      <sz val="14"/>
    </font>
    <font>
      <name val="나눔고딕"/>
      <charset val="129"/>
      <family val="3"/>
      <b val="1"/>
      <color theme="1"/>
      <sz val="9"/>
    </font>
    <font>
      <name val="나눔고딕"/>
      <charset val="129"/>
      <family val="3"/>
      <color rgb="FFFF0000"/>
      <sz val="8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color rgb="FFFF0000"/>
      <sz val="10"/>
      <scheme val="minor"/>
    </font>
    <font>
      <name val="Arial"/>
      <family val="2"/>
      <sz val="10"/>
    </font>
    <font>
      <name val="맑은 고딕"/>
      <charset val="129"/>
      <family val="3"/>
      <sz val="10"/>
    </font>
    <font>
      <name val="Microsoft GothicNeo"/>
      <charset val="129"/>
      <family val="2"/>
      <color rgb="FF000000"/>
      <sz val="9"/>
    </font>
    <font>
      <name val="Segoe UI Symbol"/>
      <family val="3"/>
      <color theme="1"/>
      <sz val="9"/>
    </font>
    <font>
      <name val="Calibri"/>
      <family val="3"/>
      <color theme="1"/>
      <sz val="9"/>
    </font>
  </fonts>
  <fills count="14">
    <fill>
      <patternFill/>
    </fill>
    <fill>
      <patternFill patternType="gray125"/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8ECF4"/>
      </patternFill>
    </fill>
    <fill>
      <patternFill patternType="solid">
        <fgColor theme="5" tint="0.79998168889431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</fills>
  <borders count="147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thin">
        <color auto="1"/>
      </right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auto="1"/>
      </right>
      <top style="hair">
        <color indexed="64"/>
      </top>
      <bottom/>
      <diagonal/>
    </border>
    <border>
      <left style="medium">
        <color indexed="64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auto="1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/>
      <diagonal/>
    </border>
    <border>
      <left/>
      <right style="hair">
        <color indexed="64"/>
      </right>
      <top style="hair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</borders>
  <cellStyleXfs count="10">
    <xf numFmtId="0" fontId="50" fillId="0" borderId="0" applyAlignment="1">
      <alignment vertical="center"/>
    </xf>
    <xf numFmtId="0" fontId="4" fillId="0" borderId="0" applyAlignment="1">
      <alignment vertical="center"/>
    </xf>
    <xf numFmtId="9" fontId="4" fillId="0" borderId="0" applyAlignment="1">
      <alignment vertical="center"/>
    </xf>
    <xf numFmtId="41" fontId="4" fillId="0" borderId="0" applyAlignment="1">
      <alignment vertical="center"/>
    </xf>
    <xf numFmtId="41" fontId="4" fillId="0" borderId="0" applyAlignment="1">
      <alignment vertical="center"/>
    </xf>
    <xf numFmtId="41" fontId="4" fillId="0" borderId="0" applyAlignment="1">
      <alignment vertical="center"/>
    </xf>
    <xf numFmtId="0" fontId="25" fillId="0" borderId="0" applyAlignment="1" applyProtection="1">
      <alignment vertical="top"/>
      <protection locked="0" hidden="0"/>
    </xf>
    <xf numFmtId="41" fontId="50" fillId="0" borderId="0" applyAlignment="1">
      <alignment vertical="center"/>
    </xf>
    <xf numFmtId="9" fontId="50" fillId="0" borderId="0" applyAlignment="1">
      <alignment vertical="center"/>
    </xf>
    <xf numFmtId="0" fontId="67" fillId="0" borderId="0"/>
  </cellStyleXfs>
  <cellXfs count="518">
    <xf numFmtId="0" fontId="0" fillId="0" borderId="0" applyAlignment="1" pivotButton="0" quotePrefix="0" xfId="0">
      <alignment vertical="center"/>
    </xf>
    <xf numFmtId="0" fontId="6" fillId="0" borderId="0" applyAlignment="1" pivotButton="0" quotePrefix="0" xfId="0">
      <alignment vertical="center"/>
    </xf>
    <xf numFmtId="0" fontId="7" fillId="0" borderId="0" applyAlignment="1" pivotButton="0" quotePrefix="0" xfId="0">
      <alignment horizontal="left" vertical="center"/>
    </xf>
    <xf numFmtId="0" fontId="6" fillId="0" borderId="0" applyAlignment="1" pivotButton="0" quotePrefix="0" xfId="0">
      <alignment horizontal="center" vertical="center"/>
    </xf>
    <xf numFmtId="164" fontId="6" fillId="0" borderId="0" applyAlignment="1" pivotButton="0" quotePrefix="0" xfId="0">
      <alignment vertical="center"/>
    </xf>
    <xf numFmtId="0" fontId="7" fillId="0" borderId="0" applyAlignment="1" pivotButton="0" quotePrefix="0" xfId="0">
      <alignment vertical="center"/>
    </xf>
    <xf numFmtId="0" fontId="6" fillId="0" borderId="3" applyAlignment="1" pivotButton="0" quotePrefix="0" xfId="0">
      <alignment horizontal="center" vertical="center"/>
    </xf>
    <xf numFmtId="0" fontId="8" fillId="0" borderId="0" applyAlignment="1" pivotButton="0" quotePrefix="0" xfId="0">
      <alignment horizontal="centerContinuous" vertical="center"/>
    </xf>
    <xf numFmtId="0" fontId="9" fillId="0" borderId="0" applyAlignment="1" pivotButton="0" quotePrefix="0" xfId="0">
      <alignment vertical="center"/>
    </xf>
    <xf numFmtId="0" fontId="8" fillId="0" borderId="0" applyAlignment="1" pivotButton="0" quotePrefix="0" xfId="0">
      <alignment horizontal="left" vertical="center"/>
    </xf>
    <xf numFmtId="0" fontId="12" fillId="0" borderId="0" applyAlignment="1" pivotButton="0" quotePrefix="0" xfId="0">
      <alignment vertical="center"/>
    </xf>
    <xf numFmtId="0" fontId="11" fillId="0" borderId="3" applyAlignment="1" pivotButton="0" quotePrefix="0" xfId="0">
      <alignment vertical="center"/>
    </xf>
    <xf numFmtId="0" fontId="11" fillId="2" borderId="47" applyAlignment="1" pivotButton="0" quotePrefix="0" xfId="0">
      <alignment vertical="center"/>
    </xf>
    <xf numFmtId="41" fontId="11" fillId="2" borderId="44" applyAlignment="1" pivotButton="0" quotePrefix="0" xfId="0">
      <alignment vertical="center"/>
    </xf>
    <xf numFmtId="41" fontId="11" fillId="2" borderId="45" applyAlignment="1" pivotButton="0" quotePrefix="0" xfId="0">
      <alignment vertical="center"/>
    </xf>
    <xf numFmtId="41" fontId="11" fillId="2" borderId="46" applyAlignment="1" pivotButton="0" quotePrefix="0" xfId="0">
      <alignment vertical="center"/>
    </xf>
    <xf numFmtId="0" fontId="11" fillId="2" borderId="32" applyAlignment="1" pivotButton="0" quotePrefix="0" xfId="0">
      <alignment vertical="center"/>
    </xf>
    <xf numFmtId="0" fontId="11" fillId="2" borderId="32" applyAlignment="1" pivotButton="0" quotePrefix="0" xfId="0">
      <alignment horizontal="center" vertical="center"/>
    </xf>
    <xf numFmtId="0" fontId="13" fillId="2" borderId="36" applyAlignment="1" pivotButton="0" quotePrefix="0" xfId="0">
      <alignment horizontal="center" vertical="center"/>
    </xf>
    <xf numFmtId="0" fontId="13" fillId="2" borderId="37" applyAlignment="1" pivotButton="0" quotePrefix="0" xfId="0">
      <alignment horizontal="center" vertical="center"/>
    </xf>
    <xf numFmtId="165" fontId="11" fillId="0" borderId="17" applyAlignment="1" pivotButton="0" quotePrefix="0" xfId="0">
      <alignment horizontal="left" vertical="center"/>
    </xf>
    <xf numFmtId="0" fontId="13" fillId="2" borderId="35" applyAlignment="1" pivotButton="0" quotePrefix="0" xfId="0">
      <alignment horizontal="center" vertical="center"/>
    </xf>
    <xf numFmtId="0" fontId="10" fillId="0" borderId="0" applyAlignment="1" pivotButton="0" quotePrefix="0" xfId="0">
      <alignment horizontal="center" vertical="center"/>
    </xf>
    <xf numFmtId="0" fontId="11" fillId="2" borderId="29" applyAlignment="1" pivotButton="0" quotePrefix="0" xfId="0">
      <alignment horizontal="center" vertical="center"/>
    </xf>
    <xf numFmtId="0" fontId="11" fillId="2" borderId="53" applyAlignment="1" pivotButton="0" quotePrefix="0" xfId="0">
      <alignment vertical="center"/>
    </xf>
    <xf numFmtId="0" fontId="13" fillId="2" borderId="54" applyAlignment="1" pivotButton="0" quotePrefix="0" xfId="0">
      <alignment horizontal="center" vertical="center"/>
    </xf>
    <xf numFmtId="0" fontId="11" fillId="3" borderId="55" applyAlignment="1" pivotButton="0" quotePrefix="0" xfId="0">
      <alignment vertical="center"/>
    </xf>
    <xf numFmtId="0" fontId="11" fillId="0" borderId="15" applyAlignment="1" pivotButton="0" quotePrefix="0" xfId="0">
      <alignment vertical="center"/>
    </xf>
    <xf numFmtId="0" fontId="11" fillId="2" borderId="58" applyAlignment="1" pivotButton="0" quotePrefix="0" xfId="0">
      <alignment vertical="center"/>
    </xf>
    <xf numFmtId="41" fontId="11" fillId="2" borderId="24" applyAlignment="1" pivotButton="0" quotePrefix="0" xfId="0">
      <alignment vertical="center"/>
    </xf>
    <xf numFmtId="0" fontId="13" fillId="2" borderId="14" applyAlignment="1" pivotButton="0" quotePrefix="0" xfId="0">
      <alignment horizontal="right" vertical="center" indent="3"/>
    </xf>
    <xf numFmtId="0" fontId="11" fillId="0" borderId="15" applyAlignment="1" pivotButton="0" quotePrefix="0" xfId="0">
      <alignment horizontal="center" vertical="center"/>
    </xf>
    <xf numFmtId="0" fontId="11" fillId="0" borderId="3" applyAlignment="1" pivotButton="0" quotePrefix="0" xfId="0">
      <alignment horizontal="center" vertical="center"/>
    </xf>
    <xf numFmtId="0" fontId="11" fillId="0" borderId="18" applyAlignment="1" pivotButton="0" quotePrefix="0" xfId="0">
      <alignment horizontal="center" vertical="center"/>
    </xf>
    <xf numFmtId="0" fontId="11" fillId="0" borderId="23" applyAlignment="1" pivotButton="0" quotePrefix="0" xfId="0">
      <alignment vertical="center"/>
    </xf>
    <xf numFmtId="49" fontId="15" fillId="4" borderId="32" applyAlignment="1" pivotButton="0" quotePrefix="0" xfId="1">
      <alignment horizontal="center" vertical="center"/>
    </xf>
    <xf numFmtId="0" fontId="18" fillId="0" borderId="0" applyAlignment="1" pivotButton="0" quotePrefix="0" xfId="0">
      <alignment horizontal="center" vertical="center"/>
    </xf>
    <xf numFmtId="41" fontId="11" fillId="5" borderId="64" applyAlignment="1" pivotButton="0" quotePrefix="0" xfId="0">
      <alignment vertical="center"/>
    </xf>
    <xf numFmtId="41" fontId="11" fillId="5" borderId="65" applyAlignment="1" pivotButton="0" quotePrefix="0" xfId="0">
      <alignment vertical="center"/>
    </xf>
    <xf numFmtId="41" fontId="11" fillId="5" borderId="66" applyAlignment="1" pivotButton="0" quotePrefix="0" xfId="0">
      <alignment vertical="center"/>
    </xf>
    <xf numFmtId="41" fontId="11" fillId="5" borderId="25" applyAlignment="1" pivotButton="0" quotePrefix="0" xfId="0">
      <alignment vertical="center"/>
    </xf>
    <xf numFmtId="49" fontId="20" fillId="4" borderId="32" applyAlignment="1" pivotButton="0" quotePrefix="0" xfId="1">
      <alignment horizontal="center" vertical="center"/>
    </xf>
    <xf numFmtId="49" fontId="21" fillId="0" borderId="41" applyAlignment="1" pivotButton="0" quotePrefix="0" xfId="1">
      <alignment horizontal="center" vertical="center"/>
    </xf>
    <xf numFmtId="49" fontId="21" fillId="0" borderId="43" applyAlignment="1" pivotButton="0" quotePrefix="0" xfId="1">
      <alignment horizontal="center" vertical="center"/>
    </xf>
    <xf numFmtId="0" fontId="17" fillId="0" borderId="41" applyAlignment="1" pivotButton="0" quotePrefix="0" xfId="0">
      <alignment horizontal="center" vertical="center"/>
    </xf>
    <xf numFmtId="0" fontId="17" fillId="0" borderId="44" applyAlignment="1" pivotButton="0" quotePrefix="0" xfId="0">
      <alignment horizontal="center" vertical="center"/>
    </xf>
    <xf numFmtId="49" fontId="21" fillId="0" borderId="46" applyAlignment="1" pivotButton="0" quotePrefix="0" xfId="1">
      <alignment horizontal="center" vertical="center"/>
    </xf>
    <xf numFmtId="49" fontId="21" fillId="0" borderId="34" applyAlignment="1" pivotButton="0" quotePrefix="0" xfId="1">
      <alignment horizontal="center" vertical="center"/>
    </xf>
    <xf numFmtId="49" fontId="21" fillId="0" borderId="5" applyAlignment="1" pivotButton="0" quotePrefix="0" xfId="1">
      <alignment horizontal="center" vertical="center"/>
    </xf>
    <xf numFmtId="49" fontId="21" fillId="0" borderId="4" applyAlignment="1" pivotButton="0" quotePrefix="0" xfId="1">
      <alignment horizontal="center" vertical="center"/>
    </xf>
    <xf numFmtId="49" fontId="21" fillId="0" borderId="70" applyAlignment="1" pivotButton="0" quotePrefix="0" xfId="1">
      <alignment horizontal="center" vertical="center"/>
    </xf>
    <xf numFmtId="49" fontId="21" fillId="0" borderId="71" applyAlignment="1" pivotButton="0" quotePrefix="0" xfId="1">
      <alignment horizontal="center" vertical="center"/>
    </xf>
    <xf numFmtId="49" fontId="20" fillId="4" borderId="35" applyAlignment="1" pivotButton="0" quotePrefix="0" xfId="1">
      <alignment horizontal="center" vertical="center" wrapText="1"/>
    </xf>
    <xf numFmtId="49" fontId="20" fillId="4" borderId="37" applyAlignment="1" pivotButton="0" quotePrefix="0" xfId="1">
      <alignment horizontal="center" vertical="center"/>
    </xf>
    <xf numFmtId="49" fontId="16" fillId="0" borderId="41" applyAlignment="1" pivotButton="0" quotePrefix="0" xfId="1">
      <alignment horizontal="center" vertical="center"/>
    </xf>
    <xf numFmtId="49" fontId="16" fillId="0" borderId="43" applyAlignment="1" pivotButton="0" quotePrefix="0" xfId="1">
      <alignment horizontal="center" vertical="center"/>
    </xf>
    <xf numFmtId="49" fontId="16" fillId="0" borderId="44" applyAlignment="1" pivotButton="0" quotePrefix="0" xfId="1">
      <alignment horizontal="center" vertical="center"/>
    </xf>
    <xf numFmtId="0" fontId="17" fillId="0" borderId="46" applyAlignment="1" pivotButton="0" quotePrefix="0" xfId="0">
      <alignment horizontal="center" vertical="center"/>
    </xf>
    <xf numFmtId="49" fontId="16" fillId="0" borderId="34" applyAlignment="1" pivotButton="0" quotePrefix="0" xfId="1">
      <alignment horizontal="center" vertical="center"/>
    </xf>
    <xf numFmtId="49" fontId="16" fillId="0" borderId="5" applyAlignment="1" pivotButton="0" quotePrefix="0" xfId="1">
      <alignment horizontal="center" vertical="center"/>
    </xf>
    <xf numFmtId="49" fontId="16" fillId="0" borderId="4" applyAlignment="1" pivotButton="0" quotePrefix="0" xfId="1">
      <alignment horizontal="center" vertical="center"/>
    </xf>
    <xf numFmtId="49" fontId="16" fillId="0" borderId="70" applyAlignment="1" pivotButton="0" quotePrefix="0" xfId="1">
      <alignment horizontal="center" vertical="center"/>
    </xf>
    <xf numFmtId="49" fontId="16" fillId="0" borderId="71" applyAlignment="1" pivotButton="0" quotePrefix="0" xfId="1">
      <alignment horizontal="center" vertical="center"/>
    </xf>
    <xf numFmtId="49" fontId="15" fillId="4" borderId="35" applyAlignment="1" pivotButton="0" quotePrefix="0" xfId="1">
      <alignment horizontal="center" vertical="center"/>
    </xf>
    <xf numFmtId="49" fontId="15" fillId="4" borderId="37" applyAlignment="1" pivotButton="0" quotePrefix="0" xfId="1">
      <alignment horizontal="center" vertical="center"/>
    </xf>
    <xf numFmtId="49" fontId="21" fillId="0" borderId="71" applyAlignment="1" pivotButton="0" quotePrefix="0" xfId="1">
      <alignment horizontal="left" vertical="center" indent="1"/>
    </xf>
    <xf numFmtId="49" fontId="21" fillId="0" borderId="43" applyAlignment="1" pivotButton="0" quotePrefix="0" xfId="1">
      <alignment horizontal="left" vertical="center" indent="1"/>
    </xf>
    <xf numFmtId="49" fontId="21" fillId="0" borderId="46" applyAlignment="1" pivotButton="0" quotePrefix="0" xfId="1">
      <alignment horizontal="left" vertical="center" indent="1"/>
    </xf>
    <xf numFmtId="0" fontId="17" fillId="0" borderId="72" applyAlignment="1" pivotButton="0" quotePrefix="0" xfId="0">
      <alignment vertical="center"/>
    </xf>
    <xf numFmtId="0" fontId="18" fillId="0" borderId="72" applyAlignment="1" pivotButton="0" quotePrefix="0" xfId="0">
      <alignment vertical="center"/>
    </xf>
    <xf numFmtId="49" fontId="23" fillId="4" borderId="32" applyAlignment="1" pivotButton="0" quotePrefix="0" xfId="1">
      <alignment horizontal="center" vertical="center"/>
    </xf>
    <xf numFmtId="0" fontId="17" fillId="0" borderId="0" applyAlignment="1" pivotButton="0" quotePrefix="0" xfId="0">
      <alignment vertical="center"/>
    </xf>
    <xf numFmtId="0" fontId="11" fillId="0" borderId="0" applyAlignment="1" pivotButton="0" quotePrefix="0" xfId="0">
      <alignment vertical="center"/>
    </xf>
    <xf numFmtId="0" fontId="28" fillId="6" borderId="0" pivotButton="0" quotePrefix="0" xfId="0"/>
    <xf numFmtId="0" fontId="29" fillId="6" borderId="0" applyAlignment="1" pivotButton="0" quotePrefix="0" xfId="0">
      <alignment vertical="center"/>
    </xf>
    <xf numFmtId="0" fontId="30" fillId="6" borderId="0" pivotButton="0" quotePrefix="0" xfId="6"/>
    <xf numFmtId="0" fontId="31" fillId="6" borderId="0" pivotButton="0" quotePrefix="0" xfId="0"/>
    <xf numFmtId="0" fontId="32" fillId="0" borderId="0" applyAlignment="1" pivotButton="0" quotePrefix="0" xfId="0">
      <alignment vertical="center"/>
    </xf>
    <xf numFmtId="0" fontId="27" fillId="7" borderId="63" applyAlignment="1" pivotButton="0" quotePrefix="0" xfId="0">
      <alignment horizontal="left" vertical="center"/>
    </xf>
    <xf numFmtId="0" fontId="36" fillId="0" borderId="0" applyAlignment="1" pivotButton="0" quotePrefix="0" xfId="0">
      <alignment vertical="center"/>
    </xf>
    <xf numFmtId="0" fontId="36" fillId="0" borderId="88" applyAlignment="1" pivotButton="0" quotePrefix="0" xfId="0">
      <alignment vertical="center"/>
    </xf>
    <xf numFmtId="0" fontId="36" fillId="0" borderId="32" applyAlignment="1" pivotButton="0" quotePrefix="0" xfId="0">
      <alignment horizontal="center" vertical="center"/>
    </xf>
    <xf numFmtId="0" fontId="38" fillId="6" borderId="73" pivotButton="0" quotePrefix="0" xfId="0"/>
    <xf numFmtId="0" fontId="38" fillId="6" borderId="74" pivotButton="0" quotePrefix="0" xfId="0"/>
    <xf numFmtId="14" fontId="39" fillId="6" borderId="74" pivotButton="0" quotePrefix="0" xfId="0"/>
    <xf numFmtId="0" fontId="39" fillId="6" borderId="74" applyProtection="1" pivotButton="0" quotePrefix="0" xfId="0">
      <protection locked="0" hidden="0"/>
    </xf>
    <xf numFmtId="0" fontId="40" fillId="6" borderId="75" pivotButton="0" quotePrefix="0" xfId="0"/>
    <xf numFmtId="0" fontId="38" fillId="6" borderId="76" pivotButton="0" quotePrefix="0" xfId="0"/>
    <xf numFmtId="0" fontId="38" fillId="6" borderId="0" pivotButton="0" quotePrefix="0" xfId="0"/>
    <xf numFmtId="0" fontId="38" fillId="6" borderId="77" pivotButton="0" quotePrefix="0" xfId="0"/>
    <xf numFmtId="0" fontId="40" fillId="6" borderId="0" pivotButton="0" quotePrefix="0" xfId="0"/>
    <xf numFmtId="166" fontId="42" fillId="6" borderId="76" pivotButton="0" quotePrefix="0" xfId="0"/>
    <xf numFmtId="166" fontId="42" fillId="6" borderId="77" pivotButton="0" quotePrefix="0" xfId="0"/>
    <xf numFmtId="0" fontId="42" fillId="6" borderId="76" pivotButton="0" quotePrefix="0" xfId="0"/>
    <xf numFmtId="0" fontId="42" fillId="6" borderId="77" pivotButton="0" quotePrefix="0" xfId="0"/>
    <xf numFmtId="0" fontId="44" fillId="6" borderId="0" pivotButton="0" quotePrefix="0" xfId="0"/>
    <xf numFmtId="0" fontId="45" fillId="6" borderId="0" pivotButton="0" quotePrefix="0" xfId="0"/>
    <xf numFmtId="0" fontId="46" fillId="6" borderId="0" pivotButton="0" quotePrefix="0" xfId="0"/>
    <xf numFmtId="0" fontId="38" fillId="6" borderId="85" pivotButton="0" quotePrefix="0" xfId="0"/>
    <xf numFmtId="0" fontId="38" fillId="6" borderId="78" pivotButton="0" quotePrefix="0" xfId="0"/>
    <xf numFmtId="0" fontId="46" fillId="6" borderId="78" pivotButton="0" quotePrefix="0" xfId="0"/>
    <xf numFmtId="0" fontId="46" fillId="6" borderId="86" pivotButton="0" quotePrefix="0" xfId="0"/>
    <xf numFmtId="0" fontId="6" fillId="0" borderId="23" applyAlignment="1" pivotButton="0" quotePrefix="0" xfId="0">
      <alignment horizontal="center" vertical="center"/>
    </xf>
    <xf numFmtId="0" fontId="6" fillId="0" borderId="18" applyAlignment="1" pivotButton="0" quotePrefix="0" xfId="0">
      <alignment horizontal="center" vertical="center"/>
    </xf>
    <xf numFmtId="0" fontId="14" fillId="0" borderId="18" applyAlignment="1" pivotButton="0" quotePrefix="0" xfId="0">
      <alignment horizontal="center" vertical="center"/>
    </xf>
    <xf numFmtId="0" fontId="11" fillId="0" borderId="18" applyAlignment="1" pivotButton="0" quotePrefix="0" xfId="0">
      <alignment vertical="center"/>
    </xf>
    <xf numFmtId="0" fontId="11" fillId="0" borderId="23" applyAlignment="1" pivotButton="0" quotePrefix="0" xfId="0">
      <alignment horizontal="center" vertical="center"/>
    </xf>
    <xf numFmtId="0" fontId="27" fillId="7" borderId="0" applyAlignment="1" pivotButton="0" quotePrefix="0" xfId="0">
      <alignment horizontal="left" vertical="center"/>
    </xf>
    <xf numFmtId="0" fontId="35" fillId="0" borderId="0" applyAlignment="1" pivotButton="0" quotePrefix="0" xfId="0">
      <alignment horizontal="center" vertical="center"/>
    </xf>
    <xf numFmtId="0" fontId="27" fillId="7" borderId="27" applyAlignment="1" pivotButton="0" quotePrefix="0" xfId="0">
      <alignment horizontal="left" vertical="center"/>
    </xf>
    <xf numFmtId="0" fontId="27" fillId="7" borderId="20" applyAlignment="1" pivotButton="0" quotePrefix="0" xfId="0">
      <alignment horizontal="left" vertical="center"/>
    </xf>
    <xf numFmtId="0" fontId="35" fillId="0" borderId="20" applyAlignment="1" pivotButton="0" quotePrefix="0" xfId="0">
      <alignment horizontal="center" vertical="center"/>
    </xf>
    <xf numFmtId="0" fontId="36" fillId="0" borderId="20" applyAlignment="1" pivotButton="0" quotePrefix="0" xfId="0">
      <alignment vertical="center"/>
    </xf>
    <xf numFmtId="0" fontId="47" fillId="0" borderId="0" applyAlignment="1" pivotButton="0" quotePrefix="0" xfId="0">
      <alignment horizontal="left" vertical="center"/>
    </xf>
    <xf numFmtId="0" fontId="48" fillId="0" borderId="0" applyAlignment="1" pivotButton="0" quotePrefix="0" xfId="0">
      <alignment horizontal="left" vertical="center"/>
    </xf>
    <xf numFmtId="14" fontId="36" fillId="0" borderId="32" applyAlignment="1" pivotButton="0" quotePrefix="0" xfId="0">
      <alignment horizontal="center" vertical="center"/>
    </xf>
    <xf numFmtId="0" fontId="49" fillId="0" borderId="0" applyAlignment="1" pivotButton="0" quotePrefix="0" xfId="0">
      <alignment horizontal="centerContinuous" vertical="center"/>
    </xf>
    <xf numFmtId="41" fontId="12" fillId="0" borderId="0" applyAlignment="1" pivotButton="0" quotePrefix="0" xfId="7">
      <alignment vertical="center"/>
    </xf>
    <xf numFmtId="167" fontId="11" fillId="0" borderId="0" applyAlignment="1" pivotButton="0" quotePrefix="0" xfId="8">
      <alignment vertical="center"/>
    </xf>
    <xf numFmtId="0" fontId="13" fillId="2" borderId="97" applyAlignment="1" pivotButton="0" quotePrefix="0" xfId="0">
      <alignment horizontal="center" vertical="center"/>
    </xf>
    <xf numFmtId="0" fontId="13" fillId="2" borderId="98" applyAlignment="1" pivotButton="0" quotePrefix="0" xfId="0">
      <alignment horizontal="center" vertical="center"/>
    </xf>
    <xf numFmtId="41" fontId="11" fillId="5" borderId="103" applyAlignment="1" pivotButton="0" quotePrefix="0" xfId="0">
      <alignment vertical="center"/>
    </xf>
    <xf numFmtId="41" fontId="11" fillId="2" borderId="83" applyAlignment="1" pivotButton="0" quotePrefix="0" xfId="0">
      <alignment vertical="center"/>
    </xf>
    <xf numFmtId="41" fontId="11" fillId="5" borderId="102" applyAlignment="1" pivotButton="0" quotePrefix="0" xfId="0">
      <alignment vertical="center"/>
    </xf>
    <xf numFmtId="41" fontId="11" fillId="2" borderId="104" applyAlignment="1" pivotButton="0" quotePrefix="0" xfId="0">
      <alignment vertical="center"/>
    </xf>
    <xf numFmtId="0" fontId="11" fillId="0" borderId="108" applyAlignment="1" pivotButton="0" quotePrefix="0" xfId="0">
      <alignment vertical="center"/>
    </xf>
    <xf numFmtId="0" fontId="11" fillId="0" borderId="34" applyAlignment="1" applyProtection="1" pivotButton="0" quotePrefix="0" xfId="0">
      <alignment vertical="center"/>
      <protection locked="0" hidden="0"/>
    </xf>
    <xf numFmtId="0" fontId="11" fillId="0" borderId="49" applyAlignment="1" applyProtection="1" pivotButton="0" quotePrefix="0" xfId="0">
      <alignment vertical="center"/>
      <protection locked="0" hidden="0"/>
    </xf>
    <xf numFmtId="0" fontId="12" fillId="0" borderId="34" applyAlignment="1" applyProtection="1" pivotButton="0" quotePrefix="0" xfId="0">
      <alignment vertical="center"/>
      <protection locked="0" hidden="0"/>
    </xf>
    <xf numFmtId="41" fontId="11" fillId="0" borderId="34" applyAlignment="1" applyProtection="1" pivotButton="0" quotePrefix="0" xfId="0">
      <alignment vertical="center"/>
      <protection locked="0" hidden="0"/>
    </xf>
    <xf numFmtId="0" fontId="11" fillId="0" borderId="6" applyAlignment="1" applyProtection="1" pivotButton="0" quotePrefix="0" xfId="0">
      <alignment vertical="center"/>
      <protection locked="0" hidden="0"/>
    </xf>
    <xf numFmtId="0" fontId="11" fillId="0" borderId="92" applyAlignment="1" applyProtection="1" pivotButton="0" quotePrefix="0" xfId="0">
      <alignment vertical="center"/>
      <protection locked="0" hidden="0"/>
    </xf>
    <xf numFmtId="41" fontId="11" fillId="0" borderId="81" applyAlignment="1" applyProtection="1" pivotButton="0" quotePrefix="0" xfId="0">
      <alignment vertical="center"/>
      <protection locked="0" hidden="0"/>
    </xf>
    <xf numFmtId="41" fontId="11" fillId="0" borderId="42" applyAlignment="1" applyProtection="1" pivotButton="0" quotePrefix="0" xfId="0">
      <alignment vertical="center"/>
      <protection locked="0" hidden="0"/>
    </xf>
    <xf numFmtId="41" fontId="11" fillId="0" borderId="43" applyAlignment="1" applyProtection="1" pivotButton="0" quotePrefix="0" xfId="0">
      <alignment vertical="center"/>
      <protection locked="0" hidden="0"/>
    </xf>
    <xf numFmtId="41" fontId="11" fillId="0" borderId="93" applyAlignment="1" applyProtection="1" pivotButton="0" quotePrefix="0" xfId="0">
      <alignment vertical="center"/>
      <protection locked="0" hidden="0"/>
    </xf>
    <xf numFmtId="41" fontId="11" fillId="0" borderId="60" applyAlignment="1" applyProtection="1" pivotButton="0" quotePrefix="0" xfId="0">
      <alignment vertical="center"/>
      <protection locked="0" hidden="0"/>
    </xf>
    <xf numFmtId="41" fontId="11" fillId="0" borderId="61" applyAlignment="1" applyProtection="1" pivotButton="0" quotePrefix="0" xfId="0">
      <alignment vertical="center"/>
      <protection locked="0" hidden="0"/>
    </xf>
    <xf numFmtId="41" fontId="11" fillId="0" borderId="100" applyAlignment="1" applyProtection="1" pivotButton="0" quotePrefix="0" xfId="0">
      <alignment vertical="center"/>
      <protection locked="0" hidden="0"/>
    </xf>
    <xf numFmtId="41" fontId="11" fillId="0" borderId="101" applyAlignment="1" applyProtection="1" pivotButton="0" quotePrefix="0" xfId="0">
      <alignment vertical="center"/>
      <protection locked="0" hidden="0"/>
    </xf>
    <xf numFmtId="0" fontId="11" fillId="0" borderId="4" applyAlignment="1" applyProtection="1" pivotButton="0" quotePrefix="0" xfId="0">
      <alignment vertical="center"/>
      <protection locked="0" hidden="0"/>
    </xf>
    <xf numFmtId="41" fontId="11" fillId="0" borderId="4" applyAlignment="1" applyProtection="1" pivotButton="0" quotePrefix="0" xfId="7">
      <alignment vertical="center"/>
      <protection locked="0" hidden="0"/>
    </xf>
    <xf numFmtId="41" fontId="11" fillId="0" borderId="18" applyAlignment="1" applyProtection="1" pivotButton="0" quotePrefix="0" xfId="7">
      <alignment vertical="center"/>
      <protection locked="0" hidden="0"/>
    </xf>
    <xf numFmtId="0" fontId="11" fillId="0" borderId="18" applyAlignment="1" applyProtection="1" pivotButton="0" quotePrefix="0" xfId="0">
      <alignment vertical="center"/>
      <protection locked="0" hidden="0"/>
    </xf>
    <xf numFmtId="41" fontId="11" fillId="8" borderId="41" applyAlignment="1" pivotButton="0" quotePrefix="0" xfId="0">
      <alignment vertical="center"/>
    </xf>
    <xf numFmtId="41" fontId="11" fillId="8" borderId="42" applyAlignment="1" pivotButton="0" quotePrefix="0" xfId="0">
      <alignment vertical="center"/>
    </xf>
    <xf numFmtId="41" fontId="11" fillId="8" borderId="43" applyAlignment="1" pivotButton="0" quotePrefix="0" xfId="0">
      <alignment vertical="center"/>
    </xf>
    <xf numFmtId="41" fontId="11" fillId="8" borderId="100" applyAlignment="1" pivotButton="0" quotePrefix="0" xfId="0">
      <alignment vertical="center"/>
    </xf>
    <xf numFmtId="41" fontId="11" fillId="8" borderId="81" applyAlignment="1" pivotButton="0" quotePrefix="0" xfId="0">
      <alignment vertical="center"/>
    </xf>
    <xf numFmtId="41" fontId="11" fillId="8" borderId="59" applyAlignment="1" pivotButton="0" quotePrefix="0" xfId="0">
      <alignment vertical="center"/>
    </xf>
    <xf numFmtId="41" fontId="11" fillId="8" borderId="60" applyAlignment="1" pivotButton="0" quotePrefix="0" xfId="0">
      <alignment vertical="center"/>
    </xf>
    <xf numFmtId="41" fontId="11" fillId="8" borderId="61" applyAlignment="1" pivotButton="0" quotePrefix="0" xfId="0">
      <alignment vertical="center"/>
    </xf>
    <xf numFmtId="41" fontId="11" fillId="8" borderId="101" applyAlignment="1" pivotButton="0" quotePrefix="0" xfId="0">
      <alignment vertical="center"/>
    </xf>
    <xf numFmtId="41" fontId="11" fillId="8" borderId="93" applyAlignment="1" pivotButton="0" quotePrefix="0" xfId="0">
      <alignment vertical="center"/>
    </xf>
    <xf numFmtId="41" fontId="52" fillId="0" borderId="93" applyAlignment="1" pivotButton="0" quotePrefix="0" xfId="0">
      <alignment vertical="center"/>
    </xf>
    <xf numFmtId="41" fontId="52" fillId="0" borderId="60" applyAlignment="1" pivotButton="0" quotePrefix="0" xfId="0">
      <alignment vertical="center"/>
    </xf>
    <xf numFmtId="41" fontId="52" fillId="0" borderId="61" applyAlignment="1" pivotButton="0" quotePrefix="0" xfId="0">
      <alignment vertical="center"/>
    </xf>
    <xf numFmtId="41" fontId="52" fillId="0" borderId="101" applyAlignment="1" pivotButton="0" quotePrefix="0" xfId="0">
      <alignment vertical="center"/>
    </xf>
    <xf numFmtId="41" fontId="11" fillId="8" borderId="4" applyAlignment="1" pivotButton="0" quotePrefix="0" xfId="7">
      <alignment vertical="center"/>
    </xf>
    <xf numFmtId="41" fontId="11" fillId="8" borderId="18" applyAlignment="1" pivotButton="0" quotePrefix="0" xfId="7">
      <alignment vertical="center"/>
    </xf>
    <xf numFmtId="168" fontId="11" fillId="8" borderId="4" applyAlignment="1" pivotButton="0" quotePrefix="0" xfId="8">
      <alignment vertical="center"/>
    </xf>
    <xf numFmtId="168" fontId="11" fillId="8" borderId="18" applyAlignment="1" pivotButton="0" quotePrefix="0" xfId="8">
      <alignment vertical="center"/>
    </xf>
    <xf numFmtId="168" fontId="11" fillId="8" borderId="6" applyAlignment="1" pivotButton="0" quotePrefix="0" xfId="8">
      <alignment vertical="center"/>
    </xf>
    <xf numFmtId="0" fontId="6" fillId="3" borderId="0" applyAlignment="1" pivotButton="0" quotePrefix="0" xfId="0">
      <alignment vertical="center"/>
    </xf>
    <xf numFmtId="0" fontId="55" fillId="3" borderId="0" applyAlignment="1" pivotButton="0" quotePrefix="0" xfId="0">
      <alignment vertical="center"/>
    </xf>
    <xf numFmtId="0" fontId="56" fillId="8" borderId="13" applyAlignment="1" pivotButton="0" quotePrefix="0" xfId="1">
      <alignment horizontal="center" vertical="center"/>
    </xf>
    <xf numFmtId="0" fontId="56" fillId="8" borderId="6" applyAlignment="1" pivotButton="0" quotePrefix="0" xfId="1">
      <alignment horizontal="center" vertical="center"/>
    </xf>
    <xf numFmtId="41" fontId="56" fillId="8" borderId="6" applyAlignment="1" pivotButton="0" quotePrefix="0" xfId="2">
      <alignment horizontal="center" vertical="center"/>
    </xf>
    <xf numFmtId="0" fontId="56" fillId="8" borderId="6" applyAlignment="1" pivotButton="0" quotePrefix="0" xfId="1">
      <alignment horizontal="center" vertical="center" shrinkToFit="1"/>
    </xf>
    <xf numFmtId="169" fontId="57" fillId="8" borderId="8" applyAlignment="1" pivotButton="0" quotePrefix="0" xfId="5">
      <alignment horizontal="left" vertical="center" wrapText="1"/>
    </xf>
    <xf numFmtId="169" fontId="57" fillId="8" borderId="4" applyAlignment="1" pivotButton="0" quotePrefix="0" xfId="5">
      <alignment horizontal="left" vertical="center" wrapText="1"/>
    </xf>
    <xf numFmtId="169" fontId="57" fillId="8" borderId="4" applyAlignment="1" pivotButton="0" quotePrefix="0" xfId="5">
      <alignment horizontal="left" vertical="center" wrapText="1"/>
    </xf>
    <xf numFmtId="170" fontId="57" fillId="8" borderId="13" applyAlignment="1" pivotButton="0" quotePrefix="0" xfId="5">
      <alignment horizontal="left" vertical="center" wrapText="1"/>
    </xf>
    <xf numFmtId="170" fontId="57" fillId="8" borderId="6" applyAlignment="1" pivotButton="0" quotePrefix="0" xfId="5">
      <alignment horizontal="left" vertical="center" wrapText="1"/>
    </xf>
    <xf numFmtId="170" fontId="57" fillId="8" borderId="6" applyAlignment="1" pivotButton="0" quotePrefix="0" xfId="5">
      <alignment horizontal="left" vertical="center" wrapText="1"/>
    </xf>
    <xf numFmtId="0" fontId="6" fillId="0" borderId="15" applyAlignment="1" pivotButton="0" quotePrefix="0" xfId="0">
      <alignment horizontal="center" vertical="center"/>
    </xf>
    <xf numFmtId="0" fontId="12" fillId="0" borderId="15" applyAlignment="1" pivotButton="0" quotePrefix="0" xfId="0">
      <alignment horizontal="center" vertical="center"/>
    </xf>
    <xf numFmtId="0" fontId="7" fillId="9" borderId="22" applyAlignment="1" pivotButton="0" quotePrefix="0" xfId="0">
      <alignment horizontal="center" vertical="center"/>
    </xf>
    <xf numFmtId="0" fontId="7" fillId="9" borderId="2" applyAlignment="1" pivotButton="0" quotePrefix="0" xfId="0">
      <alignment horizontal="center" vertical="center"/>
    </xf>
    <xf numFmtId="0" fontId="7" fillId="9" borderId="23" applyAlignment="1" pivotButton="0" quotePrefix="0" xfId="0">
      <alignment horizontal="center" vertical="center"/>
    </xf>
    <xf numFmtId="0" fontId="7" fillId="9" borderId="18" applyAlignment="1" pivotButton="0" quotePrefix="0" xfId="0">
      <alignment horizontal="center" vertical="center"/>
    </xf>
    <xf numFmtId="0" fontId="7" fillId="9" borderId="6" applyAlignment="1" pivotButton="0" quotePrefix="0" xfId="0">
      <alignment horizontal="center" vertical="center"/>
    </xf>
    <xf numFmtId="0" fontId="7" fillId="9" borderId="7" applyAlignment="1" pivotButton="0" quotePrefix="0" xfId="0">
      <alignment horizontal="center" vertical="center"/>
    </xf>
    <xf numFmtId="0" fontId="10" fillId="9" borderId="53" applyAlignment="1" pivotButton="0" quotePrefix="0" xfId="0">
      <alignment horizontal="center" vertical="center"/>
    </xf>
    <xf numFmtId="0" fontId="10" fillId="9" borderId="32" applyAlignment="1" pivotButton="0" quotePrefix="0" xfId="0">
      <alignment horizontal="center" vertical="center"/>
    </xf>
    <xf numFmtId="0" fontId="10" fillId="9" borderId="22" applyAlignment="1" pivotButton="0" quotePrefix="0" xfId="0">
      <alignment horizontal="center" vertical="center"/>
    </xf>
    <xf numFmtId="0" fontId="10" fillId="9" borderId="2" applyAlignment="1" pivotButton="0" quotePrefix="0" xfId="0">
      <alignment horizontal="center" vertical="center"/>
    </xf>
    <xf numFmtId="41" fontId="10" fillId="9" borderId="51" applyAlignment="1" pivotButton="0" quotePrefix="0" xfId="7">
      <alignment horizontal="center" vertical="center"/>
    </xf>
    <xf numFmtId="0" fontId="10" fillId="9" borderId="23" applyAlignment="1" pivotButton="0" quotePrefix="0" xfId="0">
      <alignment horizontal="center" vertical="center"/>
    </xf>
    <xf numFmtId="0" fontId="10" fillId="9" borderId="18" applyAlignment="1" pivotButton="0" quotePrefix="0" xfId="0">
      <alignment horizontal="center" vertical="center"/>
    </xf>
    <xf numFmtId="0" fontId="10" fillId="9" borderId="18" applyAlignment="1" pivotButton="0" quotePrefix="0" xfId="0">
      <alignment vertical="center"/>
    </xf>
    <xf numFmtId="41" fontId="10" fillId="9" borderId="62" applyAlignment="1" pivotButton="0" quotePrefix="0" xfId="7">
      <alignment horizontal="center" vertical="center"/>
    </xf>
    <xf numFmtId="167" fontId="10" fillId="9" borderId="62" applyAlignment="1" pivotButton="0" quotePrefix="0" xfId="8">
      <alignment horizontal="center" vertical="center"/>
    </xf>
    <xf numFmtId="0" fontId="32" fillId="9" borderId="32" applyAlignment="1" pivotButton="0" quotePrefix="0" xfId="0">
      <alignment horizontal="center" vertical="center"/>
    </xf>
    <xf numFmtId="0" fontId="36" fillId="9" borderId="32" applyAlignment="1" pivotButton="0" quotePrefix="0" xfId="0">
      <alignment horizontal="center" vertical="center"/>
    </xf>
    <xf numFmtId="0" fontId="58" fillId="0" borderId="4" applyAlignment="1" applyProtection="1" pivotButton="0" quotePrefix="0" xfId="0">
      <alignment horizontal="center" vertical="center"/>
      <protection locked="0" hidden="0"/>
    </xf>
    <xf numFmtId="0" fontId="58" fillId="0" borderId="4" applyAlignment="1" applyProtection="1" pivotButton="0" quotePrefix="0" xfId="0">
      <alignment vertical="center"/>
      <protection locked="0" hidden="0"/>
    </xf>
    <xf numFmtId="0" fontId="59" fillId="0" borderId="0" applyAlignment="1" pivotButton="0" quotePrefix="0" xfId="0">
      <alignment vertical="center"/>
    </xf>
    <xf numFmtId="0" fontId="59" fillId="0" borderId="0" applyAlignment="1" pivotButton="0" quotePrefix="0" xfId="0">
      <alignment horizontal="center" vertical="center"/>
    </xf>
    <xf numFmtId="0" fontId="60" fillId="0" borderId="0" applyAlignment="1" pivotButton="0" quotePrefix="0" xfId="0">
      <alignment vertical="center"/>
    </xf>
    <xf numFmtId="0" fontId="61" fillId="0" borderId="0" applyAlignment="1" pivotButton="0" quotePrefix="0" xfId="0">
      <alignment horizontal="center" vertical="center"/>
    </xf>
    <xf numFmtId="14" fontId="61" fillId="0" borderId="0" applyAlignment="1" pivotButton="0" quotePrefix="0" xfId="0">
      <alignment vertical="center"/>
    </xf>
    <xf numFmtId="0" fontId="62" fillId="0" borderId="0" applyAlignment="1" pivotButton="0" quotePrefix="0" xfId="0">
      <alignment vertical="center"/>
    </xf>
    <xf numFmtId="0" fontId="61" fillId="8" borderId="109" applyAlignment="1" pivotButton="0" quotePrefix="0" xfId="0">
      <alignment horizontal="center" vertical="center"/>
    </xf>
    <xf numFmtId="0" fontId="61" fillId="8" borderId="108" applyAlignment="1" pivotButton="0" quotePrefix="0" xfId="0">
      <alignment horizontal="center" vertical="center"/>
    </xf>
    <xf numFmtId="0" fontId="61" fillId="8" borderId="108" applyAlignment="1" pivotButton="0" quotePrefix="0" xfId="0">
      <alignment horizontal="center" vertical="center" wrapText="1"/>
    </xf>
    <xf numFmtId="0" fontId="61" fillId="8" borderId="110" applyAlignment="1" pivotButton="0" quotePrefix="0" xfId="0">
      <alignment horizontal="center" vertical="center"/>
    </xf>
    <xf numFmtId="0" fontId="59" fillId="0" borderId="111" applyAlignment="1" pivotButton="0" quotePrefix="0" xfId="0">
      <alignment horizontal="center" vertical="center"/>
    </xf>
    <xf numFmtId="0" fontId="59" fillId="0" borderId="33" applyAlignment="1" pivotButton="0" quotePrefix="0" xfId="0">
      <alignment horizontal="center" vertical="center"/>
    </xf>
    <xf numFmtId="0" fontId="59" fillId="0" borderId="33" applyAlignment="1" pivotButton="0" quotePrefix="0" xfId="0">
      <alignment vertical="center"/>
    </xf>
    <xf numFmtId="0" fontId="59" fillId="0" borderId="48" applyAlignment="1" pivotButton="0" quotePrefix="0" xfId="0">
      <alignment vertical="center"/>
    </xf>
    <xf numFmtId="0" fontId="59" fillId="0" borderId="69" applyAlignment="1" pivotButton="0" quotePrefix="0" xfId="0">
      <alignment horizontal="center" vertical="center"/>
    </xf>
    <xf numFmtId="0" fontId="59" fillId="0" borderId="34" applyAlignment="1" pivotButton="0" quotePrefix="0" xfId="0">
      <alignment horizontal="center" vertical="center"/>
    </xf>
    <xf numFmtId="0" fontId="59" fillId="0" borderId="34" applyAlignment="1" pivotButton="0" quotePrefix="0" xfId="0">
      <alignment vertical="center"/>
    </xf>
    <xf numFmtId="0" fontId="59" fillId="0" borderId="49" applyAlignment="1" pivotButton="0" quotePrefix="0" xfId="0">
      <alignment vertical="center"/>
    </xf>
    <xf numFmtId="0" fontId="63" fillId="0" borderId="34" applyAlignment="1" pivotButton="0" quotePrefix="0" xfId="0">
      <alignment horizontal="center" vertical="center"/>
    </xf>
    <xf numFmtId="0" fontId="64" fillId="0" borderId="34" applyAlignment="1" pivotButton="0" quotePrefix="0" xfId="0">
      <alignment horizontal="center" vertical="center"/>
    </xf>
    <xf numFmtId="0" fontId="65" fillId="0" borderId="0" applyAlignment="1" pivotButton="0" quotePrefix="0" xfId="0">
      <alignment horizontal="left" vertical="center"/>
    </xf>
    <xf numFmtId="0" fontId="65" fillId="0" borderId="0" applyAlignment="1" pivotButton="0" quotePrefix="0" xfId="0">
      <alignment horizontal="left" vertical="center" indent="1"/>
    </xf>
    <xf numFmtId="0" fontId="65" fillId="0" borderId="0" applyAlignment="1" pivotButton="0" quotePrefix="0" xfId="0">
      <alignment horizontal="left" vertical="center" indent="3"/>
    </xf>
    <xf numFmtId="0" fontId="66" fillId="0" borderId="0" applyAlignment="1" pivotButton="0" quotePrefix="0" xfId="0">
      <alignment horizontal="left" vertical="center" indent="1"/>
    </xf>
    <xf numFmtId="0" fontId="68" fillId="10" borderId="112" applyAlignment="1" pivotButton="0" quotePrefix="0" xfId="9">
      <alignment horizontal="center" vertical="center" wrapText="1"/>
    </xf>
    <xf numFmtId="0" fontId="67" fillId="0" borderId="0" pivotButton="0" quotePrefix="0" xfId="9"/>
    <xf numFmtId="0" fontId="68" fillId="6" borderId="112" applyAlignment="1" pivotButton="0" quotePrefix="0" xfId="9">
      <alignment horizontal="center" vertical="center"/>
    </xf>
    <xf numFmtId="0" fontId="10" fillId="11" borderId="2" applyAlignment="1" pivotButton="0" quotePrefix="0" xfId="0">
      <alignment horizontal="center" vertical="center" wrapText="1"/>
    </xf>
    <xf numFmtId="0" fontId="10" fillId="11" borderId="51" applyAlignment="1" pivotButton="0" quotePrefix="0" xfId="0">
      <alignment horizontal="centerContinuous" vertical="center"/>
    </xf>
    <xf numFmtId="0" fontId="10" fillId="11" borderId="18" applyAlignment="1" pivotButton="0" quotePrefix="0" xfId="0">
      <alignment horizontal="center" vertical="center" wrapText="1"/>
    </xf>
    <xf numFmtId="0" fontId="10" fillId="11" borderId="62" applyAlignment="1" pivotButton="0" quotePrefix="0" xfId="0">
      <alignment horizontal="center" vertical="center"/>
    </xf>
    <xf numFmtId="0" fontId="11" fillId="0" borderId="4" applyAlignment="1" pivotButton="0" quotePrefix="0" xfId="0">
      <alignment horizontal="center" vertical="center"/>
    </xf>
    <xf numFmtId="0" fontId="11" fillId="0" borderId="4" applyAlignment="1" pivotButton="0" quotePrefix="0" xfId="0">
      <alignment vertical="center"/>
    </xf>
    <xf numFmtId="0" fontId="11" fillId="0" borderId="6" applyAlignment="1" pivotButton="0" quotePrefix="0" xfId="0">
      <alignment horizontal="center" vertical="center"/>
    </xf>
    <xf numFmtId="0" fontId="11" fillId="0" borderId="6" applyAlignment="1" pivotButton="0" quotePrefix="0" xfId="0">
      <alignment vertical="center"/>
    </xf>
    <xf numFmtId="41" fontId="69" fillId="13" borderId="38" applyAlignment="1" pivotButton="0" quotePrefix="0" xfId="0">
      <alignment vertical="center"/>
    </xf>
    <xf numFmtId="41" fontId="69" fillId="13" borderId="39" applyAlignment="1" pivotButton="0" quotePrefix="0" xfId="0">
      <alignment vertical="center"/>
    </xf>
    <xf numFmtId="41" fontId="69" fillId="13" borderId="40" applyAlignment="1" pivotButton="0" quotePrefix="0" xfId="0">
      <alignment vertical="center"/>
    </xf>
    <xf numFmtId="41" fontId="69" fillId="13" borderId="99" applyAlignment="1" pivotButton="0" quotePrefix="0" xfId="0">
      <alignment vertical="center"/>
    </xf>
    <xf numFmtId="41" fontId="69" fillId="0" borderId="79" applyAlignment="1" applyProtection="1" pivotButton="0" quotePrefix="0" xfId="0">
      <alignment vertical="center"/>
      <protection locked="0" hidden="0"/>
    </xf>
    <xf numFmtId="41" fontId="69" fillId="0" borderId="39" applyAlignment="1" applyProtection="1" pivotButton="0" quotePrefix="0" xfId="0">
      <alignment vertical="center"/>
      <protection locked="0" hidden="0"/>
    </xf>
    <xf numFmtId="41" fontId="69" fillId="0" borderId="40" applyAlignment="1" applyProtection="1" pivotButton="0" quotePrefix="0" xfId="0">
      <alignment vertical="center"/>
      <protection locked="0" hidden="0"/>
    </xf>
    <xf numFmtId="41" fontId="69" fillId="0" borderId="99" applyAlignment="1" pivotButton="0" quotePrefix="0" xfId="0">
      <alignment vertical="center"/>
    </xf>
    <xf numFmtId="41" fontId="69" fillId="13" borderId="79" applyAlignment="1" pivotButton="0" quotePrefix="0" xfId="0">
      <alignment vertical="center"/>
    </xf>
    <xf numFmtId="41" fontId="69" fillId="13" borderId="56" applyAlignment="1" pivotButton="0" quotePrefix="0" xfId="0">
      <alignment vertical="center"/>
    </xf>
    <xf numFmtId="41" fontId="69" fillId="13" borderId="41" applyAlignment="1" pivotButton="0" quotePrefix="0" xfId="0">
      <alignment vertical="center"/>
    </xf>
    <xf numFmtId="41" fontId="69" fillId="13" borderId="42" applyAlignment="1" pivotButton="0" quotePrefix="0" xfId="0">
      <alignment vertical="center"/>
    </xf>
    <xf numFmtId="41" fontId="69" fillId="13" borderId="43" applyAlignment="1" pivotButton="0" quotePrefix="0" xfId="0">
      <alignment vertical="center"/>
    </xf>
    <xf numFmtId="41" fontId="69" fillId="13" borderId="100" applyAlignment="1" pivotButton="0" quotePrefix="0" xfId="0">
      <alignment vertical="center"/>
    </xf>
    <xf numFmtId="41" fontId="69" fillId="0" borderId="81" applyAlignment="1" applyProtection="1" pivotButton="0" quotePrefix="0" xfId="0">
      <alignment vertical="center"/>
      <protection locked="0" hidden="0"/>
    </xf>
    <xf numFmtId="41" fontId="69" fillId="0" borderId="42" applyAlignment="1" applyProtection="1" pivotButton="0" quotePrefix="0" xfId="0">
      <alignment vertical="center"/>
      <protection locked="0" hidden="0"/>
    </xf>
    <xf numFmtId="41" fontId="69" fillId="0" borderId="43" applyAlignment="1" applyProtection="1" pivotButton="0" quotePrefix="0" xfId="0">
      <alignment vertical="center"/>
      <protection locked="0" hidden="0"/>
    </xf>
    <xf numFmtId="41" fontId="69" fillId="0" borderId="100" applyAlignment="1" pivotButton="0" quotePrefix="0" xfId="0">
      <alignment vertical="center"/>
    </xf>
    <xf numFmtId="41" fontId="69" fillId="13" borderId="81" applyAlignment="1" pivotButton="0" quotePrefix="0" xfId="0">
      <alignment vertical="center"/>
    </xf>
    <xf numFmtId="41" fontId="69" fillId="13" borderId="57" applyAlignment="1" pivotButton="0" quotePrefix="0" xfId="0">
      <alignment vertical="center"/>
    </xf>
    <xf numFmtId="41" fontId="69" fillId="13" borderId="44" applyAlignment="1" pivotButton="0" quotePrefix="0" xfId="0">
      <alignment vertical="center"/>
    </xf>
    <xf numFmtId="41" fontId="69" fillId="13" borderId="45" applyAlignment="1" pivotButton="0" quotePrefix="0" xfId="0">
      <alignment vertical="center"/>
    </xf>
    <xf numFmtId="41" fontId="69" fillId="13" borderId="46" applyAlignment="1" pivotButton="0" quotePrefix="0" xfId="0">
      <alignment vertical="center"/>
    </xf>
    <xf numFmtId="41" fontId="69" fillId="13" borderId="104" applyAlignment="1" pivotButton="0" quotePrefix="0" xfId="0">
      <alignment vertical="center"/>
    </xf>
    <xf numFmtId="41" fontId="69" fillId="0" borderId="83" applyAlignment="1" applyProtection="1" pivotButton="0" quotePrefix="0" xfId="0">
      <alignment vertical="center"/>
      <protection locked="0" hidden="0"/>
    </xf>
    <xf numFmtId="41" fontId="69" fillId="0" borderId="45" applyAlignment="1" applyProtection="1" pivotButton="0" quotePrefix="0" xfId="0">
      <alignment vertical="center"/>
      <protection locked="0" hidden="0"/>
    </xf>
    <xf numFmtId="41" fontId="69" fillId="0" borderId="46" applyAlignment="1" applyProtection="1" pivotButton="0" quotePrefix="0" xfId="0">
      <alignment vertical="center"/>
      <protection locked="0" hidden="0"/>
    </xf>
    <xf numFmtId="41" fontId="69" fillId="0" borderId="104" applyAlignment="1" pivotButton="0" quotePrefix="0" xfId="0">
      <alignment vertical="center"/>
    </xf>
    <xf numFmtId="41" fontId="69" fillId="13" borderId="83" applyAlignment="1" pivotButton="0" quotePrefix="0" xfId="0">
      <alignment vertical="center"/>
    </xf>
    <xf numFmtId="41" fontId="69" fillId="13" borderId="24" applyAlignment="1" pivotButton="0" quotePrefix="0" xfId="0">
      <alignment vertical="center"/>
    </xf>
    <xf numFmtId="41" fontId="69" fillId="13" borderId="70" applyAlignment="1" pivotButton="0" quotePrefix="0" xfId="0">
      <alignment vertical="center"/>
    </xf>
    <xf numFmtId="41" fontId="69" fillId="13" borderId="105" applyAlignment="1" pivotButton="0" quotePrefix="0" xfId="0">
      <alignment vertical="center"/>
    </xf>
    <xf numFmtId="41" fontId="69" fillId="13" borderId="71" applyAlignment="1" pivotButton="0" quotePrefix="0" xfId="0">
      <alignment vertical="center"/>
    </xf>
    <xf numFmtId="41" fontId="69" fillId="13" borderId="106" applyAlignment="1" pivotButton="0" quotePrefix="0" xfId="0">
      <alignment vertical="center"/>
    </xf>
    <xf numFmtId="41" fontId="69" fillId="0" borderId="107" applyAlignment="1" applyProtection="1" pivotButton="0" quotePrefix="0" xfId="0">
      <alignment vertical="center"/>
      <protection locked="0" hidden="0"/>
    </xf>
    <xf numFmtId="41" fontId="69" fillId="0" borderId="105" applyAlignment="1" applyProtection="1" pivotButton="0" quotePrefix="0" xfId="0">
      <alignment vertical="center"/>
      <protection locked="0" hidden="0"/>
    </xf>
    <xf numFmtId="41" fontId="69" fillId="0" borderId="71" applyAlignment="1" applyProtection="1" pivotButton="0" quotePrefix="0" xfId="0">
      <alignment vertical="center"/>
      <protection locked="0" hidden="0"/>
    </xf>
    <xf numFmtId="41" fontId="69" fillId="0" borderId="106" applyAlignment="1" pivotButton="0" quotePrefix="0" xfId="0">
      <alignment vertical="center"/>
    </xf>
    <xf numFmtId="41" fontId="69" fillId="13" borderId="107" applyAlignment="1" pivotButton="0" quotePrefix="0" xfId="0">
      <alignment vertical="center"/>
    </xf>
    <xf numFmtId="41" fontId="69" fillId="13" borderId="16" applyAlignment="1" pivotButton="0" quotePrefix="0" xfId="0">
      <alignment vertical="center"/>
    </xf>
    <xf numFmtId="41" fontId="69" fillId="0" borderId="99" applyAlignment="1" applyProtection="1" pivotButton="0" quotePrefix="0" xfId="0">
      <alignment vertical="center"/>
      <protection locked="0" hidden="0"/>
    </xf>
    <xf numFmtId="0" fontId="69" fillId="0" borderId="34" applyAlignment="1" applyProtection="1" pivotButton="0" quotePrefix="0" xfId="0">
      <alignment vertical="center"/>
      <protection locked="0" hidden="0"/>
    </xf>
    <xf numFmtId="0" fontId="69" fillId="0" borderId="49" applyAlignment="1" applyProtection="1" pivotButton="0" quotePrefix="0" xfId="0">
      <alignment vertical="center"/>
      <protection locked="0" hidden="0"/>
    </xf>
    <xf numFmtId="41" fontId="69" fillId="0" borderId="100" applyAlignment="1" applyProtection="1" pivotButton="0" quotePrefix="0" xfId="0">
      <alignment vertical="center"/>
      <protection locked="0" hidden="0"/>
    </xf>
    <xf numFmtId="0" fontId="39" fillId="6" borderId="0" pivotButton="0" quotePrefix="0" xfId="0"/>
    <xf numFmtId="0" fontId="11" fillId="0" borderId="33" applyAlignment="1" pivotButton="0" quotePrefix="0" xfId="0">
      <alignment vertical="center"/>
    </xf>
    <xf numFmtId="0" fontId="11" fillId="0" borderId="34" applyAlignment="1" pivotButton="0" quotePrefix="0" xfId="0">
      <alignment vertical="center"/>
    </xf>
    <xf numFmtId="0" fontId="11" fillId="0" borderId="48" applyAlignment="1" pivotButton="0" quotePrefix="0" xfId="0">
      <alignment vertical="center"/>
    </xf>
    <xf numFmtId="0" fontId="11" fillId="0" borderId="49" applyAlignment="1" pivotButton="0" quotePrefix="0" xfId="0">
      <alignment vertical="center"/>
    </xf>
    <xf numFmtId="0" fontId="12" fillId="0" borderId="5" applyAlignment="1" pivotButton="0" quotePrefix="0" xfId="0">
      <alignment vertical="center"/>
    </xf>
    <xf numFmtId="0" fontId="68" fillId="3" borderId="112" applyAlignment="1" pivotButton="0" quotePrefix="0" xfId="9">
      <alignment horizontal="center" vertical="center"/>
    </xf>
    <xf numFmtId="0" fontId="58" fillId="0" borderId="33" applyAlignment="1" pivotButton="0" quotePrefix="0" xfId="0">
      <alignment horizontal="center" vertical="center"/>
    </xf>
    <xf numFmtId="0" fontId="58" fillId="0" borderId="34" applyAlignment="1" pivotButton="0" quotePrefix="0" xfId="0">
      <alignment horizontal="center" vertical="center"/>
    </xf>
    <xf numFmtId="0" fontId="59" fillId="0" borderId="34" applyAlignment="1" pivotButton="0" quotePrefix="0" xfId="0">
      <alignment vertical="center" wrapText="1"/>
    </xf>
    <xf numFmtId="0" fontId="58" fillId="0" borderId="34" applyAlignment="1" pivotButton="0" quotePrefix="0" xfId="0">
      <alignment vertical="center"/>
    </xf>
    <xf numFmtId="0" fontId="12" fillId="0" borderId="34" applyAlignment="1" pivotButton="0" quotePrefix="0" xfId="0">
      <alignment vertical="center"/>
    </xf>
    <xf numFmtId="0" fontId="12" fillId="0" borderId="49" applyAlignment="1" applyProtection="1" pivotButton="0" quotePrefix="0" xfId="0">
      <alignment vertical="center"/>
      <protection locked="0" hidden="0"/>
    </xf>
    <xf numFmtId="0" fontId="11" fillId="0" borderId="5" applyAlignment="1" applyProtection="1" pivotButton="0" quotePrefix="0" xfId="0">
      <alignment vertical="center"/>
      <protection locked="0" hidden="0"/>
    </xf>
    <xf numFmtId="0" fontId="59" fillId="0" borderId="5" applyAlignment="1" pivotButton="0" quotePrefix="0" xfId="0">
      <alignment vertical="center"/>
    </xf>
    <xf numFmtId="41" fontId="11" fillId="5" borderId="33" applyAlignment="1" pivotButton="0" quotePrefix="0" xfId="0">
      <alignment vertical="center"/>
    </xf>
    <xf numFmtId="41" fontId="11" fillId="5" borderId="34" applyAlignment="1" pivotButton="0" quotePrefix="0" xfId="0">
      <alignment vertical="center"/>
    </xf>
    <xf numFmtId="41" fontId="11" fillId="2" borderId="5" applyAlignment="1" pivotButton="0" quotePrefix="0" xfId="0">
      <alignment vertical="center"/>
    </xf>
    <xf numFmtId="166" fontId="38" fillId="6" borderId="81" applyAlignment="1" pivotButton="0" quotePrefix="0" xfId="0">
      <alignment horizontal="right" vertical="center" indent="1"/>
    </xf>
    <xf numFmtId="166" fontId="38" fillId="6" borderId="42" applyAlignment="1" pivotButton="0" quotePrefix="0" xfId="0">
      <alignment horizontal="right" vertical="center" indent="1"/>
    </xf>
    <xf numFmtId="166" fontId="43" fillId="6" borderId="42" applyAlignment="1" applyProtection="1" pivotButton="0" quotePrefix="0" xfId="0">
      <alignment horizontal="left" vertical="center" indent="1"/>
      <protection locked="0" hidden="0"/>
    </xf>
    <xf numFmtId="166" fontId="43" fillId="6" borderId="82" applyAlignment="1" applyProtection="1" pivotButton="0" quotePrefix="0" xfId="0">
      <alignment horizontal="left" vertical="center" indent="1"/>
      <protection locked="0" hidden="0"/>
    </xf>
    <xf numFmtId="166" fontId="38" fillId="6" borderId="83" applyAlignment="1" pivotButton="0" quotePrefix="0" xfId="0">
      <alignment horizontal="right" vertical="center" indent="1"/>
    </xf>
    <xf numFmtId="166" fontId="38" fillId="6" borderId="45" applyAlignment="1" pivotButton="0" quotePrefix="0" xfId="0">
      <alignment horizontal="right" vertical="center" indent="1"/>
    </xf>
    <xf numFmtId="166" fontId="43" fillId="6" borderId="45" applyAlignment="1" applyProtection="1" pivotButton="0" quotePrefix="0" xfId="0">
      <alignment horizontal="left" vertical="center" indent="1"/>
      <protection locked="0" hidden="0"/>
    </xf>
    <xf numFmtId="166" fontId="43" fillId="6" borderId="84" applyAlignment="1" applyProtection="1" pivotButton="0" quotePrefix="0" xfId="0">
      <alignment horizontal="left" vertical="center" indent="1"/>
      <protection locked="0" hidden="0"/>
    </xf>
    <xf numFmtId="0" fontId="38" fillId="6" borderId="0" applyAlignment="1" pivotButton="0" quotePrefix="0" xfId="0">
      <alignment horizontal="center" vertical="center" textRotation="255"/>
    </xf>
    <xf numFmtId="0" fontId="38" fillId="6" borderId="0" applyAlignment="1" pivotButton="0" quotePrefix="0" xfId="0">
      <alignment horizontal="center"/>
    </xf>
    <xf numFmtId="166" fontId="51" fillId="12" borderId="42" applyAlignment="1" applyProtection="1" pivotButton="0" quotePrefix="0" xfId="0">
      <alignment horizontal="left" vertical="center" indent="1"/>
      <protection locked="0" hidden="0"/>
    </xf>
    <xf numFmtId="166" fontId="51" fillId="12" borderId="82" applyAlignment="1" applyProtection="1" pivotButton="0" quotePrefix="0" xfId="0">
      <alignment horizontal="left" vertical="center" indent="1"/>
      <protection locked="0" hidden="0"/>
    </xf>
    <xf numFmtId="0" fontId="41" fillId="6" borderId="74" applyAlignment="1" pivotButton="0" quotePrefix="0" xfId="0">
      <alignment horizontal="center" vertical="center"/>
    </xf>
    <xf numFmtId="0" fontId="41" fillId="6" borderId="0" applyAlignment="1" pivotButton="0" quotePrefix="0" xfId="0">
      <alignment horizontal="center" vertical="center"/>
    </xf>
    <xf numFmtId="0" fontId="41" fillId="6" borderId="78" applyAlignment="1" pivotButton="0" quotePrefix="0" xfId="0">
      <alignment horizontal="center" vertical="center"/>
    </xf>
    <xf numFmtId="166" fontId="38" fillId="6" borderId="79" applyAlignment="1" pivotButton="0" quotePrefix="0" xfId="0">
      <alignment horizontal="right" vertical="center" indent="1"/>
    </xf>
    <xf numFmtId="166" fontId="38" fillId="6" borderId="39" applyAlignment="1" pivotButton="0" quotePrefix="0" xfId="0">
      <alignment horizontal="right" vertical="center" indent="1"/>
    </xf>
    <xf numFmtId="171" fontId="43" fillId="6" borderId="39" applyAlignment="1" pivotButton="0" quotePrefix="0" xfId="0">
      <alignment horizontal="left" vertical="center" indent="1"/>
    </xf>
    <xf numFmtId="171" fontId="43" fillId="6" borderId="80" applyAlignment="1" pivotButton="0" quotePrefix="0" xfId="0">
      <alignment horizontal="left" vertical="center" indent="1"/>
    </xf>
    <xf numFmtId="0" fontId="43" fillId="6" borderId="42" applyAlignment="1" applyProtection="1" pivotButton="0" quotePrefix="0" xfId="0">
      <alignment horizontal="left" vertical="center" indent="1"/>
      <protection locked="0" hidden="0"/>
    </xf>
    <xf numFmtId="0" fontId="43" fillId="6" borderId="82" applyAlignment="1" applyProtection="1" pivotButton="0" quotePrefix="0" xfId="0">
      <alignment horizontal="left" vertical="center" indent="1"/>
      <protection locked="0" hidden="0"/>
    </xf>
    <xf numFmtId="0" fontId="7" fillId="9" borderId="9" applyAlignment="1" pivotButton="0" quotePrefix="0" xfId="0">
      <alignment horizontal="center" vertical="center"/>
    </xf>
    <xf numFmtId="0" fontId="7" fillId="9" borderId="10" applyAlignment="1" pivotButton="0" quotePrefix="0" xfId="0">
      <alignment horizontal="center" vertical="center"/>
    </xf>
    <xf numFmtId="0" fontId="7" fillId="9" borderId="12" applyAlignment="1" pivotButton="0" quotePrefix="0" xfId="0">
      <alignment horizontal="center" vertical="center"/>
    </xf>
    <xf numFmtId="0" fontId="56" fillId="8" borderId="10" applyAlignment="1" pivotButton="0" quotePrefix="0" xfId="1">
      <alignment horizontal="center" vertical="center"/>
    </xf>
    <xf numFmtId="0" fontId="56" fillId="8" borderId="11" applyAlignment="1" pivotButton="0" quotePrefix="0" xfId="1">
      <alignment horizontal="center" vertical="center"/>
    </xf>
    <xf numFmtId="0" fontId="56" fillId="8" borderId="9" applyAlignment="1" pivotButton="0" quotePrefix="0" xfId="1">
      <alignment horizontal="center" vertical="center"/>
    </xf>
    <xf numFmtId="0" fontId="56" fillId="8" borderId="12" applyAlignment="1" pivotButton="0" quotePrefix="0" xfId="1">
      <alignment horizontal="center" vertical="center"/>
    </xf>
    <xf numFmtId="0" fontId="14" fillId="0" borderId="2" applyAlignment="1" applyProtection="1" pivotButton="0" quotePrefix="0" xfId="0">
      <alignment horizontal="center" vertical="center" wrapText="1"/>
      <protection locked="0" hidden="0"/>
    </xf>
    <xf numFmtId="0" fontId="6" fillId="0" borderId="18" applyAlignment="1" applyProtection="1" pivotButton="0" quotePrefix="0" xfId="0">
      <alignment horizontal="center" vertical="center"/>
      <protection locked="0" hidden="0"/>
    </xf>
    <xf numFmtId="41" fontId="56" fillId="8" borderId="6" applyAlignment="1" pivotButton="0" quotePrefix="0" xfId="2">
      <alignment horizontal="center" vertical="center"/>
    </xf>
    <xf numFmtId="172" fontId="57" fillId="8" borderId="4" applyAlignment="1" pivotButton="0" quotePrefix="0" xfId="5">
      <alignment horizontal="center" vertical="center" wrapText="1"/>
    </xf>
    <xf numFmtId="172" fontId="57" fillId="8" borderId="6" applyAlignment="1" pivotButton="0" quotePrefix="0" xfId="5">
      <alignment horizontal="center" vertical="center" wrapText="1"/>
    </xf>
    <xf numFmtId="41" fontId="56" fillId="8" borderId="7" applyAlignment="1" pivotButton="0" quotePrefix="0" xfId="2">
      <alignment horizontal="center" vertical="center"/>
    </xf>
    <xf numFmtId="172" fontId="57" fillId="8" borderId="16" applyAlignment="1" pivotButton="0" quotePrefix="0" xfId="5">
      <alignment horizontal="center" vertical="center" wrapText="1"/>
    </xf>
    <xf numFmtId="172" fontId="57" fillId="8" borderId="7" applyAlignment="1" pivotButton="0" quotePrefix="0" xfId="5">
      <alignment horizontal="center" vertical="center" wrapText="1"/>
    </xf>
    <xf numFmtId="0" fontId="14" fillId="0" borderId="2" applyAlignment="1" applyProtection="1" pivotButton="0" quotePrefix="1" xfId="0">
      <alignment horizontal="left" vertical="center" wrapText="1"/>
      <protection locked="0" hidden="0"/>
    </xf>
    <xf numFmtId="0" fontId="6" fillId="0" borderId="18" applyAlignment="1" applyProtection="1" pivotButton="0" quotePrefix="1" xfId="0">
      <alignment horizontal="left" vertical="center" wrapText="1"/>
      <protection locked="0" hidden="0"/>
    </xf>
    <xf numFmtId="0" fontId="13" fillId="5" borderId="67" applyAlignment="1" pivotButton="0" quotePrefix="0" xfId="0">
      <alignment horizontal="center" vertical="center"/>
    </xf>
    <xf numFmtId="0" fontId="13" fillId="5" borderId="68" applyAlignment="1" pivotButton="0" quotePrefix="0" xfId="0">
      <alignment horizontal="center" vertical="center"/>
    </xf>
    <xf numFmtId="0" fontId="13" fillId="5" borderId="69" applyAlignment="1" pivotButton="0" quotePrefix="0" xfId="0">
      <alignment horizontal="center" vertical="center"/>
    </xf>
    <xf numFmtId="0" fontId="10" fillId="9" borderId="50" applyAlignment="1" pivotButton="0" quotePrefix="0" xfId="0">
      <alignment horizontal="center" vertical="center"/>
    </xf>
    <xf numFmtId="0" fontId="10" fillId="9" borderId="51" applyAlignment="1" pivotButton="0" quotePrefix="0" xfId="0">
      <alignment horizontal="center" vertical="center"/>
    </xf>
    <xf numFmtId="0" fontId="10" fillId="9" borderId="52" applyAlignment="1" pivotButton="0" quotePrefix="0" xfId="0">
      <alignment horizontal="center" vertical="center"/>
    </xf>
    <xf numFmtId="0" fontId="10" fillId="9" borderId="31" applyAlignment="1" pivotButton="0" quotePrefix="0" xfId="0">
      <alignment horizontal="center" vertical="center"/>
    </xf>
    <xf numFmtId="0" fontId="10" fillId="9" borderId="32" applyAlignment="1" pivotButton="0" quotePrefix="0" xfId="0">
      <alignment horizontal="center" vertical="center"/>
    </xf>
    <xf numFmtId="0" fontId="10" fillId="9" borderId="54" applyAlignment="1" pivotButton="0" quotePrefix="0" xfId="0">
      <alignment horizontal="center" vertical="center"/>
    </xf>
    <xf numFmtId="0" fontId="10" fillId="9" borderId="98" applyAlignment="1" pivotButton="0" quotePrefix="0" xfId="0">
      <alignment horizontal="center" vertical="center"/>
    </xf>
    <xf numFmtId="0" fontId="53" fillId="2" borderId="94" applyAlignment="1" pivotButton="0" quotePrefix="0" xfId="0">
      <alignment horizontal="center" vertical="center"/>
    </xf>
    <xf numFmtId="0" fontId="54" fillId="2" borderId="95" applyAlignment="1" pivotButton="0" quotePrefix="0" xfId="0">
      <alignment horizontal="center" vertical="center"/>
    </xf>
    <xf numFmtId="0" fontId="54" fillId="2" borderId="96" applyAlignment="1" pivotButton="0" quotePrefix="0" xfId="0">
      <alignment horizontal="center" vertical="center"/>
    </xf>
    <xf numFmtId="0" fontId="10" fillId="9" borderId="29" applyAlignment="1" pivotButton="0" quotePrefix="0" xfId="0">
      <alignment horizontal="center" vertical="center"/>
    </xf>
    <xf numFmtId="0" fontId="10" fillId="9" borderId="30" applyAlignment="1" pivotButton="0" quotePrefix="0" xfId="0">
      <alignment horizontal="center" vertical="center"/>
    </xf>
    <xf numFmtId="0" fontId="32" fillId="0" borderId="87" applyAlignment="1" pivotButton="0" quotePrefix="0" xfId="0">
      <alignment horizontal="center" vertical="center"/>
    </xf>
    <xf numFmtId="0" fontId="32" fillId="0" borderId="89" applyAlignment="1" pivotButton="0" quotePrefix="0" xfId="0">
      <alignment horizontal="center" vertical="center"/>
    </xf>
    <xf numFmtId="0" fontId="32" fillId="0" borderId="90" applyAlignment="1" pivotButton="0" quotePrefix="0" xfId="0">
      <alignment horizontal="center" vertical="center"/>
    </xf>
    <xf numFmtId="0" fontId="32" fillId="0" borderId="91" applyAlignment="1" pivotButton="0" quotePrefix="0" xfId="0">
      <alignment horizontal="center" vertical="center"/>
    </xf>
    <xf numFmtId="0" fontId="32" fillId="0" borderId="0" applyAlignment="1" pivotButton="0" quotePrefix="0" xfId="0">
      <alignment horizontal="center" vertical="center"/>
    </xf>
    <xf numFmtId="0" fontId="32" fillId="0" borderId="28" applyAlignment="1" pivotButton="0" quotePrefix="0" xfId="0">
      <alignment horizontal="center" vertical="center"/>
    </xf>
    <xf numFmtId="0" fontId="33" fillId="0" borderId="26" applyAlignment="1" pivotButton="0" quotePrefix="0" xfId="0">
      <alignment horizontal="center" vertical="center"/>
    </xf>
    <xf numFmtId="0" fontId="34" fillId="0" borderId="1" applyAlignment="1" pivotButton="0" quotePrefix="0" xfId="0">
      <alignment horizontal="center" vertical="center"/>
    </xf>
    <xf numFmtId="0" fontId="34" fillId="0" borderId="19" applyAlignment="1" pivotButton="0" quotePrefix="0" xfId="0">
      <alignment horizontal="center" vertical="center"/>
    </xf>
    <xf numFmtId="171" fontId="37" fillId="0" borderId="20" applyAlignment="1" pivotButton="0" quotePrefix="0" xfId="0">
      <alignment horizontal="right" vertical="center"/>
    </xf>
    <xf numFmtId="171" fontId="37" fillId="0" borderId="21" applyAlignment="1" pivotButton="0" quotePrefix="0" xfId="0">
      <alignment horizontal="right" vertical="center"/>
    </xf>
    <xf numFmtId="0" fontId="32" fillId="0" borderId="29" applyAlignment="1" pivotButton="0" quotePrefix="1" xfId="0">
      <alignment horizontal="center" vertical="center"/>
    </xf>
    <xf numFmtId="0" fontId="32" fillId="0" borderId="30" applyAlignment="1" pivotButton="0" quotePrefix="1" xfId="0">
      <alignment horizontal="center" vertical="center"/>
    </xf>
    <xf numFmtId="0" fontId="32" fillId="0" borderId="31" applyAlignment="1" pivotButton="0" quotePrefix="1" xfId="0">
      <alignment horizontal="center" vertical="center"/>
    </xf>
    <xf numFmtId="0" fontId="10" fillId="9" borderId="113" applyAlignment="1" pivotButton="0" quotePrefix="0" xfId="0">
      <alignment horizontal="center" vertical="center"/>
    </xf>
    <xf numFmtId="0" fontId="0" fillId="0" borderId="0" pivotButton="0" quotePrefix="0" xfId="0"/>
    <xf numFmtId="0" fontId="41" fillId="6" borderId="120" applyAlignment="1" pivotButton="0" quotePrefix="0" xfId="0">
      <alignment horizontal="center" vertical="center"/>
    </xf>
    <xf numFmtId="0" fontId="0" fillId="0" borderId="74" pivotButton="0" quotePrefix="0" xfId="0"/>
    <xf numFmtId="0" fontId="0" fillId="0" borderId="78" pivotButton="0" quotePrefix="0" xfId="0"/>
    <xf numFmtId="166" fontId="42" fillId="6" borderId="76" pivotButton="0" quotePrefix="0" xfId="0"/>
    <xf numFmtId="166" fontId="38" fillId="6" borderId="79" applyAlignment="1" pivotButton="0" quotePrefix="0" xfId="0">
      <alignment horizontal="right" vertical="center" indent="1"/>
    </xf>
    <xf numFmtId="0" fontId="0" fillId="0" borderId="122" pivotButton="0" quotePrefix="0" xfId="0"/>
    <xf numFmtId="0" fontId="0" fillId="0" borderId="79" pivotButton="0" quotePrefix="0" xfId="0"/>
    <xf numFmtId="171" fontId="43" fillId="6" borderId="39" applyAlignment="1" pivotButton="0" quotePrefix="0" xfId="0">
      <alignment horizontal="left" vertical="center" indent="1"/>
    </xf>
    <xf numFmtId="166" fontId="42" fillId="6" borderId="77" pivotButton="0" quotePrefix="0" xfId="0"/>
    <xf numFmtId="166" fontId="38" fillId="6" borderId="81" applyAlignment="1" pivotButton="0" quotePrefix="0" xfId="0">
      <alignment horizontal="right" vertical="center" indent="1"/>
    </xf>
    <xf numFmtId="0" fontId="0" fillId="0" borderId="68" pivotButton="0" quotePrefix="0" xfId="0"/>
    <xf numFmtId="0" fontId="0" fillId="0" borderId="81" pivotButton="0" quotePrefix="0" xfId="0"/>
    <xf numFmtId="0" fontId="0" fillId="0" borderId="118" applyProtection="1" pivotButton="0" quotePrefix="0" xfId="0">
      <protection locked="0" hidden="0"/>
    </xf>
    <xf numFmtId="0" fontId="0" fillId="0" borderId="119" applyProtection="1" pivotButton="0" quotePrefix="0" xfId="0">
      <protection locked="0" hidden="0"/>
    </xf>
    <xf numFmtId="166" fontId="51" fillId="12" borderId="42" applyAlignment="1" applyProtection="1" pivotButton="0" quotePrefix="0" xfId="0">
      <alignment horizontal="left" vertical="center" indent="1"/>
      <protection locked="0" hidden="0"/>
    </xf>
    <xf numFmtId="166" fontId="43" fillId="6" borderId="42" applyAlignment="1" applyProtection="1" pivotButton="0" quotePrefix="0" xfId="0">
      <alignment horizontal="left" vertical="center" indent="1"/>
      <protection locked="0" hidden="0"/>
    </xf>
    <xf numFmtId="166" fontId="38" fillId="6" borderId="83" applyAlignment="1" pivotButton="0" quotePrefix="0" xfId="0">
      <alignment horizontal="right" vertical="center" indent="1"/>
    </xf>
    <xf numFmtId="0" fontId="0" fillId="0" borderId="123" pivotButton="0" quotePrefix="0" xfId="0"/>
    <xf numFmtId="0" fontId="0" fillId="0" borderId="83" pivotButton="0" quotePrefix="0" xfId="0"/>
    <xf numFmtId="166" fontId="43" fillId="6" borderId="45" applyAlignment="1" applyProtection="1" pivotButton="0" quotePrefix="0" xfId="0">
      <alignment horizontal="left" vertical="center" indent="1"/>
      <protection locked="0" hidden="0"/>
    </xf>
    <xf numFmtId="0" fontId="0" fillId="0" borderId="47" applyProtection="1" pivotButton="0" quotePrefix="0" xfId="0">
      <protection locked="0" hidden="0"/>
    </xf>
    <xf numFmtId="0" fontId="0" fillId="0" borderId="124" applyProtection="1" pivotButton="0" quotePrefix="0" xfId="0">
      <protection locked="0" hidden="0"/>
    </xf>
    <xf numFmtId="164" fontId="6" fillId="0" borderId="0" applyAlignment="1" pivotButton="0" quotePrefix="0" xfId="0">
      <alignment vertical="center"/>
    </xf>
    <xf numFmtId="0" fontId="7" fillId="9" borderId="131" applyAlignment="1" pivotButton="0" quotePrefix="0" xfId="0">
      <alignment horizontal="center" vertical="center"/>
    </xf>
    <xf numFmtId="0" fontId="0" fillId="0" borderId="10" pivotButton="0" quotePrefix="0" xfId="0"/>
    <xf numFmtId="0" fontId="0" fillId="0" borderId="12" pivotButton="0" quotePrefix="0" xfId="0"/>
    <xf numFmtId="0" fontId="0" fillId="0" borderId="11" pivotButton="0" quotePrefix="0" xfId="0"/>
    <xf numFmtId="0" fontId="56" fillId="8" borderId="134" applyAlignment="1" pivotButton="0" quotePrefix="0" xfId="1">
      <alignment horizontal="center" vertical="center"/>
    </xf>
    <xf numFmtId="0" fontId="56" fillId="8" borderId="131" applyAlignment="1" pivotButton="0" quotePrefix="0" xfId="1">
      <alignment horizontal="center" vertical="center"/>
    </xf>
    <xf numFmtId="41" fontId="56" fillId="8" borderId="6" applyAlignment="1" pivotButton="0" quotePrefix="0" xfId="2">
      <alignment horizontal="center" vertical="center"/>
    </xf>
    <xf numFmtId="0" fontId="0" fillId="0" borderId="13" pivotButton="0" quotePrefix="0" xfId="0"/>
    <xf numFmtId="0" fontId="14" fillId="0" borderId="125" applyAlignment="1" applyProtection="1" pivotButton="0" quotePrefix="0" xfId="0">
      <alignment horizontal="center" vertical="center" wrapText="1"/>
      <protection locked="0" hidden="0"/>
    </xf>
    <xf numFmtId="0" fontId="14" fillId="0" borderId="125" applyAlignment="1" applyProtection="1" pivotButton="0" quotePrefix="1" xfId="0">
      <alignment horizontal="left" vertical="center" wrapText="1"/>
      <protection locked="0" hidden="0"/>
    </xf>
    <xf numFmtId="169" fontId="57" fillId="8" borderId="8" applyAlignment="1" pivotButton="0" quotePrefix="0" xfId="5">
      <alignment horizontal="left" vertical="center" wrapText="1"/>
    </xf>
    <xf numFmtId="169" fontId="57" fillId="8" borderId="4" applyAlignment="1" pivotButton="0" quotePrefix="0" xfId="5">
      <alignment horizontal="left" vertical="center" wrapText="1"/>
    </xf>
    <xf numFmtId="172" fontId="57" fillId="8" borderId="4" applyAlignment="1" pivotButton="0" quotePrefix="0" xfId="5">
      <alignment horizontal="center" vertical="center" wrapText="1"/>
    </xf>
    <xf numFmtId="172" fontId="57" fillId="8" borderId="16" applyAlignment="1" pivotButton="0" quotePrefix="0" xfId="5">
      <alignment horizontal="center" vertical="center" wrapText="1"/>
    </xf>
    <xf numFmtId="0" fontId="0" fillId="0" borderId="128" applyProtection="1" pivotButton="0" quotePrefix="0" xfId="0">
      <protection locked="0" hidden="0"/>
    </xf>
    <xf numFmtId="170" fontId="57" fillId="8" borderId="13" applyAlignment="1" pivotButton="0" quotePrefix="0" xfId="5">
      <alignment horizontal="left" vertical="center" wrapText="1"/>
    </xf>
    <xf numFmtId="170" fontId="57" fillId="8" borderId="6" applyAlignment="1" pivotButton="0" quotePrefix="0" xfId="5">
      <alignment horizontal="left" vertical="center" wrapText="1"/>
    </xf>
    <xf numFmtId="0" fontId="0" fillId="0" borderId="4" pivotButton="0" quotePrefix="0" xfId="0"/>
    <xf numFmtId="0" fontId="0" fillId="0" borderId="16" pivotButton="0" quotePrefix="0" xfId="0"/>
    <xf numFmtId="0" fontId="0" fillId="0" borderId="138" pivotButton="0" quotePrefix="0" xfId="0"/>
    <xf numFmtId="0" fontId="0" fillId="0" borderId="139" pivotButton="0" quotePrefix="0" xfId="0"/>
    <xf numFmtId="0" fontId="0" fillId="0" borderId="30" pivotButton="0" quotePrefix="0" xfId="0"/>
    <xf numFmtId="0" fontId="0" fillId="0" borderId="31" pivotButton="0" quotePrefix="0" xfId="0"/>
    <xf numFmtId="41" fontId="69" fillId="13" borderId="41" applyAlignment="1" pivotButton="0" quotePrefix="0" xfId="0">
      <alignment vertical="center"/>
    </xf>
    <xf numFmtId="41" fontId="69" fillId="13" borderId="42" applyAlignment="1" pivotButton="0" quotePrefix="0" xfId="0">
      <alignment vertical="center"/>
    </xf>
    <xf numFmtId="41" fontId="69" fillId="13" borderId="43" applyAlignment="1" pivotButton="0" quotePrefix="0" xfId="0">
      <alignment vertical="center"/>
    </xf>
    <xf numFmtId="41" fontId="69" fillId="13" borderId="100" applyAlignment="1" pivotButton="0" quotePrefix="0" xfId="0">
      <alignment vertical="center"/>
    </xf>
    <xf numFmtId="41" fontId="69" fillId="0" borderId="81" applyAlignment="1" applyProtection="1" pivotButton="0" quotePrefix="0" xfId="0">
      <alignment vertical="center"/>
      <protection locked="0" hidden="0"/>
    </xf>
    <xf numFmtId="41" fontId="69" fillId="0" borderId="42" applyAlignment="1" applyProtection="1" pivotButton="0" quotePrefix="0" xfId="0">
      <alignment vertical="center"/>
      <protection locked="0" hidden="0"/>
    </xf>
    <xf numFmtId="41" fontId="69" fillId="0" borderId="43" applyAlignment="1" applyProtection="1" pivotButton="0" quotePrefix="0" xfId="0">
      <alignment vertical="center"/>
      <protection locked="0" hidden="0"/>
    </xf>
    <xf numFmtId="41" fontId="69" fillId="0" borderId="100" applyAlignment="1" pivotButton="0" quotePrefix="0" xfId="0">
      <alignment vertical="center"/>
    </xf>
    <xf numFmtId="41" fontId="69" fillId="13" borderId="81" applyAlignment="1" pivotButton="0" quotePrefix="0" xfId="0">
      <alignment vertical="center"/>
    </xf>
    <xf numFmtId="41" fontId="69" fillId="13" borderId="57" applyAlignment="1" pivotButton="0" quotePrefix="0" xfId="0">
      <alignment vertical="center"/>
    </xf>
    <xf numFmtId="41" fontId="69" fillId="13" borderId="44" applyAlignment="1" pivotButton="0" quotePrefix="0" xfId="0">
      <alignment vertical="center"/>
    </xf>
    <xf numFmtId="41" fontId="69" fillId="13" borderId="45" applyAlignment="1" pivotButton="0" quotePrefix="0" xfId="0">
      <alignment vertical="center"/>
    </xf>
    <xf numFmtId="41" fontId="69" fillId="13" borderId="46" applyAlignment="1" pivotButton="0" quotePrefix="0" xfId="0">
      <alignment vertical="center"/>
    </xf>
    <xf numFmtId="41" fontId="69" fillId="13" borderId="104" applyAlignment="1" pivotButton="0" quotePrefix="0" xfId="0">
      <alignment vertical="center"/>
    </xf>
    <xf numFmtId="41" fontId="69" fillId="0" borderId="83" applyAlignment="1" applyProtection="1" pivotButton="0" quotePrefix="0" xfId="0">
      <alignment vertical="center"/>
      <protection locked="0" hidden="0"/>
    </xf>
    <xf numFmtId="41" fontId="69" fillId="0" borderId="45" applyAlignment="1" applyProtection="1" pivotButton="0" quotePrefix="0" xfId="0">
      <alignment vertical="center"/>
      <protection locked="0" hidden="0"/>
    </xf>
    <xf numFmtId="41" fontId="69" fillId="0" borderId="46" applyAlignment="1" applyProtection="1" pivotButton="0" quotePrefix="0" xfId="0">
      <alignment vertical="center"/>
      <protection locked="0" hidden="0"/>
    </xf>
    <xf numFmtId="41" fontId="69" fillId="0" borderId="104" applyAlignment="1" pivotButton="0" quotePrefix="0" xfId="0">
      <alignment vertical="center"/>
    </xf>
    <xf numFmtId="41" fontId="69" fillId="13" borderId="83" applyAlignment="1" pivotButton="0" quotePrefix="0" xfId="0">
      <alignment vertical="center"/>
    </xf>
    <xf numFmtId="41" fontId="69" fillId="13" borderId="24" applyAlignment="1" pivotButton="0" quotePrefix="0" xfId="0">
      <alignment vertical="center"/>
    </xf>
    <xf numFmtId="41" fontId="69" fillId="13" borderId="70" applyAlignment="1" pivotButton="0" quotePrefix="0" xfId="0">
      <alignment vertical="center"/>
    </xf>
    <xf numFmtId="41" fontId="69" fillId="13" borderId="105" applyAlignment="1" pivotButton="0" quotePrefix="0" xfId="0">
      <alignment vertical="center"/>
    </xf>
    <xf numFmtId="41" fontId="69" fillId="13" borderId="71" applyAlignment="1" pivotButton="0" quotePrefix="0" xfId="0">
      <alignment vertical="center"/>
    </xf>
    <xf numFmtId="41" fontId="69" fillId="13" borderId="106" applyAlignment="1" pivotButton="0" quotePrefix="0" xfId="0">
      <alignment vertical="center"/>
    </xf>
    <xf numFmtId="41" fontId="69" fillId="0" borderId="107" applyAlignment="1" applyProtection="1" pivotButton="0" quotePrefix="0" xfId="0">
      <alignment vertical="center"/>
      <protection locked="0" hidden="0"/>
    </xf>
    <xf numFmtId="41" fontId="69" fillId="0" borderId="105" applyAlignment="1" applyProtection="1" pivotButton="0" quotePrefix="0" xfId="0">
      <alignment vertical="center"/>
      <protection locked="0" hidden="0"/>
    </xf>
    <xf numFmtId="41" fontId="69" fillId="0" borderId="71" applyAlignment="1" applyProtection="1" pivotButton="0" quotePrefix="0" xfId="0">
      <alignment vertical="center"/>
      <protection locked="0" hidden="0"/>
    </xf>
    <xf numFmtId="41" fontId="69" fillId="0" borderId="106" applyAlignment="1" pivotButton="0" quotePrefix="0" xfId="0">
      <alignment vertical="center"/>
    </xf>
    <xf numFmtId="41" fontId="69" fillId="13" borderId="107" applyAlignment="1" pivotButton="0" quotePrefix="0" xfId="0">
      <alignment vertical="center"/>
    </xf>
    <xf numFmtId="41" fontId="69" fillId="13" borderId="16" applyAlignment="1" pivotButton="0" quotePrefix="0" xfId="0">
      <alignment vertical="center"/>
    </xf>
    <xf numFmtId="0" fontId="13" fillId="5" borderId="135" applyAlignment="1" pivotButton="0" quotePrefix="0" xfId="0">
      <alignment horizontal="center" vertical="center"/>
    </xf>
    <xf numFmtId="0" fontId="0" fillId="0" borderId="69" pivotButton="0" quotePrefix="0" xfId="0"/>
    <xf numFmtId="41" fontId="11" fillId="5" borderId="64" applyAlignment="1" pivotButton="0" quotePrefix="0" xfId="0">
      <alignment vertical="center"/>
    </xf>
    <xf numFmtId="41" fontId="11" fillId="5" borderId="65" applyAlignment="1" pivotButton="0" quotePrefix="0" xfId="0">
      <alignment vertical="center"/>
    </xf>
    <xf numFmtId="41" fontId="11" fillId="5" borderId="66" applyAlignment="1" pivotButton="0" quotePrefix="0" xfId="0">
      <alignment vertical="center"/>
    </xf>
    <xf numFmtId="41" fontId="11" fillId="5" borderId="102" applyAlignment="1" pivotButton="0" quotePrefix="0" xfId="0">
      <alignment vertical="center"/>
    </xf>
    <xf numFmtId="41" fontId="11" fillId="5" borderId="103" applyAlignment="1" pivotButton="0" quotePrefix="0" xfId="0">
      <alignment vertical="center"/>
    </xf>
    <xf numFmtId="41" fontId="11" fillId="5" borderId="25" applyAlignment="1" pivotButton="0" quotePrefix="0" xfId="0">
      <alignment vertical="center"/>
    </xf>
    <xf numFmtId="41" fontId="11" fillId="2" borderId="44" applyAlignment="1" pivotButton="0" quotePrefix="0" xfId="0">
      <alignment vertical="center"/>
    </xf>
    <xf numFmtId="41" fontId="11" fillId="2" borderId="45" applyAlignment="1" pivotButton="0" quotePrefix="0" xfId="0">
      <alignment vertical="center"/>
    </xf>
    <xf numFmtId="41" fontId="11" fillId="2" borderId="46" applyAlignment="1" pivotButton="0" quotePrefix="0" xfId="0">
      <alignment vertical="center"/>
    </xf>
    <xf numFmtId="41" fontId="11" fillId="2" borderId="104" applyAlignment="1" pivotButton="0" quotePrefix="0" xfId="0">
      <alignment vertical="center"/>
    </xf>
    <xf numFmtId="41" fontId="11" fillId="2" borderId="83" applyAlignment="1" pivotButton="0" quotePrefix="0" xfId="0">
      <alignment vertical="center"/>
    </xf>
    <xf numFmtId="41" fontId="11" fillId="2" borderId="24" applyAlignment="1" pivotButton="0" quotePrefix="0" xfId="0">
      <alignment vertical="center"/>
    </xf>
    <xf numFmtId="165" fontId="11" fillId="0" borderId="17" applyAlignment="1" pivotButton="0" quotePrefix="0" xfId="0">
      <alignment horizontal="left" vertical="center"/>
    </xf>
    <xf numFmtId="41" fontId="69" fillId="13" borderId="38" applyAlignment="1" pivotButton="0" quotePrefix="0" xfId="0">
      <alignment vertical="center"/>
    </xf>
    <xf numFmtId="41" fontId="69" fillId="13" borderId="39" applyAlignment="1" pivotButton="0" quotePrefix="0" xfId="0">
      <alignment vertical="center"/>
    </xf>
    <xf numFmtId="41" fontId="69" fillId="13" borderId="40" applyAlignment="1" pivotButton="0" quotePrefix="0" xfId="0">
      <alignment vertical="center"/>
    </xf>
    <xf numFmtId="41" fontId="69" fillId="13" borderId="99" applyAlignment="1" pivotButton="0" quotePrefix="0" xfId="0">
      <alignment vertical="center"/>
    </xf>
    <xf numFmtId="41" fontId="69" fillId="0" borderId="79" applyAlignment="1" applyProtection="1" pivotButton="0" quotePrefix="0" xfId="0">
      <alignment vertical="center"/>
      <protection locked="0" hidden="0"/>
    </xf>
    <xf numFmtId="41" fontId="69" fillId="0" borderId="39" applyAlignment="1" applyProtection="1" pivotButton="0" quotePrefix="0" xfId="0">
      <alignment vertical="center"/>
      <protection locked="0" hidden="0"/>
    </xf>
    <xf numFmtId="41" fontId="69" fillId="0" borderId="40" applyAlignment="1" applyProtection="1" pivotButton="0" quotePrefix="0" xfId="0">
      <alignment vertical="center"/>
      <protection locked="0" hidden="0"/>
    </xf>
    <xf numFmtId="41" fontId="69" fillId="0" borderId="99" applyAlignment="1" applyProtection="1" pivotButton="0" quotePrefix="0" xfId="0">
      <alignment vertical="center"/>
      <protection locked="0" hidden="0"/>
    </xf>
    <xf numFmtId="41" fontId="69" fillId="13" borderId="79" applyAlignment="1" pivotButton="0" quotePrefix="0" xfId="0">
      <alignment vertical="center"/>
    </xf>
    <xf numFmtId="41" fontId="69" fillId="0" borderId="100" applyAlignment="1" applyProtection="1" pivotButton="0" quotePrefix="0" xfId="0">
      <alignment vertical="center"/>
      <protection locked="0" hidden="0"/>
    </xf>
    <xf numFmtId="41" fontId="11" fillId="8" borderId="41" applyAlignment="1" pivotButton="0" quotePrefix="0" xfId="0">
      <alignment vertical="center"/>
    </xf>
    <xf numFmtId="41" fontId="11" fillId="8" borderId="42" applyAlignment="1" pivotButton="0" quotePrefix="0" xfId="0">
      <alignment vertical="center"/>
    </xf>
    <xf numFmtId="41" fontId="11" fillId="8" borderId="43" applyAlignment="1" pivotButton="0" quotePrefix="0" xfId="0">
      <alignment vertical="center"/>
    </xf>
    <xf numFmtId="41" fontId="11" fillId="8" borderId="100" applyAlignment="1" pivotButton="0" quotePrefix="0" xfId="0">
      <alignment vertical="center"/>
    </xf>
    <xf numFmtId="41" fontId="11" fillId="0" borderId="81" applyAlignment="1" applyProtection="1" pivotButton="0" quotePrefix="0" xfId="0">
      <alignment vertical="center"/>
      <protection locked="0" hidden="0"/>
    </xf>
    <xf numFmtId="41" fontId="11" fillId="0" borderId="42" applyAlignment="1" applyProtection="1" pivotButton="0" quotePrefix="0" xfId="0">
      <alignment vertical="center"/>
      <protection locked="0" hidden="0"/>
    </xf>
    <xf numFmtId="41" fontId="11" fillId="0" borderId="43" applyAlignment="1" applyProtection="1" pivotButton="0" quotePrefix="0" xfId="0">
      <alignment vertical="center"/>
      <protection locked="0" hidden="0"/>
    </xf>
    <xf numFmtId="41" fontId="11" fillId="0" borderId="100" applyAlignment="1" applyProtection="1" pivotButton="0" quotePrefix="0" xfId="0">
      <alignment vertical="center"/>
      <protection locked="0" hidden="0"/>
    </xf>
    <xf numFmtId="41" fontId="11" fillId="8" borderId="81" applyAlignment="1" pivotButton="0" quotePrefix="0" xfId="0">
      <alignment vertical="center"/>
    </xf>
    <xf numFmtId="41" fontId="11" fillId="0" borderId="34" applyAlignment="1" applyProtection="1" pivotButton="0" quotePrefix="0" xfId="0">
      <alignment vertical="center"/>
      <protection locked="0" hidden="0"/>
    </xf>
    <xf numFmtId="41" fontId="11" fillId="8" borderId="59" applyAlignment="1" pivotButton="0" quotePrefix="0" xfId="0">
      <alignment vertical="center"/>
    </xf>
    <xf numFmtId="41" fontId="11" fillId="8" borderId="60" applyAlignment="1" pivotButton="0" quotePrefix="0" xfId="0">
      <alignment vertical="center"/>
    </xf>
    <xf numFmtId="41" fontId="11" fillId="8" borderId="61" applyAlignment="1" pivotButton="0" quotePrefix="0" xfId="0">
      <alignment vertical="center"/>
    </xf>
    <xf numFmtId="41" fontId="11" fillId="8" borderId="101" applyAlignment="1" pivotButton="0" quotePrefix="0" xfId="0">
      <alignment vertical="center"/>
    </xf>
    <xf numFmtId="41" fontId="11" fillId="0" borderId="93" applyAlignment="1" applyProtection="1" pivotButton="0" quotePrefix="0" xfId="0">
      <alignment vertical="center"/>
      <protection locked="0" hidden="0"/>
    </xf>
    <xf numFmtId="41" fontId="11" fillId="0" borderId="60" applyAlignment="1" applyProtection="1" pivotButton="0" quotePrefix="0" xfId="0">
      <alignment vertical="center"/>
      <protection locked="0" hidden="0"/>
    </xf>
    <xf numFmtId="41" fontId="11" fillId="0" borderId="61" applyAlignment="1" applyProtection="1" pivotButton="0" quotePrefix="0" xfId="0">
      <alignment vertical="center"/>
      <protection locked="0" hidden="0"/>
    </xf>
    <xf numFmtId="41" fontId="11" fillId="0" borderId="101" applyAlignment="1" applyProtection="1" pivotButton="0" quotePrefix="0" xfId="0">
      <alignment vertical="center"/>
      <protection locked="0" hidden="0"/>
    </xf>
    <xf numFmtId="41" fontId="11" fillId="8" borderId="93" applyAlignment="1" pivotButton="0" quotePrefix="0" xfId="0">
      <alignment vertical="center"/>
    </xf>
    <xf numFmtId="0" fontId="53" fillId="2" borderId="140" applyAlignment="1" pivotButton="0" quotePrefix="0" xfId="0">
      <alignment horizontal="center" vertical="center"/>
    </xf>
    <xf numFmtId="0" fontId="0" fillId="0" borderId="95" pivotButton="0" quotePrefix="0" xfId="0"/>
    <xf numFmtId="0" fontId="0" fillId="0" borderId="96" pivotButton="0" quotePrefix="0" xfId="0"/>
    <xf numFmtId="41" fontId="52" fillId="0" borderId="93" applyAlignment="1" pivotButton="0" quotePrefix="0" xfId="0">
      <alignment vertical="center"/>
    </xf>
    <xf numFmtId="41" fontId="52" fillId="0" borderId="60" applyAlignment="1" pivotButton="0" quotePrefix="0" xfId="0">
      <alignment vertical="center"/>
    </xf>
    <xf numFmtId="41" fontId="52" fillId="0" borderId="61" applyAlignment="1" pivotButton="0" quotePrefix="0" xfId="0">
      <alignment vertical="center"/>
    </xf>
    <xf numFmtId="41" fontId="52" fillId="0" borderId="101" applyAlignment="1" pivotButton="0" quotePrefix="0" xfId="0">
      <alignment vertical="center"/>
    </xf>
    <xf numFmtId="41" fontId="12" fillId="0" borderId="0" applyAlignment="1" pivotButton="0" quotePrefix="0" xfId="7">
      <alignment vertical="center"/>
    </xf>
    <xf numFmtId="167" fontId="11" fillId="0" borderId="0" applyAlignment="1" pivotButton="0" quotePrefix="0" xfId="8">
      <alignment vertical="center"/>
    </xf>
    <xf numFmtId="41" fontId="10" fillId="9" borderId="51" applyAlignment="1" pivotButton="0" quotePrefix="0" xfId="7">
      <alignment horizontal="center" vertical="center"/>
    </xf>
    <xf numFmtId="41" fontId="10" fillId="9" borderId="62" applyAlignment="1" pivotButton="0" quotePrefix="0" xfId="7">
      <alignment horizontal="center" vertical="center"/>
    </xf>
    <xf numFmtId="167" fontId="10" fillId="9" borderId="62" applyAlignment="1" pivotButton="0" quotePrefix="0" xfId="8">
      <alignment horizontal="center" vertical="center"/>
    </xf>
    <xf numFmtId="41" fontId="11" fillId="0" borderId="4" applyAlignment="1" applyProtection="1" pivotButton="0" quotePrefix="0" xfId="7">
      <alignment vertical="center"/>
      <protection locked="0" hidden="0"/>
    </xf>
    <xf numFmtId="41" fontId="11" fillId="8" borderId="4" applyAlignment="1" pivotButton="0" quotePrefix="0" xfId="7">
      <alignment vertical="center"/>
    </xf>
    <xf numFmtId="168" fontId="11" fillId="8" borderId="4" applyAlignment="1" pivotButton="0" quotePrefix="0" xfId="8">
      <alignment vertical="center"/>
    </xf>
    <xf numFmtId="41" fontId="11" fillId="0" borderId="18" applyAlignment="1" applyProtection="1" pivotButton="0" quotePrefix="0" xfId="7">
      <alignment vertical="center"/>
      <protection locked="0" hidden="0"/>
    </xf>
    <xf numFmtId="41" fontId="11" fillId="8" borderId="18" applyAlignment="1" pivotButton="0" quotePrefix="0" xfId="7">
      <alignment vertical="center"/>
    </xf>
    <xf numFmtId="168" fontId="11" fillId="8" borderId="18" applyAlignment="1" pivotButton="0" quotePrefix="0" xfId="8">
      <alignment vertical="center"/>
    </xf>
    <xf numFmtId="168" fontId="11" fillId="8" borderId="6" applyAlignment="1" pivotButton="0" quotePrefix="0" xfId="8">
      <alignment vertical="center"/>
    </xf>
    <xf numFmtId="0" fontId="33" fillId="0" borderId="144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132" pivotButton="0" quotePrefix="0" xfId="0"/>
    <xf numFmtId="171" fontId="37" fillId="0" borderId="21" applyAlignment="1" pivotButton="0" quotePrefix="0" xfId="0">
      <alignment horizontal="right" vertical="center"/>
    </xf>
    <xf numFmtId="0" fontId="0" fillId="0" borderId="20" pivotButton="0" quotePrefix="0" xfId="0"/>
    <xf numFmtId="0" fontId="0" fillId="0" borderId="21" pivotButton="0" quotePrefix="0" xfId="0"/>
    <xf numFmtId="0" fontId="32" fillId="0" borderId="142" applyAlignment="1" pivotButton="0" quotePrefix="0" xfId="0">
      <alignment horizontal="center" vertical="center"/>
    </xf>
    <xf numFmtId="0" fontId="0" fillId="0" borderId="89" pivotButton="0" quotePrefix="0" xfId="0"/>
    <xf numFmtId="0" fontId="0" fillId="0" borderId="143" pivotButton="0" quotePrefix="0" xfId="0"/>
    <xf numFmtId="0" fontId="0" fillId="0" borderId="126" pivotButton="0" quotePrefix="0" xfId="0"/>
    <xf numFmtId="0" fontId="0" fillId="0" borderId="28" pivotButton="0" quotePrefix="0" xfId="0"/>
    <xf numFmtId="0" fontId="32" fillId="0" borderId="32" applyAlignment="1" pivotButton="0" quotePrefix="1" xfId="0">
      <alignment horizontal="center" vertical="center"/>
    </xf>
    <xf numFmtId="0" fontId="0" fillId="0" borderId="113" pivotButton="0" quotePrefix="0" xfId="0"/>
    <xf numFmtId="41" fontId="11" fillId="5" borderId="33" applyAlignment="1" pivotButton="0" quotePrefix="0" xfId="0">
      <alignment vertical="center"/>
    </xf>
    <xf numFmtId="41" fontId="11" fillId="5" borderId="34" applyAlignment="1" pivotButton="0" quotePrefix="0" xfId="0">
      <alignment vertical="center"/>
    </xf>
    <xf numFmtId="41" fontId="11" fillId="2" borderId="5" applyAlignment="1" pivotButton="0" quotePrefix="0" xfId="0">
      <alignment vertical="center"/>
    </xf>
  </cellXfs>
  <cellStyles count="10">
    <cellStyle name="표준" xfId="0" builtinId="0"/>
    <cellStyle name="표준 2" xfId="1"/>
    <cellStyle name="백분율 2" xfId="2"/>
    <cellStyle name="쉼표 [0] 2 2 2 2" xfId="3"/>
    <cellStyle name="쉼표 [0] 2 2 2 2 2 2" xfId="4"/>
    <cellStyle name="쉼표 [0] 2 2 2 2 2 2 2" xfId="5"/>
    <cellStyle name="Followed Hyperlink" xfId="6"/>
    <cellStyle name="쉼표 [0]" xfId="7" builtinId="6"/>
    <cellStyle name="백분율" xfId="8" builtinId="5"/>
    <cellStyle name="표준 3" xfId="9"/>
  </cellStyles>
  <dxfs count="202"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/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/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border>
        <top style="hair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hair">
          <color indexed="64"/>
        </bottom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</dxf>
    <dxf>
      <border>
        <bottom style="thin">
          <color indexed="64"/>
        </bottom>
      </border>
    </dxf>
    <dxf>
      <font>
        <name val="나눔고딕"/>
        <charset val="129"/>
        <family val="3"/>
        <b val="1"/>
        <strike val="0"/>
        <outline val="0"/>
        <shadow val="0"/>
        <condense val="0"/>
        <color theme="1"/>
        <extend val="0"/>
        <sz val="9"/>
        <vertAlign val="baseline"/>
      </font>
      <fill>
        <patternFill patternType="solid">
          <fgColor indexed="64"/>
          <bgColor theme="0" tint="-0.0499893185216834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theme="7" tint="0.7999816888943144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theme="7" tint="0.799981688894314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externalLink" Target="/xl/externalLinks/externalLink1.xml" Id="rId11" /><Relationship Type="http://schemas.openxmlformats.org/officeDocument/2006/relationships/styles" Target="styles.xml" Id="rId12" /><Relationship Type="http://schemas.openxmlformats.org/officeDocument/2006/relationships/theme" Target="theme/theme1.xml" Id="rId13" /><Relationship Type="http://schemas.microsoft.com/office/2006/relationships/vbaProject" Target="vbaProject.bin" Id="rId14" /></Relationships>
</file>

<file path=xl/ctrlProps/ctrlProp1.xml><?xml version="1.0" encoding="utf-8"?>
<formControlPr xmlns="http://schemas.microsoft.com/office/spreadsheetml/2009/9/main" objectType="Spin" dx="22" fmlaLink="$I$1" max="30000" min="1" page="10" val="1355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2" fmlaLink="$I$1" max="30000" min="1" page="10" val="1355"/>
</file>

<file path=xl/ctrlProps/ctrlProp4.xml><?xml version="1.0" encoding="utf-8"?>
<formControlPr xmlns="http://schemas.microsoft.com/office/spreadsheetml/2009/9/main" objectType="Spin" dx="22" fmlaLink="$I$1" max="30000" min="1" page="10" val="1355"/>
</file>

<file path=xl/externalLinks/_rels/externalLink1.xml.rels><Relationships xmlns="http://schemas.openxmlformats.org/package/2006/relationships"><Relationship Type="http://schemas.openxmlformats.org/officeDocument/2006/relationships/externalLinkPath" Target="file:///Y:\SK%20Hynix%20M15%20Ph-3%20Project\20%20&#44277;&#51221;\00_Teams_&#51089;&#50629;&#51068;&#48372;_Back-up\02_&#54861;&#51060;&#50689;%20&#54532;&#47196;\%23%23&#51089;&#50629;&#51068;&#48372;\PH4%20&#51089;&#50629;&#51068;&#48372;%20&#49888;&#44508;%20250915\20250916_&#51089;&#50629;&#51068;&#48372;_&#50577;&#49885;_R0.xlsx" TargetMode="External" Id="rId2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Cover"/>
      <sheetName val="1.출력인원 현황"/>
      <sheetName val="2.직종별 인원현황"/>
      <sheetName val="3.장비현황"/>
      <sheetName val="4.물량"/>
      <sheetName val="5.사진대지"/>
      <sheetName val="6.출력일보"/>
      <sheetName val="작성 방법"/>
      <sheetName val="WBS"/>
      <sheetName val="Code"/>
    </sheetNames>
    <sheetDataSet>
      <sheetData sheetId="0">
        <row r="15">
          <cell r="E15">
            <v>45869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id="1" name="표2" displayName="표2" ref="A3:N166" headerRowCount="1" totalsRowShown="0" headerRowDxfId="18" dataDxfId="16" headerRowBorderDxfId="17" tableBorderDxfId="15" totalsRowBorderDxfId="14">
  <tableColumns count="14">
    <tableColumn id="1" name="NO" dataDxfId="13"/>
    <tableColumn id="2" name="작업자 성함" dataDxfId="12"/>
    <tableColumn id="3" name="직종구분" dataDxfId="11"/>
    <tableColumn id="14" name="중공종명 (WBS 중공종)" dataDxfId="10"/>
    <tableColumn id="12" name="소공종명 (WBS 소공종)2" dataDxfId="9"/>
    <tableColumn id="13" name="세공종명 (WBS 세공종)" dataDxfId="8"/>
    <tableColumn id="4" name="작업 위치_코드" dataDxfId="7"/>
    <tableColumn id="5" name="금일 작업 사항" dataDxfId="6"/>
    <tableColumn id="6" name="조출" dataDxfId="5"/>
    <tableColumn id="7" name="주간" dataDxfId="4"/>
    <tableColumn id="8" name="연장" dataDxfId="3"/>
    <tableColumn id="9" name="야간" dataDxfId="2"/>
    <tableColumn id="10" name="철야" dataDxfId="1"/>
    <tableColumn id="11" name="비고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F32"/>
  <sheetViews>
    <sheetView zoomScale="85" zoomScaleNormal="85" workbookViewId="0">
      <selection activeCell="J28" sqref="J28"/>
    </sheetView>
  </sheetViews>
  <sheetFormatPr baseColWidth="8" defaultColWidth="9" defaultRowHeight="15"/>
  <cols>
    <col width="9.125" customWidth="1" style="73" min="1" max="1"/>
    <col width="9.25" customWidth="1" style="73" min="2" max="2"/>
    <col width="9.125" customWidth="1" style="73" min="3" max="3"/>
    <col width="3.875" customWidth="1" style="73" min="4" max="4"/>
    <col width="9.125" customWidth="1" style="73" min="5" max="10"/>
    <col width="2" customWidth="1" style="73" min="11" max="32"/>
    <col width="47.875" bestFit="1" customWidth="1" style="73" min="33" max="33"/>
    <col width="9" customWidth="1" style="73" min="34" max="16384"/>
  </cols>
  <sheetData>
    <row r="1" ht="17.25" customHeight="1" s="362" thickTop="1">
      <c r="A1" s="82" t="n"/>
      <c r="B1" s="83" t="n"/>
      <c r="C1" s="83" t="n"/>
      <c r="D1" s="83" t="n"/>
      <c r="E1" s="83" t="n"/>
      <c r="F1" s="83" t="n"/>
      <c r="G1" s="83" t="n"/>
      <c r="H1" s="84" t="n">
        <v>44562</v>
      </c>
      <c r="I1" s="85" t="n">
        <v>1355</v>
      </c>
      <c r="J1" s="86" t="n"/>
    </row>
    <row r="2" ht="17.25" customHeight="1" s="362">
      <c r="A2" s="87" t="n"/>
      <c r="B2" s="88" t="n"/>
      <c r="C2" s="88" t="n"/>
      <c r="D2" s="88" t="n"/>
      <c r="E2" s="88" t="n"/>
      <c r="F2" s="88" t="n"/>
      <c r="G2" s="88" t="n"/>
      <c r="H2" s="88" t="n"/>
      <c r="I2" s="88" t="n"/>
      <c r="J2" s="89" t="n"/>
    </row>
    <row r="3" ht="17.25" customHeight="1" s="362" thickBot="1">
      <c r="A3" s="87" t="n"/>
      <c r="B3" s="88" t="n"/>
      <c r="C3" s="88" t="n"/>
      <c r="D3" s="88" t="n"/>
      <c r="E3" s="88" t="n"/>
      <c r="F3" s="88" t="n"/>
      <c r="G3" s="88" t="n"/>
      <c r="H3" s="88" t="n"/>
      <c r="I3" s="88" t="n"/>
      <c r="J3" s="89" t="n"/>
    </row>
    <row r="4" ht="17.25" customHeight="1" s="362" thickTop="1">
      <c r="A4" s="87" t="n"/>
      <c r="B4" s="363" t="inlineStr">
        <is>
          <t>일 일 공 정 보 고</t>
        </is>
      </c>
      <c r="C4" s="364" t="n"/>
      <c r="D4" s="364" t="n"/>
      <c r="E4" s="364" t="n"/>
      <c r="F4" s="364" t="n"/>
      <c r="G4" s="364" t="n"/>
      <c r="H4" s="364" t="n"/>
      <c r="I4" s="364" t="n"/>
      <c r="J4" s="89" t="n"/>
    </row>
    <row r="5" ht="17.25" customHeight="1" s="362">
      <c r="A5" s="87" t="n"/>
      <c r="J5" s="89" t="n"/>
    </row>
    <row r="6" ht="17.25" customHeight="1" s="362">
      <c r="A6" s="87" t="n"/>
      <c r="J6" s="89" t="n"/>
    </row>
    <row r="7" ht="17.25" customHeight="1" s="362">
      <c r="A7" s="87" t="n"/>
      <c r="J7" s="89" t="n"/>
    </row>
    <row r="8" ht="33.75" customHeight="1" s="362" thickBot="1">
      <c r="A8" s="87" t="n"/>
      <c r="B8" s="365" t="n"/>
      <c r="C8" s="365" t="n"/>
      <c r="D8" s="365" t="n"/>
      <c r="E8" s="365" t="n"/>
      <c r="F8" s="365" t="n"/>
      <c r="G8" s="365" t="n"/>
      <c r="H8" s="365" t="n"/>
      <c r="I8" s="365" t="n"/>
      <c r="J8" s="89" t="n"/>
      <c r="L8" s="74" t="n"/>
      <c r="AB8" s="75" t="n"/>
      <c r="AC8" s="75" t="n"/>
      <c r="AD8" s="75" t="n"/>
      <c r="AE8" s="75" t="n"/>
      <c r="AF8" s="75" t="n"/>
    </row>
    <row r="9" ht="17.25" customHeight="1" s="362" thickTop="1">
      <c r="A9" s="87" t="n"/>
      <c r="B9" s="88" t="n"/>
      <c r="C9" s="88" t="n"/>
      <c r="D9" s="88" t="n"/>
      <c r="E9" s="88" t="n"/>
      <c r="F9" s="88" t="n"/>
      <c r="G9" s="88" t="n"/>
      <c r="H9" s="88" t="n"/>
      <c r="I9" s="88" t="n"/>
      <c r="J9" s="89" t="n"/>
      <c r="AB9" s="75" t="n"/>
      <c r="AC9" s="75" t="n"/>
      <c r="AD9" s="75" t="n"/>
      <c r="AE9" s="75" t="n"/>
      <c r="AF9" s="75" t="n"/>
    </row>
    <row r="10" ht="17.25" customHeight="1" s="362">
      <c r="A10" s="87" t="n"/>
      <c r="B10" s="88" t="n"/>
      <c r="C10" s="88" t="n"/>
      <c r="D10" s="88" t="n"/>
      <c r="E10" s="88" t="n"/>
      <c r="F10" s="88" t="n"/>
      <c r="G10" s="88" t="n"/>
      <c r="H10" s="88" t="n"/>
      <c r="I10" s="88" t="n"/>
      <c r="J10" s="89" t="n"/>
    </row>
    <row r="11" ht="17.25" customHeight="1" s="362">
      <c r="A11" s="87" t="n"/>
      <c r="B11" s="88" t="n"/>
      <c r="C11" s="88" t="n"/>
      <c r="D11" s="88" t="n"/>
      <c r="E11" s="88" t="n"/>
      <c r="F11" s="88" t="n"/>
      <c r="G11" s="88" t="n"/>
      <c r="H11" s="88" t="n"/>
      <c r="I11" s="88" t="n"/>
      <c r="J11" s="89" t="n"/>
    </row>
    <row r="12" ht="17.25" customHeight="1" s="362">
      <c r="A12" s="87" t="n"/>
      <c r="B12" s="88" t="n"/>
      <c r="C12" s="88" t="n"/>
      <c r="D12" s="88" t="n"/>
      <c r="E12" s="88" t="n"/>
      <c r="F12" s="88" t="n"/>
      <c r="G12" s="88" t="n"/>
      <c r="H12" s="90" t="n"/>
      <c r="I12" s="88" t="n"/>
      <c r="J12" s="89" t="n"/>
    </row>
    <row r="13" ht="17.25" customHeight="1" s="362">
      <c r="A13" s="87" t="n"/>
      <c r="B13" s="88" t="n"/>
      <c r="C13" s="88" t="n"/>
      <c r="D13" s="88" t="n"/>
      <c r="E13" s="88" t="n"/>
      <c r="F13" s="88" t="n"/>
      <c r="G13" s="88" t="n"/>
      <c r="H13" s="88" t="n"/>
      <c r="I13" s="88" t="n"/>
      <c r="J13" s="89" t="n"/>
    </row>
    <row r="14" ht="44.25" customHeight="1" s="362">
      <c r="A14" s="87" t="n"/>
      <c r="B14" s="88" t="n"/>
      <c r="C14" s="88" t="n"/>
      <c r="D14" s="88" t="n"/>
      <c r="E14" s="88" t="n"/>
      <c r="F14" s="88" t="n"/>
      <c r="G14" s="88" t="n"/>
      <c r="H14" s="88" t="n"/>
      <c r="I14" s="88" t="n"/>
      <c r="J14" s="89" t="n"/>
    </row>
    <row r="15" ht="21.75" customHeight="1" s="362">
      <c r="A15" s="366" t="n"/>
      <c r="B15" s="367" t="inlineStr">
        <is>
          <t>Date</t>
        </is>
      </c>
      <c r="C15" s="368" t="n"/>
      <c r="D15" s="369" t="n"/>
      <c r="E15" s="370">
        <f>H1+I1</f>
        <v/>
      </c>
      <c r="F15" s="368" t="n"/>
      <c r="G15" s="368" t="n"/>
      <c r="H15" s="368" t="n"/>
      <c r="I15" s="369" t="n"/>
      <c r="J15" s="371" t="n"/>
      <c r="X15" s="75" t="n"/>
    </row>
    <row r="16" ht="21.75" customHeight="1" s="362">
      <c r="A16" s="93" t="n"/>
      <c r="B16" s="372" t="inlineStr">
        <is>
          <t>CODE</t>
        </is>
      </c>
      <c r="C16" s="373" t="n"/>
      <c r="D16" s="374" t="n"/>
      <c r="E16" s="313" t="inlineStr">
        <is>
          <t>M15X_PH4_041</t>
        </is>
      </c>
      <c r="F16" s="375" t="n"/>
      <c r="G16" s="375" t="n"/>
      <c r="H16" s="375" t="n"/>
      <c r="I16" s="376" t="n"/>
      <c r="J16" s="94" t="n"/>
    </row>
    <row r="17" ht="21.75" customHeight="1" s="362">
      <c r="A17" s="93" t="n"/>
      <c r="B17" s="372" t="inlineStr">
        <is>
          <t>PROJECT NAME</t>
        </is>
      </c>
      <c r="C17" s="373" t="n"/>
      <c r="D17" s="374" t="n"/>
      <c r="E17" s="377" t="inlineStr">
        <is>
          <t>M15X Ph4 IBL PJT</t>
        </is>
      </c>
      <c r="F17" s="375" t="n"/>
      <c r="G17" s="375" t="n"/>
      <c r="H17" s="375" t="n"/>
      <c r="I17" s="376" t="n"/>
      <c r="J17" s="94" t="n"/>
    </row>
    <row r="18" ht="21.75" customHeight="1" s="362">
      <c r="A18" s="93" t="n"/>
      <c r="B18" s="372" t="inlineStr">
        <is>
          <t>공종</t>
        </is>
      </c>
      <c r="C18" s="373" t="n"/>
      <c r="D18" s="374" t="n"/>
      <c r="E18" s="378" t="inlineStr">
        <is>
          <t>UT</t>
        </is>
      </c>
      <c r="F18" s="375" t="n"/>
      <c r="G18" s="375" t="n"/>
      <c r="H18" s="375" t="n"/>
      <c r="I18" s="376" t="n"/>
      <c r="J18" s="94" t="n"/>
    </row>
    <row r="19" ht="21.75" customHeight="1" s="362">
      <c r="A19" s="87" t="n"/>
      <c r="B19" s="379" t="inlineStr">
        <is>
          <t>업체명</t>
        </is>
      </c>
      <c r="C19" s="380" t="n"/>
      <c r="D19" s="381" t="n"/>
      <c r="E19" s="382" t="inlineStr">
        <is>
          <t>M15X_PH4_UT_ 중원엔지니어링_UT배관공사_FAB</t>
        </is>
      </c>
      <c r="F19" s="383" t="n"/>
      <c r="G19" s="383" t="n"/>
      <c r="H19" s="383" t="n"/>
      <c r="I19" s="384" t="n"/>
      <c r="J19" s="89" t="n"/>
    </row>
    <row r="20" ht="29.25" customHeight="1" s="362">
      <c r="A20" s="87" t="n"/>
      <c r="B20" s="88" t="n"/>
      <c r="C20" s="88" t="n"/>
      <c r="D20" s="88" t="n"/>
      <c r="E20" s="276" t="inlineStr">
        <is>
          <t>중원엔지니어링FAB</t>
        </is>
      </c>
      <c r="F20" s="88" t="n"/>
      <c r="G20" s="88" t="n"/>
      <c r="H20" s="88" t="n"/>
      <c r="I20" s="88" t="n"/>
      <c r="J20" s="89" t="n"/>
    </row>
    <row r="21" ht="29.25" customHeight="1" s="362">
      <c r="A21" s="87" t="n"/>
      <c r="B21" s="88" t="n"/>
      <c r="C21" s="88" t="n"/>
      <c r="D21" s="88" t="n"/>
      <c r="E21" s="88" t="n"/>
      <c r="F21" s="88" t="n"/>
      <c r="G21" s="88" t="n"/>
      <c r="H21" s="88" t="n"/>
      <c r="I21" s="88" t="n"/>
      <c r="J21" s="89" t="n"/>
    </row>
    <row r="22" ht="29.25" customHeight="1" s="362">
      <c r="A22" s="87" t="n"/>
      <c r="B22" s="88" t="n"/>
      <c r="C22" s="88" t="n"/>
      <c r="D22" s="302" t="n"/>
      <c r="E22" s="303" t="n"/>
      <c r="F22" s="303" t="n"/>
      <c r="G22" s="303" t="n"/>
      <c r="H22" s="303" t="n"/>
      <c r="I22" s="303" t="n"/>
      <c r="J22" s="89" t="n"/>
    </row>
    <row r="23" ht="29.25" customHeight="1" s="362">
      <c r="A23" s="87" t="n"/>
      <c r="B23" s="88" t="n"/>
      <c r="C23" s="88" t="n"/>
      <c r="J23" s="89" t="n"/>
    </row>
    <row r="24" ht="29.25" customHeight="1" s="362">
      <c r="A24" s="87" t="n"/>
      <c r="B24" s="88" t="n"/>
      <c r="C24" s="88" t="n"/>
      <c r="D24" s="88" t="n"/>
      <c r="E24" s="88" t="n"/>
      <c r="F24" s="88" t="n"/>
      <c r="G24" s="88" t="n"/>
      <c r="H24" s="88" t="n"/>
      <c r="I24" s="88" t="n"/>
      <c r="J24" s="89" t="n"/>
      <c r="AD24" s="75" t="n"/>
    </row>
    <row r="25" ht="19.5" customHeight="1" s="362">
      <c r="A25" s="87" t="n"/>
      <c r="B25" s="88" t="n"/>
      <c r="C25" s="95" t="inlineStr">
        <is>
          <t xml:space="preserve">                목  차  :</t>
        </is>
      </c>
      <c r="D25" s="95" t="n"/>
      <c r="E25" s="95" t="n"/>
      <c r="F25" s="95" t="inlineStr">
        <is>
          <t>1. Daily Quantity Status</t>
        </is>
      </c>
      <c r="G25" s="88" t="n"/>
      <c r="H25" s="88" t="n"/>
      <c r="I25" s="88" t="n"/>
      <c r="J25" s="89" t="n"/>
    </row>
    <row r="26" ht="19.5" customHeight="1" s="362">
      <c r="A26" s="87" t="n"/>
      <c r="B26" s="88" t="n"/>
      <c r="C26" s="88" t="n"/>
      <c r="D26" s="95" t="n"/>
      <c r="E26" s="95" t="n"/>
      <c r="F26" s="95" t="inlineStr">
        <is>
          <t>2. Daily Work Status</t>
        </is>
      </c>
      <c r="G26" s="88" t="n"/>
      <c r="H26" s="88" t="n"/>
      <c r="I26" s="88" t="n"/>
      <c r="J26" s="89" t="n"/>
    </row>
    <row r="27" ht="19.5" customHeight="1" s="362">
      <c r="A27" s="87" t="n"/>
      <c r="B27" s="88" t="n"/>
      <c r="C27" s="88" t="n"/>
      <c r="D27" s="95" t="n"/>
      <c r="E27" s="95" t="n"/>
      <c r="F27" s="95" t="inlineStr">
        <is>
          <t>3. Daily Manpower Status</t>
        </is>
      </c>
      <c r="G27" s="88" t="n"/>
      <c r="H27" s="88" t="n"/>
      <c r="I27" s="88" t="n"/>
      <c r="J27" s="89" t="n"/>
    </row>
    <row r="28" ht="24" customHeight="1" s="362">
      <c r="A28" s="87" t="n"/>
      <c r="B28" s="88" t="n"/>
      <c r="C28" s="88" t="n"/>
      <c r="D28" s="95" t="n"/>
      <c r="E28" s="95" t="n"/>
      <c r="F28" s="95" t="inlineStr">
        <is>
          <t>4. Daily Equipment Status</t>
        </is>
      </c>
      <c r="G28" s="96" t="n"/>
      <c r="H28" s="97" t="n"/>
      <c r="I28" s="97" t="n"/>
      <c r="J28" s="89" t="n"/>
      <c r="O28" s="76" t="n"/>
    </row>
    <row r="29" ht="24" customHeight="1" s="362">
      <c r="A29" s="87" t="n"/>
      <c r="B29" s="88" t="n"/>
      <c r="C29" s="88" t="n"/>
      <c r="D29" s="95" t="n"/>
      <c r="E29" s="95" t="n"/>
      <c r="F29" s="95" t="inlineStr">
        <is>
          <t>5. 사진대지</t>
        </is>
      </c>
      <c r="G29" s="96" t="n"/>
      <c r="H29" s="97" t="n"/>
      <c r="I29" s="97" t="n"/>
      <c r="J29" s="89" t="n"/>
    </row>
    <row r="30" ht="24" customHeight="1" s="362">
      <c r="A30" s="87" t="n"/>
      <c r="B30" s="88" t="n"/>
      <c r="C30" s="88" t="n"/>
      <c r="D30" s="95" t="n"/>
      <c r="E30" s="95" t="n"/>
      <c r="F30" s="95" t="n"/>
      <c r="G30" s="96" t="n"/>
      <c r="H30" s="97" t="n"/>
      <c r="I30" s="97" t="n"/>
      <c r="J30" s="89" t="n"/>
    </row>
    <row r="31" ht="24" customHeight="1" s="362">
      <c r="A31" s="87" t="n"/>
      <c r="B31" s="88" t="n"/>
      <c r="C31" s="88" t="n"/>
      <c r="D31" s="95" t="n"/>
      <c r="E31" s="95" t="n"/>
      <c r="F31" s="95" t="n"/>
      <c r="G31" s="96" t="n"/>
      <c r="H31" s="97" t="n"/>
      <c r="I31" s="97" t="n"/>
      <c r="J31" s="89" t="n"/>
    </row>
    <row r="32" ht="18" customHeight="1" s="362" thickBot="1">
      <c r="A32" s="98" t="n"/>
      <c r="B32" s="99" t="n"/>
      <c r="C32" s="99" t="n"/>
      <c r="D32" s="99" t="n"/>
      <c r="E32" s="100" t="n"/>
      <c r="F32" s="100" t="n"/>
      <c r="G32" s="100" t="n"/>
      <c r="H32" s="100" t="n"/>
      <c r="I32" s="100" t="n"/>
      <c r="J32" s="101" t="n"/>
    </row>
    <row r="33" ht="15.75" customHeight="1" s="362" thickTop="1"/>
  </sheetData>
  <mergeCells count="17">
    <mergeCell ref="I22:I23"/>
    <mergeCell ref="G22:G23"/>
    <mergeCell ref="B19:D19"/>
    <mergeCell ref="E15:I15"/>
    <mergeCell ref="B4:I8"/>
    <mergeCell ref="E16:I16"/>
    <mergeCell ref="F22:F23"/>
    <mergeCell ref="E22:E23"/>
    <mergeCell ref="B17:D17"/>
    <mergeCell ref="B18:D18"/>
    <mergeCell ref="E19:I19"/>
    <mergeCell ref="H22:H23"/>
    <mergeCell ref="B15:D15"/>
    <mergeCell ref="E17:I17"/>
    <mergeCell ref="B16:D16"/>
    <mergeCell ref="E18:I18"/>
    <mergeCell ref="D22:D23"/>
  </mergeCells>
  <dataValidations count="1">
    <dataValidation sqref="E18:I18" showDropDown="0" showInputMessage="1" showErrorMessage="1" allowBlank="1" type="list">
      <formula1>"설비,UT,소방"</formula1>
    </dataValidation>
  </dataValidations>
  <pageMargins left="0.7" right="0.7" top="0.75" bottom="0.75" header="0.3" footer="0.3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AK7"/>
  <sheetViews>
    <sheetView showGridLines="0" zoomScaleNormal="100" workbookViewId="0">
      <selection activeCell="H9" sqref="H9:H10"/>
    </sheetView>
  </sheetViews>
  <sheetFormatPr baseColWidth="8" defaultColWidth="8.75" defaultRowHeight="15" customHeight="1"/>
  <cols>
    <col width="3" customWidth="1" style="1" min="1" max="1"/>
    <col width="9.375" customWidth="1" style="3" min="2" max="2"/>
    <col width="7.5" customWidth="1" style="3" min="3" max="3"/>
    <col width="10.5" customWidth="1" style="3" min="4" max="4"/>
    <col width="12.5" customWidth="1" style="1" min="5" max="5"/>
    <col width="21.75" customWidth="1" style="1" min="6" max="6"/>
    <col width="24.875" customWidth="1" style="1" min="7" max="9"/>
    <col outlineLevel="1" width="9.75" customWidth="1" style="1" min="10" max="15"/>
    <col outlineLevel="1" width="8.75" customWidth="1" style="1" min="16" max="16"/>
    <col outlineLevel="1" width="10.75" customWidth="1" style="1" min="17" max="23"/>
    <col outlineLevel="1" width="9.75" customWidth="1" style="1" min="24" max="29"/>
    <col outlineLevel="1" width="8.75" customWidth="1" style="1" min="30" max="30"/>
    <col outlineLevel="1" width="10.75" customWidth="1" style="1" min="31" max="37"/>
    <col width="8.75" customWidth="1" style="1" min="38" max="16384"/>
  </cols>
  <sheetData>
    <row r="1" ht="22.5" customFormat="1" customHeight="1" s="8">
      <c r="B1" s="113" t="inlineStr">
        <is>
          <t>1. 출력인원 현황</t>
        </is>
      </c>
      <c r="C1" s="7" t="n"/>
      <c r="D1" s="7" t="n"/>
      <c r="E1" s="7" t="n"/>
      <c r="F1" s="7" t="n"/>
      <c r="G1" s="7" t="n"/>
      <c r="H1" s="7" t="n"/>
      <c r="I1" s="7" t="n"/>
      <c r="J1" s="7" t="n"/>
      <c r="K1" s="7" t="n"/>
      <c r="L1" s="7" t="n"/>
      <c r="M1" s="7" t="n"/>
      <c r="N1" s="7" t="n"/>
      <c r="O1" s="7" t="n"/>
      <c r="P1" s="7" t="n"/>
      <c r="Q1" s="7" t="n"/>
      <c r="R1" s="7" t="n"/>
      <c r="S1" s="7" t="n"/>
      <c r="T1" s="7" t="n"/>
      <c r="U1" s="7" t="n"/>
      <c r="V1" s="7" t="n"/>
      <c r="W1" s="7" t="n"/>
      <c r="X1" s="7" t="n"/>
      <c r="Y1" s="7" t="n"/>
      <c r="Z1" s="7" t="n"/>
      <c r="AA1" s="7" t="n"/>
      <c r="AB1" s="7" t="n"/>
      <c r="AC1" s="7" t="n"/>
      <c r="AD1" s="7" t="n"/>
      <c r="AE1" s="7" t="n"/>
      <c r="AF1" s="7" t="n"/>
      <c r="AG1" s="7" t="n"/>
      <c r="AH1" s="7" t="n"/>
      <c r="AI1" s="7" t="n"/>
      <c r="AJ1" s="7" t="n"/>
      <c r="AK1" s="7" t="n"/>
    </row>
    <row r="2" ht="17.25" customHeight="1" s="362" thickBot="1">
      <c r="B2" s="114">
        <f>CONCATENATE("금일 작업 현황 :",TEXT(Cover!E15," YYYY-MM-DD, aaaa"))</f>
        <v/>
      </c>
      <c r="G2" s="385" t="n"/>
    </row>
    <row r="3" ht="15" customFormat="1" customHeight="1" s="5">
      <c r="B3" s="177" t="inlineStr">
        <is>
          <t>구분</t>
        </is>
      </c>
      <c r="C3" s="178" t="inlineStr">
        <is>
          <t>Zone</t>
        </is>
      </c>
      <c r="D3" s="178" t="inlineStr">
        <is>
          <t>공종</t>
        </is>
      </c>
      <c r="E3" s="178" t="inlineStr">
        <is>
          <t>BP사</t>
        </is>
      </c>
      <c r="F3" s="178" t="inlineStr">
        <is>
          <t>Scope</t>
        </is>
      </c>
      <c r="G3" s="386" t="inlineStr">
        <is>
          <t>주요 작업</t>
        </is>
      </c>
      <c r="H3" s="387" t="n"/>
      <c r="I3" s="388" t="n"/>
      <c r="J3" s="319" t="inlineStr">
        <is>
          <t xml:space="preserve">전일 투입인원 [Incr.] </t>
        </is>
      </c>
      <c r="K3" s="387" t="n"/>
      <c r="L3" s="387" t="n"/>
      <c r="M3" s="387" t="n"/>
      <c r="N3" s="387" t="n"/>
      <c r="O3" s="387" t="n"/>
      <c r="P3" s="389" t="n"/>
      <c r="Q3" s="390">
        <f>CONCATENATE("전일 누적인원 [Cum.], ",TEXT(Cover!E15-1," YYYY-MM-DD, aaaa"))</f>
        <v/>
      </c>
      <c r="R3" s="387" t="n"/>
      <c r="S3" s="387" t="n"/>
      <c r="T3" s="387" t="n"/>
      <c r="U3" s="387" t="n"/>
      <c r="V3" s="387" t="n"/>
      <c r="W3" s="389" t="n"/>
      <c r="X3" s="390" t="inlineStr">
        <is>
          <t>금일 투입인원 [Incr.]</t>
        </is>
      </c>
      <c r="Y3" s="387" t="n"/>
      <c r="Z3" s="387" t="n"/>
      <c r="AA3" s="387" t="n"/>
      <c r="AB3" s="387" t="n"/>
      <c r="AC3" s="387" t="n"/>
      <c r="AD3" s="389" t="n"/>
      <c r="AE3" s="391">
        <f>CONCATENATE("금일 누적인원 [Cum.], ", TEXT(Cover!E15," YYYY-MM-DD, aaaa"))</f>
        <v/>
      </c>
      <c r="AF3" s="387" t="n"/>
      <c r="AG3" s="387" t="n"/>
      <c r="AH3" s="387" t="n"/>
      <c r="AI3" s="387" t="n"/>
      <c r="AJ3" s="387" t="n"/>
      <c r="AK3" s="388" t="n"/>
    </row>
    <row r="4" ht="15" customFormat="1" customHeight="1" s="5" thickBot="1">
      <c r="B4" s="179" t="inlineStr">
        <is>
          <t>PJT</t>
        </is>
      </c>
      <c r="C4" s="180" t="n"/>
      <c r="D4" s="180" t="inlineStr">
        <is>
          <t>Dis</t>
        </is>
      </c>
      <c r="E4" s="180" t="inlineStr">
        <is>
          <t>협력업체</t>
        </is>
      </c>
      <c r="F4" s="180" t="n"/>
      <c r="G4" s="181">
        <f>CONCATENATE("전일 작업사항 [", TEXT(Cover!E15-1, "mm/dd"), "]")</f>
        <v/>
      </c>
      <c r="H4" s="181">
        <f>CONCATENATE("금일 작업사항 [", TEXT(Cover!E15, "mm/dd"), "]")</f>
        <v/>
      </c>
      <c r="I4" s="182">
        <f>CONCATENATE("명일 작업사항 [", TEXT(Cover!E15+1, "mm/dd"), "]")</f>
        <v/>
      </c>
      <c r="J4" s="165" t="inlineStr">
        <is>
          <t>조출</t>
        </is>
      </c>
      <c r="K4" s="166" t="inlineStr">
        <is>
          <t>주간</t>
        </is>
      </c>
      <c r="L4" s="166" t="inlineStr">
        <is>
          <t>연장</t>
        </is>
      </c>
      <c r="M4" s="166" t="inlineStr">
        <is>
          <t>야간</t>
        </is>
      </c>
      <c r="N4" s="166" t="inlineStr">
        <is>
          <t>철야</t>
        </is>
      </c>
      <c r="O4" s="392" t="inlineStr">
        <is>
          <t>Total</t>
        </is>
      </c>
      <c r="P4" s="393" t="n"/>
      <c r="Q4" s="166" t="inlineStr">
        <is>
          <t>조출</t>
        </is>
      </c>
      <c r="R4" s="392" t="inlineStr">
        <is>
          <t>주간</t>
        </is>
      </c>
      <c r="S4" s="392" t="inlineStr">
        <is>
          <t>연장</t>
        </is>
      </c>
      <c r="T4" s="392" t="inlineStr">
        <is>
          <t>야간</t>
        </is>
      </c>
      <c r="U4" s="392" t="inlineStr">
        <is>
          <t>철야</t>
        </is>
      </c>
      <c r="V4" s="392" t="inlineStr">
        <is>
          <t>Total</t>
        </is>
      </c>
      <c r="W4" s="393" t="n"/>
      <c r="X4" s="166" t="inlineStr">
        <is>
          <t>조출</t>
        </is>
      </c>
      <c r="Y4" s="166" t="inlineStr">
        <is>
          <t>주간</t>
        </is>
      </c>
      <c r="Z4" s="166" t="inlineStr">
        <is>
          <t>연장</t>
        </is>
      </c>
      <c r="AA4" s="166" t="inlineStr">
        <is>
          <t>야간</t>
        </is>
      </c>
      <c r="AB4" s="166" t="inlineStr">
        <is>
          <t>철야</t>
        </is>
      </c>
      <c r="AC4" s="392" t="inlineStr">
        <is>
          <t>Total</t>
        </is>
      </c>
      <c r="AD4" s="393" t="n"/>
      <c r="AE4" s="166" t="inlineStr">
        <is>
          <t>조출</t>
        </is>
      </c>
      <c r="AF4" s="168" t="inlineStr">
        <is>
          <t>주간</t>
        </is>
      </c>
      <c r="AG4" s="168" t="inlineStr">
        <is>
          <t>연장</t>
        </is>
      </c>
      <c r="AH4" s="168" t="inlineStr">
        <is>
          <t>야간</t>
        </is>
      </c>
      <c r="AI4" s="168" t="inlineStr">
        <is>
          <t>철야</t>
        </is>
      </c>
      <c r="AJ4" s="392" t="inlineStr">
        <is>
          <t>Total</t>
        </is>
      </c>
      <c r="AK4" s="393" t="n"/>
    </row>
    <row r="5" ht="45.75" customHeight="1" s="362">
      <c r="B5" s="175" t="n"/>
      <c r="C5" s="6" t="n"/>
      <c r="D5" s="6" t="inlineStr">
        <is>
          <t>건축</t>
        </is>
      </c>
      <c r="E5" s="6" t="inlineStr">
        <is>
          <t>PH_X-098</t>
        </is>
      </c>
      <c r="F5" s="394" t="n"/>
      <c r="G5" s="395" t="inlineStr">
        <is>
          <t>F04,F03,F02 판넬설치작업,캐노피설치작업 | F04,F03 RF 하지 및 판넬 설치작업</t>
        </is>
      </c>
      <c r="H5" s="395" t="inlineStr">
        <is>
          <t>F04,F03,F02 판넬설치작업,캐노피설치작업 | F04,F03 RF 하지 및 판넬 설치작업</t>
        </is>
      </c>
      <c r="I5" s="395" t="n"/>
      <c r="J5" s="396" t="n"/>
      <c r="K5" s="397" t="n">
        <v>18</v>
      </c>
      <c r="L5" s="397" t="n"/>
      <c r="M5" s="397" t="n"/>
      <c r="N5" s="397" t="n">
        <v>66</v>
      </c>
      <c r="O5" s="397" t="n">
        <v>84</v>
      </c>
      <c r="P5" s="398" t="n"/>
      <c r="Q5" s="397" t="n"/>
      <c r="R5" s="397" t="n">
        <v>4416</v>
      </c>
      <c r="S5" s="397" t="n">
        <v>65</v>
      </c>
      <c r="T5" s="397" t="n"/>
      <c r="U5" s="397" t="n">
        <v>15703</v>
      </c>
      <c r="V5" s="397" t="n">
        <v>20184</v>
      </c>
      <c r="W5" s="398" t="n"/>
      <c r="X5" s="397" t="n"/>
      <c r="Y5" s="397" t="n">
        <v>17</v>
      </c>
      <c r="Z5" s="397" t="n">
        <v>7</v>
      </c>
      <c r="AA5" s="397" t="n"/>
      <c r="AB5" s="397" t="n">
        <v>69</v>
      </c>
      <c r="AC5" s="397" t="n">
        <v>93</v>
      </c>
      <c r="AD5" s="398" t="n">
        <v>93</v>
      </c>
      <c r="AE5" s="397" t="n"/>
      <c r="AF5" s="397" t="n">
        <v>4433</v>
      </c>
      <c r="AG5" s="397" t="n">
        <v>72</v>
      </c>
      <c r="AH5" s="397" t="n"/>
      <c r="AI5" s="397" t="n">
        <v>15772</v>
      </c>
      <c r="AJ5" s="397" t="n">
        <v>20277</v>
      </c>
      <c r="AK5" s="399" t="n">
        <v>20277</v>
      </c>
    </row>
    <row r="6" ht="45.75" customHeight="1" s="362" thickBot="1">
      <c r="B6" s="102" t="n"/>
      <c r="C6" s="103" t="n"/>
      <c r="D6" s="104" t="n"/>
      <c r="E6" s="103" t="inlineStr">
        <is>
          <t>글로벌유명</t>
        </is>
      </c>
      <c r="F6" s="400" t="n"/>
      <c r="G6" s="400" t="n"/>
      <c r="H6" s="400" t="n"/>
      <c r="I6" s="400" t="n"/>
      <c r="J6" s="401" t="n"/>
      <c r="K6" s="402" t="n"/>
      <c r="L6" s="402" t="n"/>
      <c r="M6" s="402" t="n"/>
      <c r="N6" s="402" t="n"/>
      <c r="O6" s="402" t="n"/>
      <c r="P6" s="403" t="n"/>
      <c r="Q6" s="402" t="n"/>
      <c r="R6" s="402" t="n"/>
      <c r="S6" s="402" t="n"/>
      <c r="T6" s="402" t="n"/>
      <c r="U6" s="402" t="n"/>
      <c r="V6" s="402" t="n"/>
      <c r="W6" s="403" t="n"/>
      <c r="X6" s="402" t="n"/>
      <c r="Y6" s="402" t="n"/>
      <c r="Z6" s="402" t="n"/>
      <c r="AA6" s="402" t="n"/>
      <c r="AB6" s="402" t="n"/>
      <c r="AC6" s="402" t="n"/>
      <c r="AD6" s="403" t="n"/>
      <c r="AE6" s="402" t="n"/>
      <c r="AF6" s="402" t="n"/>
      <c r="AG6" s="402" t="n"/>
      <c r="AH6" s="402" t="n"/>
      <c r="AI6" s="402" t="n"/>
      <c r="AJ6" s="402" t="n"/>
      <c r="AK6" s="404" t="n"/>
    </row>
    <row r="7" ht="15" customHeight="1" s="362">
      <c r="J7" s="164" t="n"/>
      <c r="K7" s="163" t="n"/>
      <c r="L7" s="163" t="n"/>
      <c r="M7" s="163" t="n"/>
      <c r="N7" s="163" t="n"/>
      <c r="O7" s="163" t="n"/>
      <c r="P7" s="163" t="n"/>
      <c r="Q7" s="163" t="n"/>
      <c r="R7" s="163" t="n"/>
      <c r="S7" s="163" t="n"/>
      <c r="T7" s="163" t="n"/>
      <c r="U7" s="163" t="n"/>
      <c r="V7" s="163" t="n"/>
      <c r="W7" s="163" t="n"/>
      <c r="X7" s="163" t="n"/>
      <c r="Y7" s="163" t="n"/>
      <c r="Z7" s="163" t="n"/>
      <c r="AA7" s="163" t="n"/>
      <c r="AB7" s="163" t="n"/>
      <c r="AC7" s="163" t="n"/>
      <c r="AD7" s="163" t="n"/>
      <c r="AE7" s="163" t="n"/>
      <c r="AF7" s="163" t="n"/>
      <c r="AG7" s="163" t="n"/>
      <c r="AH7" s="163" t="n"/>
      <c r="AI7" s="163" t="n"/>
      <c r="AJ7" s="163" t="n"/>
      <c r="AK7" s="163" t="n"/>
    </row>
  </sheetData>
  <mergeCells count="17">
    <mergeCell ref="P5:P6"/>
    <mergeCell ref="V4:W4"/>
    <mergeCell ref="AJ4:AK4"/>
    <mergeCell ref="AK5:AK6"/>
    <mergeCell ref="W5:W6"/>
    <mergeCell ref="H5:H6"/>
    <mergeCell ref="G5:G6"/>
    <mergeCell ref="X3:AD3"/>
    <mergeCell ref="AD5:AD6"/>
    <mergeCell ref="J3:P3"/>
    <mergeCell ref="AE3:AK3"/>
    <mergeCell ref="G3:I3"/>
    <mergeCell ref="Q3:W3"/>
    <mergeCell ref="F5:F6"/>
    <mergeCell ref="O4:P4"/>
    <mergeCell ref="I5:I6"/>
    <mergeCell ref="AC4:AD4"/>
  </mergeCells>
  <conditionalFormatting sqref="J5:P5 J6:O6">
    <cfRule type="expression" priority="296" dxfId="199">
      <formula>(#REF!)="v"</formula>
    </cfRule>
  </conditionalFormatting>
  <conditionalFormatting sqref="AE5:AI6">
    <cfRule type="expression" priority="290" dxfId="199">
      <formula>(#REF!)="v"</formula>
    </cfRule>
  </conditionalFormatting>
  <conditionalFormatting sqref="Q5:AD5 Q6:V6 X6:AC6 AJ5:AK5 AJ6">
    <cfRule type="expression" priority="299" dxfId="199">
      <formula>(#REF!)="v"</formula>
    </cfRule>
  </conditionalFormatting>
  <pageMargins left="0.7" right="0.7" top="0.75" bottom="0.75" header="0.3" footer="0.3"/>
  <pageSetup orientation="portrait" paperSize="9" horizontalDpi="90" verticalDpi="9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AJ89"/>
  <sheetViews>
    <sheetView showGridLines="0" zoomScale="85" zoomScaleNormal="85" workbookViewId="0">
      <pane ySplit="5" topLeftCell="A72" activePane="bottomLeft" state="frozen"/>
      <selection activeCell="G19" sqref="G19"/>
      <selection pane="bottomLeft" activeCell="L35" sqref="L35"/>
    </sheetView>
  </sheetViews>
  <sheetFormatPr baseColWidth="8" defaultColWidth="8.75" defaultRowHeight="15" customHeight="1"/>
  <cols>
    <col width="1.875" customWidth="1" style="72" min="1" max="1"/>
    <col width="8.75" customWidth="1" style="72" min="2" max="2"/>
    <col width="11.875" customWidth="1" style="72" min="3" max="3"/>
    <col outlineLevel="1" width="11.875" customWidth="1" style="72" min="4" max="5"/>
    <col width="28.625" customWidth="1" style="72" min="6" max="6"/>
    <col outlineLevel="1" width="8.75" customWidth="1" style="72" min="7" max="11"/>
    <col width="15.75" customWidth="1" style="72" min="12" max="12"/>
    <col outlineLevel="1" width="8.75" customWidth="1" style="72" min="13" max="17"/>
    <col width="15.75" customWidth="1" style="72" min="18" max="18"/>
    <col outlineLevel="1" width="8.75" customWidth="1" style="72" min="19" max="23"/>
    <col width="15.75" customWidth="1" style="72" min="24" max="24"/>
    <col width="8.75" customWidth="1" style="72" min="25" max="16384"/>
  </cols>
  <sheetData>
    <row r="1" ht="22.5" customFormat="1" customHeight="1" s="8">
      <c r="A1" s="9" t="n"/>
      <c r="B1" s="9" t="inlineStr">
        <is>
          <t>2. 직종별 인원현황</t>
        </is>
      </c>
      <c r="C1" s="116" t="n"/>
      <c r="D1" s="116" t="n"/>
      <c r="E1" s="116" t="n"/>
      <c r="F1" s="116" t="n"/>
      <c r="G1" s="116" t="n"/>
      <c r="H1" s="116" t="n"/>
      <c r="I1" s="116" t="n"/>
      <c r="J1" s="116" t="n"/>
      <c r="K1" s="116" t="n"/>
      <c r="L1" s="116" t="n"/>
      <c r="M1" s="116" t="n"/>
      <c r="N1" s="116" t="n"/>
      <c r="O1" s="116" t="n"/>
      <c r="P1" s="116" t="n"/>
      <c r="Q1" s="116">
        <f>1</f>
        <v/>
      </c>
      <c r="R1" s="116" t="n"/>
      <c r="S1" s="116" t="n"/>
      <c r="T1" s="116" t="n"/>
      <c r="U1" s="116" t="n"/>
      <c r="V1" s="116" t="n"/>
      <c r="W1" s="116" t="n"/>
      <c r="X1" s="116" t="n"/>
      <c r="Y1" s="116" t="n"/>
      <c r="Z1" s="116" t="n"/>
      <c r="AA1" s="116" t="n"/>
      <c r="AB1" s="116" t="n"/>
      <c r="AC1" s="116" t="n"/>
      <c r="AD1" s="116" t="n"/>
      <c r="AE1" s="116" t="n"/>
      <c r="AF1" s="116" t="n"/>
      <c r="AG1" s="116" t="n"/>
      <c r="AH1" s="116" t="n"/>
      <c r="AI1" s="116" t="n"/>
      <c r="AJ1" s="116" t="n"/>
    </row>
    <row r="2" ht="17.25" customFormat="1" customHeight="1" s="1" thickBot="1">
      <c r="A2" s="2" t="n"/>
      <c r="B2" s="2">
        <f>CONCATENATE("금일 작업 현황 :",TEXT(Cover!E15," YYYY-MM-DD, aaaa"))</f>
        <v/>
      </c>
      <c r="C2" s="3" t="n"/>
      <c r="F2" s="385" t="n"/>
    </row>
    <row r="3" ht="15" customHeight="1" s="362">
      <c r="B3" s="335">
        <f>CONCATENATE("기능공 투입인원 현황 ",TEXT(Cover!E15,"yyyy/mm/dd"))</f>
        <v/>
      </c>
      <c r="C3" s="405" t="n"/>
      <c r="D3" s="405" t="n"/>
      <c r="E3" s="405" t="n"/>
      <c r="F3" s="405" t="n"/>
      <c r="G3" s="405" t="n"/>
      <c r="H3" s="405" t="n"/>
      <c r="I3" s="405" t="n"/>
      <c r="J3" s="405" t="n"/>
      <c r="K3" s="405" t="n"/>
      <c r="L3" s="405" t="n"/>
      <c r="M3" s="405" t="n"/>
      <c r="N3" s="405" t="n"/>
      <c r="O3" s="405" t="n"/>
      <c r="P3" s="405" t="n"/>
      <c r="Q3" s="405" t="n"/>
      <c r="R3" s="405" t="n"/>
      <c r="S3" s="405" t="n"/>
      <c r="T3" s="405" t="n"/>
      <c r="U3" s="405" t="n"/>
      <c r="V3" s="405" t="n"/>
      <c r="W3" s="405" t="n"/>
      <c r="X3" s="406" t="n"/>
      <c r="Y3" s="22" t="n"/>
    </row>
    <row r="4" ht="15" customHeight="1" s="362">
      <c r="B4" s="183" t="inlineStr">
        <is>
          <t>공종</t>
        </is>
      </c>
      <c r="C4" s="339" t="inlineStr">
        <is>
          <t>BP사</t>
        </is>
      </c>
      <c r="D4" s="339" t="n"/>
      <c r="E4" s="339" t="n"/>
      <c r="F4" s="339" t="inlineStr">
        <is>
          <t>직종</t>
        </is>
      </c>
      <c r="G4" s="339">
        <f>CONCATENATE("전일누계 [", TEXT(Cover!E15-1, "mm/dd"), "]")</f>
        <v/>
      </c>
      <c r="H4" s="407" t="n"/>
      <c r="I4" s="407" t="n"/>
      <c r="J4" s="407" t="n"/>
      <c r="K4" s="407" t="n"/>
      <c r="L4" s="408" t="n"/>
      <c r="M4" s="339">
        <f>CONCATENATE("금일투입 [", TEXT(Cover!E15, "mm/dd"), "]")</f>
        <v/>
      </c>
      <c r="N4" s="407" t="n"/>
      <c r="O4" s="407" t="n"/>
      <c r="P4" s="407" t="n"/>
      <c r="Q4" s="407" t="n"/>
      <c r="R4" s="408" t="n"/>
      <c r="S4" s="338">
        <f>CONCATENATE("금일누계 [", TEXT(Cover!E15, "mm/dd"), "]")</f>
        <v/>
      </c>
      <c r="T4" s="407" t="n"/>
      <c r="U4" s="407" t="n"/>
      <c r="V4" s="407" t="n"/>
      <c r="W4" s="407" t="n"/>
      <c r="X4" s="408" t="n"/>
      <c r="Y4" s="22" t="n"/>
    </row>
    <row r="5" ht="15" customHeight="1" s="362">
      <c r="B5" s="24" t="inlineStr">
        <is>
          <t>Dis</t>
        </is>
      </c>
      <c r="C5" s="16" t="inlineStr">
        <is>
          <t>협력업체</t>
        </is>
      </c>
      <c r="D5" s="16" t="inlineStr">
        <is>
          <t>관리자/근로자</t>
        </is>
      </c>
      <c r="E5" s="16" t="inlineStr">
        <is>
          <t>기능공</t>
        </is>
      </c>
      <c r="F5" s="17" t="inlineStr">
        <is>
          <t>[기능공]</t>
        </is>
      </c>
      <c r="G5" s="21" t="inlineStr">
        <is>
          <t>조출</t>
        </is>
      </c>
      <c r="H5" s="18" t="inlineStr">
        <is>
          <t>주간</t>
        </is>
      </c>
      <c r="I5" s="18" t="inlineStr">
        <is>
          <t>연장</t>
        </is>
      </c>
      <c r="J5" s="18" t="inlineStr">
        <is>
          <t>야간</t>
        </is>
      </c>
      <c r="K5" s="19" t="inlineStr">
        <is>
          <t>철야</t>
        </is>
      </c>
      <c r="L5" s="120" t="inlineStr">
        <is>
          <t>Cum. T</t>
        </is>
      </c>
      <c r="M5" s="119" t="inlineStr">
        <is>
          <t>조출</t>
        </is>
      </c>
      <c r="N5" s="18" t="inlineStr">
        <is>
          <t>주간</t>
        </is>
      </c>
      <c r="O5" s="18" t="inlineStr">
        <is>
          <t>연장</t>
        </is>
      </c>
      <c r="P5" s="18" t="inlineStr">
        <is>
          <t>야간</t>
        </is>
      </c>
      <c r="Q5" s="19" t="inlineStr">
        <is>
          <t>철야</t>
        </is>
      </c>
      <c r="R5" s="120" t="inlineStr">
        <is>
          <t>Incr. T</t>
        </is>
      </c>
      <c r="S5" s="119" t="inlineStr">
        <is>
          <t>조출</t>
        </is>
      </c>
      <c r="T5" s="18" t="inlineStr">
        <is>
          <t>주간</t>
        </is>
      </c>
      <c r="U5" s="18" t="inlineStr">
        <is>
          <t>연장</t>
        </is>
      </c>
      <c r="V5" s="18" t="inlineStr">
        <is>
          <t>야간</t>
        </is>
      </c>
      <c r="W5" s="19" t="inlineStr">
        <is>
          <t>철야</t>
        </is>
      </c>
      <c r="X5" s="25" t="inlineStr">
        <is>
          <t>Cum. T</t>
        </is>
      </c>
    </row>
    <row r="6" ht="15" customHeight="1" s="362">
      <c r="B6" s="27" t="inlineStr">
        <is>
          <t>건축</t>
        </is>
      </c>
      <c r="C6" s="11" t="inlineStr">
        <is>
          <t>PH_X-098</t>
        </is>
      </c>
      <c r="D6" s="11" t="inlineStr">
        <is>
          <t>Mm01</t>
        </is>
      </c>
      <c r="E6" s="11" t="inlineStr">
        <is>
          <t>sk01</t>
        </is>
      </c>
      <c r="F6" s="278" t="inlineStr">
        <is>
          <t>BP소장</t>
        </is>
      </c>
      <c r="G6" s="409" t="n"/>
      <c r="H6" s="410" t="n"/>
      <c r="I6" s="410" t="n"/>
      <c r="J6" s="410" t="n"/>
      <c r="K6" s="411" t="n"/>
      <c r="L6" s="412" t="n"/>
      <c r="M6" s="413" t="n"/>
      <c r="N6" s="414" t="n"/>
      <c r="O6" s="414" t="n"/>
      <c r="P6" s="414" t="n"/>
      <c r="Q6" s="415" t="n"/>
      <c r="R6" s="416" t="n"/>
      <c r="S6" s="417" t="n"/>
      <c r="T6" s="410" t="n"/>
      <c r="U6" s="410" t="n"/>
      <c r="V6" s="410" t="n"/>
      <c r="W6" s="411" t="n"/>
      <c r="X6" s="418" t="n"/>
      <c r="Y6" t="inlineStr">
        <is>
          <t>O</t>
        </is>
      </c>
    </row>
    <row r="7" ht="15" customHeight="1" s="362">
      <c r="B7" s="27" t="n"/>
      <c r="C7" s="11" t="inlineStr">
        <is>
          <t>글로벌유명</t>
        </is>
      </c>
      <c r="D7" s="11" t="inlineStr">
        <is>
          <t>Wk00</t>
        </is>
      </c>
      <c r="E7" s="11" t="n"/>
      <c r="F7" s="278" t="inlineStr">
        <is>
          <t>Shop설계</t>
        </is>
      </c>
      <c r="G7" s="409" t="n"/>
      <c r="H7" s="410" t="n">
        <v>485</v>
      </c>
      <c r="I7" s="410" t="n"/>
      <c r="J7" s="410" t="n"/>
      <c r="K7" s="411" t="n"/>
      <c r="L7" s="412" t="n">
        <v>485</v>
      </c>
      <c r="M7" s="413" t="n"/>
      <c r="N7" s="414" t="n">
        <v>2</v>
      </c>
      <c r="O7" s="414" t="n"/>
      <c r="P7" s="414" t="n"/>
      <c r="Q7" s="415" t="n"/>
      <c r="R7" s="416" t="n">
        <v>2</v>
      </c>
      <c r="S7" s="417" t="n"/>
      <c r="T7" s="410" t="n">
        <v>487</v>
      </c>
      <c r="U7" s="410" t="n"/>
      <c r="V7" s="410" t="n"/>
      <c r="W7" s="411" t="n"/>
      <c r="X7" s="418" t="n">
        <v>487</v>
      </c>
      <c r="Y7" t="inlineStr">
        <is>
          <t>O</t>
        </is>
      </c>
    </row>
    <row r="8" ht="15" customHeight="1" s="362">
      <c r="B8" s="27" t="n"/>
      <c r="C8" s="11" t="n"/>
      <c r="D8" s="11" t="inlineStr">
        <is>
          <t>Wk01</t>
        </is>
      </c>
      <c r="E8" s="11" t="n"/>
      <c r="F8" s="278" t="inlineStr">
        <is>
          <t>H/C 장비기사</t>
        </is>
      </c>
      <c r="G8" s="409" t="n"/>
      <c r="H8" s="410" t="n">
        <v>130</v>
      </c>
      <c r="I8" s="410" t="n"/>
      <c r="J8" s="410" t="n"/>
      <c r="K8" s="411" t="n">
        <v>986</v>
      </c>
      <c r="L8" s="412" t="n">
        <v>1116</v>
      </c>
      <c r="M8" s="413" t="n"/>
      <c r="N8" s="414" t="n"/>
      <c r="O8" s="414" t="n"/>
      <c r="P8" s="414" t="n"/>
      <c r="Q8" s="415" t="n">
        <v>2</v>
      </c>
      <c r="R8" s="416" t="n">
        <v>2</v>
      </c>
      <c r="S8" s="417" t="n"/>
      <c r="T8" s="410" t="n">
        <v>130</v>
      </c>
      <c r="U8" s="410" t="n"/>
      <c r="V8" s="410" t="n"/>
      <c r="W8" s="411" t="n">
        <v>988</v>
      </c>
      <c r="X8" s="418" t="n">
        <v>1118</v>
      </c>
      <c r="Y8" t="inlineStr">
        <is>
          <t>O</t>
        </is>
      </c>
    </row>
    <row r="9" ht="15" customHeight="1" s="362">
      <c r="B9" s="27" t="n"/>
      <c r="C9" s="11" t="n"/>
      <c r="D9" s="11" t="inlineStr">
        <is>
          <t>Wk04</t>
        </is>
      </c>
      <c r="E9" s="11" t="n"/>
      <c r="F9" s="278" t="inlineStr">
        <is>
          <t>스카이 장비기사</t>
        </is>
      </c>
      <c r="G9" s="409" t="n"/>
      <c r="H9" s="410" t="n">
        <v>171</v>
      </c>
      <c r="I9" s="410" t="n">
        <v>1</v>
      </c>
      <c r="J9" s="410" t="n"/>
      <c r="K9" s="411" t="n">
        <v>1352</v>
      </c>
      <c r="L9" s="412" t="n">
        <v>1524</v>
      </c>
      <c r="M9" s="413" t="n"/>
      <c r="N9" s="414" t="n"/>
      <c r="O9" s="414" t="n"/>
      <c r="P9" s="414" t="n"/>
      <c r="Q9" s="415" t="n">
        <v>6</v>
      </c>
      <c r="R9" s="416" t="n">
        <v>6</v>
      </c>
      <c r="S9" s="417" t="n"/>
      <c r="T9" s="410" t="n">
        <v>171</v>
      </c>
      <c r="U9" s="410" t="n">
        <v>1</v>
      </c>
      <c r="V9" s="410" t="n"/>
      <c r="W9" s="411" t="n">
        <v>1358</v>
      </c>
      <c r="X9" s="418" t="n">
        <v>1530</v>
      </c>
      <c r="Y9" t="inlineStr">
        <is>
          <t>O</t>
        </is>
      </c>
    </row>
    <row r="10" ht="15" customHeight="1" s="362">
      <c r="B10" s="27" t="n"/>
      <c r="C10" s="11" t="n"/>
      <c r="D10" s="11" t="inlineStr">
        <is>
          <t>Wk05</t>
        </is>
      </c>
      <c r="E10" s="11" t="n"/>
      <c r="F10" s="278" t="inlineStr">
        <is>
          <t>지게차 장비기사</t>
        </is>
      </c>
      <c r="G10" s="409" t="n"/>
      <c r="H10" s="410" t="n">
        <v>5</v>
      </c>
      <c r="I10" s="410" t="n"/>
      <c r="J10" s="410" t="n"/>
      <c r="K10" s="411" t="n"/>
      <c r="L10" s="412" t="n">
        <v>5</v>
      </c>
      <c r="M10" s="413" t="n"/>
      <c r="N10" s="414" t="n"/>
      <c r="O10" s="414" t="n"/>
      <c r="P10" s="414" t="n"/>
      <c r="Q10" s="415" t="n"/>
      <c r="R10" s="416" t="n"/>
      <c r="S10" s="417" t="n"/>
      <c r="T10" s="410" t="n">
        <v>5</v>
      </c>
      <c r="U10" s="410" t="n"/>
      <c r="V10" s="410" t="n"/>
      <c r="W10" s="411" t="n"/>
      <c r="X10" s="418" t="n">
        <v>5</v>
      </c>
      <c r="Y10" t="inlineStr">
        <is>
          <t>O</t>
        </is>
      </c>
    </row>
    <row r="11" ht="15" customHeight="1" s="362">
      <c r="B11" s="27" t="n"/>
      <c r="C11" s="11" t="n"/>
      <c r="D11" s="11" t="inlineStr">
        <is>
          <t>Wk26</t>
        </is>
      </c>
      <c r="E11" s="11" t="n"/>
      <c r="F11" s="278" t="inlineStr">
        <is>
          <t>신호수</t>
        </is>
      </c>
      <c r="G11" s="409" t="n"/>
      <c r="H11" s="410" t="n">
        <v>493</v>
      </c>
      <c r="I11" s="410" t="n">
        <v>11</v>
      </c>
      <c r="J11" s="410" t="n"/>
      <c r="K11" s="411" t="n">
        <v>3432</v>
      </c>
      <c r="L11" s="412" t="n">
        <v>3936</v>
      </c>
      <c r="M11" s="413" t="n"/>
      <c r="N11" s="414" t="n">
        <v>2</v>
      </c>
      <c r="O11" s="414" t="n">
        <v>1</v>
      </c>
      <c r="P11" s="414" t="n"/>
      <c r="Q11" s="415" t="n">
        <v>15</v>
      </c>
      <c r="R11" s="416" t="n">
        <v>18</v>
      </c>
      <c r="S11" s="417" t="n"/>
      <c r="T11" s="410" t="n">
        <v>495</v>
      </c>
      <c r="U11" s="410" t="n">
        <v>12</v>
      </c>
      <c r="V11" s="410" t="n"/>
      <c r="W11" s="411" t="n">
        <v>3447</v>
      </c>
      <c r="X11" s="418" t="n">
        <v>3954</v>
      </c>
      <c r="Y11" t="inlineStr">
        <is>
          <t>O</t>
        </is>
      </c>
    </row>
    <row r="12" ht="15" customHeight="1" s="362">
      <c r="B12" s="27" t="n"/>
      <c r="C12" s="11" t="n"/>
      <c r="D12" s="11" t="inlineStr">
        <is>
          <t>Wk31</t>
        </is>
      </c>
      <c r="E12" s="11" t="n"/>
      <c r="F12" s="278" t="inlineStr">
        <is>
          <t>외장공</t>
        </is>
      </c>
      <c r="G12" s="409" t="n"/>
      <c r="H12" s="410" t="n">
        <v>775</v>
      </c>
      <c r="I12" s="410" t="n">
        <v>18</v>
      </c>
      <c r="J12" s="410" t="n"/>
      <c r="K12" s="411" t="n">
        <v>5850</v>
      </c>
      <c r="L12" s="412" t="n">
        <v>6643</v>
      </c>
      <c r="M12" s="413" t="n"/>
      <c r="N12" s="414" t="n">
        <v>2</v>
      </c>
      <c r="O12" s="414" t="n">
        <v>2</v>
      </c>
      <c r="P12" s="414" t="n"/>
      <c r="Q12" s="415" t="n">
        <v>27</v>
      </c>
      <c r="R12" s="416" t="n">
        <v>31</v>
      </c>
      <c r="S12" s="417" t="n"/>
      <c r="T12" s="410" t="n">
        <v>777</v>
      </c>
      <c r="U12" s="410" t="n">
        <v>20</v>
      </c>
      <c r="V12" s="410" t="n"/>
      <c r="W12" s="411" t="n">
        <v>5877</v>
      </c>
      <c r="X12" s="418" t="n">
        <v>6674</v>
      </c>
      <c r="Y12" t="inlineStr">
        <is>
          <t>O</t>
        </is>
      </c>
    </row>
    <row r="13" ht="15" customHeight="1" s="362">
      <c r="B13" s="27" t="n"/>
      <c r="C13" s="11" t="n"/>
      <c r="D13" s="11" t="inlineStr">
        <is>
          <t>Wk33</t>
        </is>
      </c>
      <c r="E13" s="11" t="n"/>
      <c r="F13" s="278" t="inlineStr">
        <is>
          <t>유도원</t>
        </is>
      </c>
      <c r="G13" s="409" t="n"/>
      <c r="H13" s="410" t="n">
        <v>496</v>
      </c>
      <c r="I13" s="410" t="n">
        <v>18</v>
      </c>
      <c r="J13" s="410" t="n"/>
      <c r="K13" s="411" t="n">
        <v>3127</v>
      </c>
      <c r="L13" s="412" t="n">
        <v>3641</v>
      </c>
      <c r="M13" s="413" t="n"/>
      <c r="N13" s="414" t="n">
        <v>3</v>
      </c>
      <c r="O13" s="414" t="n">
        <v>2</v>
      </c>
      <c r="P13" s="414" t="n"/>
      <c r="Q13" s="415" t="n">
        <v>13</v>
      </c>
      <c r="R13" s="416" t="n">
        <v>18</v>
      </c>
      <c r="S13" s="417" t="n"/>
      <c r="T13" s="410" t="n">
        <v>499</v>
      </c>
      <c r="U13" s="410" t="n">
        <v>20</v>
      </c>
      <c r="V13" s="410" t="n"/>
      <c r="W13" s="411" t="n">
        <v>3140</v>
      </c>
      <c r="X13" s="418" t="n">
        <v>3659</v>
      </c>
      <c r="Y13" t="inlineStr">
        <is>
          <t>O</t>
        </is>
      </c>
    </row>
    <row r="14" ht="15" customHeight="1" s="362">
      <c r="B14" s="27" t="n"/>
      <c r="C14" s="11" t="n"/>
      <c r="D14" s="11" t="n"/>
      <c r="E14" s="11" t="n"/>
      <c r="F14" s="278" t="n"/>
      <c r="G14" s="409" t="n"/>
      <c r="H14" s="410" t="n"/>
      <c r="I14" s="410" t="n"/>
      <c r="J14" s="410" t="n"/>
      <c r="K14" s="411" t="n"/>
      <c r="L14" s="412" t="n"/>
      <c r="M14" s="413" t="n"/>
      <c r="N14" s="414" t="n"/>
      <c r="O14" s="414" t="n"/>
      <c r="P14" s="414" t="n"/>
      <c r="Q14" s="415" t="n"/>
      <c r="R14" s="416" t="n"/>
      <c r="S14" s="417" t="n"/>
      <c r="T14" s="410" t="n"/>
      <c r="U14" s="410" t="n"/>
      <c r="V14" s="410" t="n"/>
      <c r="W14" s="411" t="n"/>
      <c r="X14" s="418" t="n"/>
    </row>
    <row r="15" ht="15" customHeight="1" s="362">
      <c r="B15" s="27" t="n"/>
      <c r="C15" s="11" t="n"/>
      <c r="D15" s="125" t="n"/>
      <c r="E15" s="125" t="n"/>
      <c r="F15" s="281" t="n"/>
      <c r="G15" s="419" t="n"/>
      <c r="H15" s="420" t="n"/>
      <c r="I15" s="420" t="n"/>
      <c r="J15" s="420" t="n"/>
      <c r="K15" s="421" t="n"/>
      <c r="L15" s="422" t="n"/>
      <c r="M15" s="423" t="n"/>
      <c r="N15" s="424" t="n"/>
      <c r="O15" s="424" t="n"/>
      <c r="P15" s="424" t="n"/>
      <c r="Q15" s="425" t="n"/>
      <c r="R15" s="426" t="n"/>
      <c r="S15" s="427" t="n"/>
      <c r="T15" s="420" t="n"/>
      <c r="U15" s="420" t="n"/>
      <c r="V15" s="420" t="n"/>
      <c r="W15" s="421" t="n"/>
      <c r="X15" s="428" t="n"/>
    </row>
    <row r="16" ht="15" customHeight="1" s="362">
      <c r="B16" s="27" t="n"/>
      <c r="C16" s="11" t="n"/>
      <c r="D16" s="11" t="n"/>
      <c r="E16" s="11" t="n"/>
      <c r="F16" s="229" t="n"/>
      <c r="G16" s="429" t="n"/>
      <c r="H16" s="430" t="n"/>
      <c r="I16" s="430" t="n"/>
      <c r="J16" s="430" t="n"/>
      <c r="K16" s="431" t="n"/>
      <c r="L16" s="432" t="n"/>
      <c r="M16" s="433" t="n"/>
      <c r="N16" s="434" t="n"/>
      <c r="O16" s="434" t="n"/>
      <c r="P16" s="434" t="n"/>
      <c r="Q16" s="435" t="n"/>
      <c r="R16" s="436" t="n"/>
      <c r="S16" s="437" t="n"/>
      <c r="T16" s="430" t="n"/>
      <c r="U16" s="430" t="n"/>
      <c r="V16" s="430" t="n"/>
      <c r="W16" s="431" t="n"/>
      <c r="X16" s="438" t="n"/>
    </row>
    <row r="17" ht="15" customHeight="1" s="362">
      <c r="B17" s="27" t="n"/>
      <c r="C17" s="11" t="n"/>
      <c r="D17" s="11" t="n"/>
      <c r="E17" s="11" t="n"/>
      <c r="F17" s="278" t="n"/>
      <c r="G17" s="409" t="n"/>
      <c r="H17" s="410" t="n"/>
      <c r="I17" s="410" t="n"/>
      <c r="J17" s="410" t="n"/>
      <c r="K17" s="411" t="n"/>
      <c r="L17" s="412" t="n"/>
      <c r="M17" s="413" t="n"/>
      <c r="N17" s="414" t="n"/>
      <c r="O17" s="414" t="n"/>
      <c r="P17" s="414" t="n"/>
      <c r="Q17" s="415" t="n"/>
      <c r="R17" s="416" t="n"/>
      <c r="S17" s="417" t="n"/>
      <c r="T17" s="410" t="n"/>
      <c r="U17" s="410" t="n"/>
      <c r="V17" s="410" t="n"/>
      <c r="W17" s="411" t="n"/>
      <c r="X17" s="418" t="n"/>
    </row>
    <row r="18" ht="15" customHeight="1" s="362">
      <c r="B18" s="27" t="n"/>
      <c r="C18" s="11" t="n"/>
      <c r="D18" s="11" t="n"/>
      <c r="E18" s="11" t="n"/>
      <c r="F18" s="278" t="n"/>
      <c r="G18" s="409" t="n"/>
      <c r="H18" s="410" t="n"/>
      <c r="I18" s="410" t="n"/>
      <c r="J18" s="410" t="n"/>
      <c r="K18" s="411" t="n"/>
      <c r="L18" s="412" t="n"/>
      <c r="M18" s="413" t="n"/>
      <c r="N18" s="414" t="n"/>
      <c r="O18" s="414" t="n"/>
      <c r="P18" s="414" t="n"/>
      <c r="Q18" s="415" t="n"/>
      <c r="R18" s="416" t="n"/>
      <c r="S18" s="417" t="n"/>
      <c r="T18" s="410" t="n"/>
      <c r="U18" s="410" t="n"/>
      <c r="V18" s="410" t="n"/>
      <c r="W18" s="411" t="n"/>
      <c r="X18" s="418" t="n"/>
    </row>
    <row r="19" ht="15" customHeight="1" s="362">
      <c r="B19" s="27" t="n"/>
      <c r="C19" s="11" t="n"/>
      <c r="D19" s="11" t="n"/>
      <c r="E19" s="11" t="n"/>
      <c r="F19" s="278" t="n"/>
      <c r="G19" s="409" t="n"/>
      <c r="H19" s="410" t="n"/>
      <c r="I19" s="410" t="n"/>
      <c r="J19" s="410" t="n"/>
      <c r="K19" s="411" t="n"/>
      <c r="L19" s="412" t="n"/>
      <c r="M19" s="413" t="n"/>
      <c r="N19" s="414" t="n"/>
      <c r="O19" s="414" t="n"/>
      <c r="P19" s="414" t="n"/>
      <c r="Q19" s="415" t="n"/>
      <c r="R19" s="416" t="n"/>
      <c r="S19" s="417" t="n"/>
      <c r="T19" s="410" t="n"/>
      <c r="U19" s="410" t="n"/>
      <c r="V19" s="410" t="n"/>
      <c r="W19" s="411" t="n"/>
      <c r="X19" s="418" t="n"/>
    </row>
    <row r="20" ht="15" customHeight="1" s="362">
      <c r="B20" s="27" t="n"/>
      <c r="C20" s="11" t="n"/>
      <c r="D20" s="11" t="n"/>
      <c r="E20" s="11" t="n"/>
      <c r="F20" s="278" t="n"/>
      <c r="G20" s="409" t="n"/>
      <c r="H20" s="410" t="n"/>
      <c r="I20" s="410" t="n"/>
      <c r="J20" s="410" t="n"/>
      <c r="K20" s="411" t="n"/>
      <c r="L20" s="412" t="n"/>
      <c r="M20" s="413" t="n"/>
      <c r="N20" s="414" t="n"/>
      <c r="O20" s="414" t="n"/>
      <c r="P20" s="414" t="n"/>
      <c r="Q20" s="415" t="n"/>
      <c r="R20" s="416" t="n"/>
      <c r="S20" s="417" t="n"/>
      <c r="T20" s="410" t="n"/>
      <c r="U20" s="410" t="n"/>
      <c r="V20" s="410" t="n"/>
      <c r="W20" s="411" t="n"/>
      <c r="X20" s="418" t="n"/>
    </row>
    <row r="21" ht="15" customHeight="1" s="362">
      <c r="B21" s="27" t="n"/>
      <c r="C21" s="11" t="n"/>
      <c r="D21" s="11" t="n"/>
      <c r="E21" s="11" t="n"/>
      <c r="F21" s="278" t="n"/>
      <c r="G21" s="409" t="n"/>
      <c r="H21" s="410" t="n"/>
      <c r="I21" s="410" t="n"/>
      <c r="J21" s="410" t="n"/>
      <c r="K21" s="411" t="n"/>
      <c r="L21" s="412" t="n"/>
      <c r="M21" s="413" t="n"/>
      <c r="N21" s="414" t="n"/>
      <c r="O21" s="414" t="n"/>
      <c r="P21" s="414" t="n"/>
      <c r="Q21" s="415" t="n"/>
      <c r="R21" s="416" t="n"/>
      <c r="S21" s="417" t="n"/>
      <c r="T21" s="410" t="n"/>
      <c r="U21" s="410" t="n"/>
      <c r="V21" s="410" t="n"/>
      <c r="W21" s="411" t="n"/>
      <c r="X21" s="418" t="n"/>
    </row>
    <row r="22" ht="15" customHeight="1" s="362">
      <c r="B22" s="27" t="n"/>
      <c r="C22" s="11" t="n"/>
      <c r="D22" s="11" t="n"/>
      <c r="E22" s="11" t="n"/>
      <c r="F22" s="278" t="n"/>
      <c r="G22" s="409" t="n"/>
      <c r="H22" s="410" t="n"/>
      <c r="I22" s="410" t="n"/>
      <c r="J22" s="410" t="n"/>
      <c r="K22" s="411" t="n"/>
      <c r="L22" s="412" t="n"/>
      <c r="M22" s="413" t="n"/>
      <c r="N22" s="414" t="n"/>
      <c r="O22" s="414" t="n"/>
      <c r="P22" s="414" t="n"/>
      <c r="Q22" s="415" t="n"/>
      <c r="R22" s="416" t="n"/>
      <c r="S22" s="417" t="n"/>
      <c r="T22" s="410" t="n"/>
      <c r="U22" s="410" t="n"/>
      <c r="V22" s="410" t="n"/>
      <c r="W22" s="411" t="n"/>
      <c r="X22" s="418" t="n"/>
    </row>
    <row r="23" ht="15" customHeight="1" s="362">
      <c r="B23" s="27" t="n"/>
      <c r="C23" s="11" t="n"/>
      <c r="D23" s="11" t="n"/>
      <c r="E23" s="11" t="n"/>
      <c r="F23" s="278" t="n"/>
      <c r="G23" s="409" t="n"/>
      <c r="H23" s="410" t="n"/>
      <c r="I23" s="410" t="n"/>
      <c r="J23" s="410" t="n"/>
      <c r="K23" s="411" t="n"/>
      <c r="L23" s="412" t="n"/>
      <c r="M23" s="413" t="n"/>
      <c r="N23" s="414" t="n"/>
      <c r="O23" s="414" t="n"/>
      <c r="P23" s="414" t="n"/>
      <c r="Q23" s="415" t="n"/>
      <c r="R23" s="416" t="n"/>
      <c r="S23" s="417" t="n"/>
      <c r="T23" s="410" t="n"/>
      <c r="U23" s="410" t="n"/>
      <c r="V23" s="410" t="n"/>
      <c r="W23" s="411" t="n"/>
      <c r="X23" s="418" t="n"/>
    </row>
    <row r="24" ht="15" customHeight="1" s="362">
      <c r="B24" s="27" t="n"/>
      <c r="C24" s="11" t="n"/>
      <c r="D24" s="11" t="n"/>
      <c r="E24" s="11" t="n"/>
      <c r="F24" s="278" t="n"/>
      <c r="G24" s="409" t="n"/>
      <c r="H24" s="410" t="n"/>
      <c r="I24" s="410" t="n"/>
      <c r="J24" s="410" t="n"/>
      <c r="K24" s="411" t="n"/>
      <c r="L24" s="412" t="n"/>
      <c r="M24" s="413" t="n"/>
      <c r="N24" s="414" t="n"/>
      <c r="O24" s="414" t="n"/>
      <c r="P24" s="414" t="n"/>
      <c r="Q24" s="415" t="n"/>
      <c r="R24" s="416" t="n"/>
      <c r="S24" s="417" t="n"/>
      <c r="T24" s="410" t="n"/>
      <c r="U24" s="410" t="n"/>
      <c r="V24" s="410" t="n"/>
      <c r="W24" s="411" t="n"/>
      <c r="X24" s="418" t="n"/>
    </row>
    <row r="25" ht="15" customHeight="1" s="362">
      <c r="B25" s="27" t="n"/>
      <c r="C25" s="11" t="n"/>
      <c r="D25" s="11" t="n"/>
      <c r="E25" s="11" t="n"/>
      <c r="F25" s="278" t="n"/>
      <c r="G25" s="409" t="n"/>
      <c r="H25" s="410" t="n"/>
      <c r="I25" s="410" t="n"/>
      <c r="J25" s="410" t="n"/>
      <c r="K25" s="411" t="n"/>
      <c r="L25" s="412" t="n"/>
      <c r="M25" s="413" t="n"/>
      <c r="N25" s="414" t="n"/>
      <c r="O25" s="414" t="n"/>
      <c r="P25" s="414" t="n"/>
      <c r="Q25" s="415" t="n"/>
      <c r="R25" s="416" t="n"/>
      <c r="S25" s="417" t="n"/>
      <c r="T25" s="410" t="n"/>
      <c r="U25" s="410" t="n"/>
      <c r="V25" s="410" t="n"/>
      <c r="W25" s="411" t="n"/>
      <c r="X25" s="418" t="n"/>
    </row>
    <row r="26" ht="15" customHeight="1" s="362">
      <c r="B26" s="27" t="n"/>
      <c r="C26" s="11" t="n"/>
      <c r="D26" s="11" t="n"/>
      <c r="E26" s="11" t="n"/>
      <c r="F26" s="278" t="n"/>
      <c r="G26" s="409" t="n"/>
      <c r="H26" s="410" t="n"/>
      <c r="I26" s="410" t="n"/>
      <c r="J26" s="410" t="n"/>
      <c r="K26" s="411" t="n"/>
      <c r="L26" s="412" t="n"/>
      <c r="M26" s="413" t="n"/>
      <c r="N26" s="414" t="n"/>
      <c r="O26" s="414" t="n"/>
      <c r="P26" s="414" t="n"/>
      <c r="Q26" s="415" t="n"/>
      <c r="R26" s="416" t="n"/>
      <c r="S26" s="417" t="n"/>
      <c r="T26" s="410" t="n"/>
      <c r="U26" s="410" t="n"/>
      <c r="V26" s="410" t="n"/>
      <c r="W26" s="411" t="n"/>
      <c r="X26" s="418" t="n"/>
    </row>
    <row r="27" ht="15" customHeight="1" s="362">
      <c r="B27" s="27" t="n"/>
      <c r="C27" s="11" t="n"/>
      <c r="D27" s="11" t="n"/>
      <c r="E27" s="11" t="n"/>
      <c r="F27" s="278" t="n"/>
      <c r="G27" s="409" t="n"/>
      <c r="H27" s="410" t="n"/>
      <c r="I27" s="410" t="n"/>
      <c r="J27" s="410" t="n"/>
      <c r="K27" s="411" t="n"/>
      <c r="L27" s="412" t="n"/>
      <c r="M27" s="413" t="n"/>
      <c r="N27" s="414" t="n"/>
      <c r="O27" s="414" t="n"/>
      <c r="P27" s="414" t="n"/>
      <c r="Q27" s="415" t="n"/>
      <c r="R27" s="416" t="n"/>
      <c r="S27" s="417" t="n"/>
      <c r="T27" s="410" t="n"/>
      <c r="U27" s="410" t="n"/>
      <c r="V27" s="410" t="n"/>
      <c r="W27" s="411" t="n"/>
      <c r="X27" s="418" t="n"/>
    </row>
    <row r="28" ht="15" customHeight="1" s="362">
      <c r="B28" s="27" t="n"/>
      <c r="C28" s="11" t="n"/>
      <c r="D28" s="11" t="n"/>
      <c r="E28" s="11" t="n"/>
      <c r="F28" s="278" t="n"/>
      <c r="G28" s="409" t="n"/>
      <c r="H28" s="410" t="n"/>
      <c r="I28" s="410" t="n"/>
      <c r="J28" s="410" t="n"/>
      <c r="K28" s="411" t="n"/>
      <c r="L28" s="412" t="n"/>
      <c r="M28" s="413" t="n"/>
      <c r="N28" s="414" t="n"/>
      <c r="O28" s="414" t="n"/>
      <c r="P28" s="414" t="n"/>
      <c r="Q28" s="415" t="n"/>
      <c r="R28" s="416" t="n"/>
      <c r="S28" s="417" t="n"/>
      <c r="T28" s="410" t="n"/>
      <c r="U28" s="410" t="n"/>
      <c r="V28" s="410" t="n"/>
      <c r="W28" s="411" t="n"/>
      <c r="X28" s="418" t="n"/>
    </row>
    <row r="29" ht="15" customHeight="1" s="362">
      <c r="B29" s="27" t="n"/>
      <c r="C29" s="11" t="n"/>
      <c r="D29" s="11" t="n"/>
      <c r="E29" s="11" t="n"/>
      <c r="F29" s="278" t="n"/>
      <c r="G29" s="409" t="n"/>
      <c r="H29" s="410" t="n"/>
      <c r="I29" s="410" t="n"/>
      <c r="J29" s="410" t="n"/>
      <c r="K29" s="411" t="n"/>
      <c r="L29" s="412" t="n"/>
      <c r="M29" s="413" t="n"/>
      <c r="N29" s="414" t="n"/>
      <c r="O29" s="414" t="n"/>
      <c r="P29" s="414" t="n"/>
      <c r="Q29" s="415" t="n"/>
      <c r="R29" s="416" t="n"/>
      <c r="S29" s="417" t="n"/>
      <c r="T29" s="410" t="n"/>
      <c r="U29" s="410" t="n"/>
      <c r="V29" s="410" t="n"/>
      <c r="W29" s="411" t="n"/>
      <c r="X29" s="418" t="n"/>
    </row>
    <row r="30" ht="15" customHeight="1" s="362">
      <c r="B30" s="27" t="n"/>
      <c r="C30" s="11" t="n"/>
      <c r="D30" s="11" t="n"/>
      <c r="E30" s="11" t="n"/>
      <c r="F30" s="278" t="n"/>
      <c r="G30" s="409" t="n"/>
      <c r="H30" s="410" t="n"/>
      <c r="I30" s="410" t="n"/>
      <c r="J30" s="410" t="n"/>
      <c r="K30" s="411" t="n"/>
      <c r="L30" s="412" t="n"/>
      <c r="M30" s="413" t="n"/>
      <c r="N30" s="414" t="n"/>
      <c r="O30" s="414" t="n"/>
      <c r="P30" s="414" t="n"/>
      <c r="Q30" s="415" t="n"/>
      <c r="R30" s="416" t="n"/>
      <c r="S30" s="417" t="n"/>
      <c r="T30" s="410" t="n"/>
      <c r="U30" s="410" t="n"/>
      <c r="V30" s="410" t="n"/>
      <c r="W30" s="411" t="n"/>
      <c r="X30" s="418" t="n"/>
    </row>
    <row r="31" ht="15" customHeight="1" s="362">
      <c r="B31" s="27" t="n"/>
      <c r="C31" s="11" t="n"/>
      <c r="D31" s="11" t="n"/>
      <c r="E31" s="11" t="n"/>
      <c r="F31" s="278" t="n"/>
      <c r="G31" s="409" t="n"/>
      <c r="H31" s="410" t="n"/>
      <c r="I31" s="410" t="n"/>
      <c r="J31" s="410" t="n"/>
      <c r="K31" s="411" t="n"/>
      <c r="L31" s="412" t="n"/>
      <c r="M31" s="413" t="n"/>
      <c r="N31" s="414" t="n"/>
      <c r="O31" s="414" t="n"/>
      <c r="P31" s="414" t="n"/>
      <c r="Q31" s="415" t="n"/>
      <c r="R31" s="416" t="n"/>
      <c r="S31" s="417" t="n"/>
      <c r="T31" s="410" t="n"/>
      <c r="U31" s="410" t="n"/>
      <c r="V31" s="410" t="n"/>
      <c r="W31" s="411" t="n"/>
      <c r="X31" s="418" t="n"/>
    </row>
    <row r="32" ht="15" customHeight="1" s="362">
      <c r="B32" s="27" t="n"/>
      <c r="C32" s="11" t="n"/>
      <c r="D32" s="11" t="n"/>
      <c r="E32" s="11" t="n"/>
      <c r="F32" s="278" t="n"/>
      <c r="G32" s="409" t="n"/>
      <c r="H32" s="410" t="n"/>
      <c r="I32" s="410" t="n"/>
      <c r="J32" s="410" t="n"/>
      <c r="K32" s="411" t="n"/>
      <c r="L32" s="412" t="n"/>
      <c r="M32" s="413" t="n"/>
      <c r="N32" s="414" t="n"/>
      <c r="O32" s="414" t="n"/>
      <c r="P32" s="414" t="n"/>
      <c r="Q32" s="415" t="n"/>
      <c r="R32" s="416" t="n"/>
      <c r="S32" s="417" t="n"/>
      <c r="T32" s="410" t="n"/>
      <c r="U32" s="410" t="n"/>
      <c r="V32" s="410" t="n"/>
      <c r="W32" s="411" t="n"/>
      <c r="X32" s="418" t="n"/>
    </row>
    <row r="33" ht="15" customHeight="1" s="362">
      <c r="B33" s="27" t="n"/>
      <c r="C33" s="11" t="n"/>
      <c r="D33" s="11" t="n"/>
      <c r="E33" s="11" t="n"/>
      <c r="F33" s="278" t="n"/>
      <c r="G33" s="409" t="n"/>
      <c r="H33" s="410" t="n"/>
      <c r="I33" s="410" t="n"/>
      <c r="J33" s="410" t="n"/>
      <c r="K33" s="411" t="n"/>
      <c r="L33" s="412" t="n"/>
      <c r="M33" s="413" t="n"/>
      <c r="N33" s="414" t="n"/>
      <c r="O33" s="414" t="n"/>
      <c r="P33" s="414" t="n"/>
      <c r="Q33" s="415" t="n"/>
      <c r="R33" s="416" t="n"/>
      <c r="S33" s="417" t="n"/>
      <c r="T33" s="410" t="n"/>
      <c r="U33" s="410" t="n"/>
      <c r="V33" s="410" t="n"/>
      <c r="W33" s="411" t="n"/>
      <c r="X33" s="418" t="n"/>
    </row>
    <row r="34" ht="15" customHeight="1" s="362">
      <c r="B34" s="27" t="n"/>
      <c r="C34" s="11" t="n"/>
      <c r="D34" s="11" t="n"/>
      <c r="E34" s="11" t="n"/>
      <c r="F34" s="278" t="n"/>
      <c r="G34" s="409" t="n"/>
      <c r="H34" s="410" t="n"/>
      <c r="I34" s="410" t="n"/>
      <c r="J34" s="410" t="n"/>
      <c r="K34" s="411" t="n"/>
      <c r="L34" s="412" t="n"/>
      <c r="M34" s="413" t="n"/>
      <c r="N34" s="414" t="n"/>
      <c r="O34" s="414" t="n"/>
      <c r="P34" s="414" t="n"/>
      <c r="Q34" s="415" t="n"/>
      <c r="R34" s="416" t="n"/>
      <c r="S34" s="417" t="n"/>
      <c r="T34" s="410" t="n"/>
      <c r="U34" s="410" t="n"/>
      <c r="V34" s="410" t="n"/>
      <c r="W34" s="411" t="n"/>
      <c r="X34" s="418" t="n"/>
    </row>
    <row r="35" ht="15" customHeight="1" s="362">
      <c r="B35" s="27" t="n"/>
      <c r="C35" s="11" t="n"/>
      <c r="D35" s="11" t="n"/>
      <c r="E35" s="11" t="n"/>
      <c r="F35" s="278" t="n"/>
      <c r="G35" s="409" t="n"/>
      <c r="H35" s="410" t="n"/>
      <c r="I35" s="410" t="n"/>
      <c r="J35" s="410" t="n"/>
      <c r="K35" s="411" t="n"/>
      <c r="L35" s="412" t="n"/>
      <c r="M35" s="413" t="n"/>
      <c r="N35" s="414" t="n"/>
      <c r="O35" s="414" t="n"/>
      <c r="P35" s="414" t="n"/>
      <c r="Q35" s="415" t="n"/>
      <c r="R35" s="416" t="n"/>
      <c r="S35" s="417" t="n"/>
      <c r="T35" s="410" t="n"/>
      <c r="U35" s="410" t="n"/>
      <c r="V35" s="410" t="n"/>
      <c r="W35" s="411" t="n"/>
      <c r="X35" s="418" t="n"/>
    </row>
    <row r="36" ht="15" customHeight="1" s="362">
      <c r="B36" s="27" t="n"/>
      <c r="C36" s="11" t="n"/>
      <c r="D36" s="11" t="n"/>
      <c r="E36" s="11" t="n"/>
      <c r="F36" s="278" t="n"/>
      <c r="G36" s="409" t="n"/>
      <c r="H36" s="410" t="n"/>
      <c r="I36" s="410" t="n"/>
      <c r="J36" s="410" t="n"/>
      <c r="K36" s="411" t="n"/>
      <c r="L36" s="412" t="n"/>
      <c r="M36" s="413" t="n"/>
      <c r="N36" s="414" t="n"/>
      <c r="O36" s="414" t="n"/>
      <c r="P36" s="414" t="n"/>
      <c r="Q36" s="415" t="n"/>
      <c r="R36" s="416" t="n"/>
      <c r="S36" s="417" t="n"/>
      <c r="T36" s="410" t="n"/>
      <c r="U36" s="410" t="n"/>
      <c r="V36" s="410" t="n"/>
      <c r="W36" s="411" t="n"/>
      <c r="X36" s="418" t="n"/>
    </row>
    <row r="37" ht="15" customHeight="1" s="362">
      <c r="B37" s="27" t="n"/>
      <c r="C37" s="11" t="n"/>
      <c r="D37" s="11" t="n"/>
      <c r="E37" s="11" t="n"/>
      <c r="F37" s="278" t="n"/>
      <c r="G37" s="409" t="n"/>
      <c r="H37" s="410" t="n"/>
      <c r="I37" s="410" t="n"/>
      <c r="J37" s="410" t="n"/>
      <c r="K37" s="411" t="n"/>
      <c r="L37" s="412" t="n"/>
      <c r="M37" s="413" t="n"/>
      <c r="N37" s="414" t="n"/>
      <c r="O37" s="414" t="n"/>
      <c r="P37" s="414" t="n"/>
      <c r="Q37" s="415" t="n"/>
      <c r="R37" s="416" t="n"/>
      <c r="S37" s="417" t="n"/>
      <c r="T37" s="410" t="n"/>
      <c r="U37" s="410" t="n"/>
      <c r="V37" s="410" t="n"/>
      <c r="W37" s="411" t="n"/>
      <c r="X37" s="418" t="n"/>
    </row>
    <row r="38" ht="15" customHeight="1" s="362">
      <c r="B38" s="27" t="n"/>
      <c r="C38" s="11" t="n"/>
      <c r="D38" s="11" t="n"/>
      <c r="E38" s="11" t="n"/>
      <c r="F38" s="278" t="n"/>
      <c r="G38" s="409" t="n"/>
      <c r="H38" s="410" t="n"/>
      <c r="I38" s="410" t="n"/>
      <c r="J38" s="410" t="n"/>
      <c r="K38" s="411" t="n"/>
      <c r="L38" s="412" t="n"/>
      <c r="M38" s="413" t="n"/>
      <c r="N38" s="414" t="n"/>
      <c r="O38" s="414" t="n"/>
      <c r="P38" s="414" t="n"/>
      <c r="Q38" s="415" t="n"/>
      <c r="R38" s="416" t="n"/>
      <c r="S38" s="417" t="n"/>
      <c r="T38" s="410" t="n"/>
      <c r="U38" s="410" t="n"/>
      <c r="V38" s="410" t="n"/>
      <c r="W38" s="411" t="n"/>
      <c r="X38" s="418" t="n"/>
    </row>
    <row r="39" ht="15" customHeight="1" s="362">
      <c r="B39" s="27" t="n"/>
      <c r="C39" s="11" t="n"/>
      <c r="D39" s="11" t="n"/>
      <c r="E39" s="11" t="n"/>
      <c r="F39" s="278" t="n"/>
      <c r="G39" s="409" t="n"/>
      <c r="H39" s="410" t="n"/>
      <c r="I39" s="410" t="n"/>
      <c r="J39" s="410" t="n"/>
      <c r="K39" s="411" t="n"/>
      <c r="L39" s="412" t="n"/>
      <c r="M39" s="413" t="n"/>
      <c r="N39" s="414" t="n"/>
      <c r="O39" s="414" t="n"/>
      <c r="P39" s="414" t="n"/>
      <c r="Q39" s="415" t="n"/>
      <c r="R39" s="416" t="n"/>
      <c r="S39" s="417" t="n"/>
      <c r="T39" s="410" t="n"/>
      <c r="U39" s="410" t="n"/>
      <c r="V39" s="410" t="n"/>
      <c r="W39" s="411" t="n"/>
      <c r="X39" s="418" t="n"/>
    </row>
    <row r="40" ht="15" customHeight="1" s="362">
      <c r="B40" s="27" t="n"/>
      <c r="C40" s="11" t="n"/>
      <c r="D40" s="11" t="n"/>
      <c r="E40" s="11" t="n"/>
      <c r="F40" s="278" t="n"/>
      <c r="G40" s="409" t="n"/>
      <c r="H40" s="410" t="n"/>
      <c r="I40" s="410" t="n"/>
      <c r="J40" s="410" t="n"/>
      <c r="K40" s="411" t="n"/>
      <c r="L40" s="412" t="n"/>
      <c r="M40" s="413" t="n"/>
      <c r="N40" s="414" t="n"/>
      <c r="O40" s="414" t="n"/>
      <c r="P40" s="414" t="n"/>
      <c r="Q40" s="415" t="n"/>
      <c r="R40" s="416" t="n"/>
      <c r="S40" s="417" t="n"/>
      <c r="T40" s="410" t="n"/>
      <c r="U40" s="410" t="n"/>
      <c r="V40" s="410" t="n"/>
      <c r="W40" s="411" t="n"/>
      <c r="X40" s="418" t="n"/>
    </row>
    <row r="41" ht="15" customHeight="1" s="362">
      <c r="B41" s="27" t="n"/>
      <c r="C41" s="11" t="n"/>
      <c r="D41" s="11" t="n"/>
      <c r="E41" s="11" t="n"/>
      <c r="F41" s="278" t="n"/>
      <c r="G41" s="409" t="n"/>
      <c r="H41" s="410" t="n"/>
      <c r="I41" s="410" t="n"/>
      <c r="J41" s="410" t="n"/>
      <c r="K41" s="411" t="n"/>
      <c r="L41" s="412" t="n"/>
      <c r="M41" s="413" t="n"/>
      <c r="N41" s="414" t="n"/>
      <c r="O41" s="414" t="n"/>
      <c r="P41" s="414" t="n"/>
      <c r="Q41" s="415" t="n"/>
      <c r="R41" s="416" t="n"/>
      <c r="S41" s="417" t="n"/>
      <c r="T41" s="410" t="n"/>
      <c r="U41" s="410" t="n"/>
      <c r="V41" s="410" t="n"/>
      <c r="W41" s="411" t="n"/>
      <c r="X41" s="418" t="n"/>
    </row>
    <row r="42" ht="15" customHeight="1" s="362">
      <c r="B42" s="27" t="n"/>
      <c r="C42" s="11" t="n"/>
      <c r="D42" s="11" t="n"/>
      <c r="E42" s="11" t="n"/>
      <c r="F42" s="278" t="n"/>
      <c r="G42" s="409" t="n"/>
      <c r="H42" s="410" t="n"/>
      <c r="I42" s="410" t="n"/>
      <c r="J42" s="410" t="n"/>
      <c r="K42" s="411" t="n"/>
      <c r="L42" s="412" t="n"/>
      <c r="M42" s="413" t="n"/>
      <c r="N42" s="414" t="n"/>
      <c r="O42" s="414" t="n"/>
      <c r="P42" s="414" t="n"/>
      <c r="Q42" s="415" t="n"/>
      <c r="R42" s="416" t="n"/>
      <c r="S42" s="417" t="n"/>
      <c r="T42" s="410" t="n"/>
      <c r="U42" s="410" t="n"/>
      <c r="V42" s="410" t="n"/>
      <c r="W42" s="411" t="n"/>
      <c r="X42" s="418" t="n"/>
    </row>
    <row r="43" ht="15" customHeight="1" s="362">
      <c r="B43" s="27" t="n"/>
      <c r="C43" s="11" t="n"/>
      <c r="D43" s="11" t="n"/>
      <c r="E43" s="11" t="n"/>
      <c r="F43" s="278" t="n"/>
      <c r="G43" s="409" t="n"/>
      <c r="H43" s="410" t="n"/>
      <c r="I43" s="410" t="n"/>
      <c r="J43" s="410" t="n"/>
      <c r="K43" s="411" t="n"/>
      <c r="L43" s="412" t="n"/>
      <c r="M43" s="413" t="n"/>
      <c r="N43" s="414" t="n"/>
      <c r="O43" s="414" t="n"/>
      <c r="P43" s="414" t="n"/>
      <c r="Q43" s="415" t="n"/>
      <c r="R43" s="416" t="n"/>
      <c r="S43" s="417" t="n"/>
      <c r="T43" s="410" t="n"/>
      <c r="U43" s="410" t="n"/>
      <c r="V43" s="410" t="n"/>
      <c r="W43" s="411" t="n"/>
      <c r="X43" s="418" t="n"/>
    </row>
    <row r="44" ht="15" customHeight="1" s="362">
      <c r="B44" s="27" t="n"/>
      <c r="C44" s="11" t="n"/>
      <c r="D44" s="11" t="n"/>
      <c r="E44" s="11" t="n"/>
      <c r="F44" s="278" t="n"/>
      <c r="G44" s="409" t="n"/>
      <c r="H44" s="410" t="n"/>
      <c r="I44" s="410" t="n"/>
      <c r="J44" s="410" t="n"/>
      <c r="K44" s="411" t="n"/>
      <c r="L44" s="412" t="n"/>
      <c r="M44" s="413" t="n"/>
      <c r="N44" s="414" t="n"/>
      <c r="O44" s="414" t="n"/>
      <c r="P44" s="414" t="n"/>
      <c r="Q44" s="415" t="n"/>
      <c r="R44" s="416" t="n"/>
      <c r="S44" s="417" t="n"/>
      <c r="T44" s="410" t="n"/>
      <c r="U44" s="410" t="n"/>
      <c r="V44" s="410" t="n"/>
      <c r="W44" s="411" t="n"/>
      <c r="X44" s="418" t="n"/>
    </row>
    <row r="45" ht="15" customHeight="1" s="362">
      <c r="B45" s="27" t="n"/>
      <c r="C45" s="11" t="n"/>
      <c r="D45" s="11" t="n"/>
      <c r="E45" s="11" t="n"/>
      <c r="F45" s="278" t="n"/>
      <c r="G45" s="409" t="n"/>
      <c r="H45" s="410" t="n"/>
      <c r="I45" s="410" t="n"/>
      <c r="J45" s="410" t="n"/>
      <c r="K45" s="411" t="n"/>
      <c r="L45" s="412" t="n"/>
      <c r="M45" s="413" t="n"/>
      <c r="N45" s="414" t="n"/>
      <c r="O45" s="414" t="n"/>
      <c r="P45" s="414" t="n"/>
      <c r="Q45" s="415" t="n"/>
      <c r="R45" s="416" t="n"/>
      <c r="S45" s="417" t="n"/>
      <c r="T45" s="410" t="n"/>
      <c r="U45" s="410" t="n"/>
      <c r="V45" s="410" t="n"/>
      <c r="W45" s="411" t="n"/>
      <c r="X45" s="418" t="n"/>
    </row>
    <row r="46" ht="15" customHeight="1" s="362">
      <c r="B46" s="27" t="n"/>
      <c r="C46" s="11" t="n"/>
      <c r="D46" s="11" t="n"/>
      <c r="E46" s="11" t="n"/>
      <c r="F46" s="278" t="n"/>
      <c r="G46" s="409" t="n"/>
      <c r="H46" s="410" t="n"/>
      <c r="I46" s="410" t="n"/>
      <c r="J46" s="410" t="n"/>
      <c r="K46" s="411" t="n"/>
      <c r="L46" s="412" t="n"/>
      <c r="M46" s="413" t="n"/>
      <c r="N46" s="414" t="n"/>
      <c r="O46" s="414" t="n"/>
      <c r="P46" s="414" t="n"/>
      <c r="Q46" s="415" t="n"/>
      <c r="R46" s="416" t="n"/>
      <c r="S46" s="417" t="n"/>
      <c r="T46" s="410" t="n"/>
      <c r="U46" s="410" t="n"/>
      <c r="V46" s="410" t="n"/>
      <c r="W46" s="411" t="n"/>
      <c r="X46" s="418" t="n"/>
    </row>
    <row r="47" ht="15" customHeight="1" s="362">
      <c r="B47" s="27" t="n"/>
      <c r="C47" s="11" t="n"/>
      <c r="D47" s="11" t="n"/>
      <c r="E47" s="11" t="n"/>
      <c r="F47" s="278" t="n"/>
      <c r="G47" s="409" t="n"/>
      <c r="H47" s="410" t="n"/>
      <c r="I47" s="410" t="n"/>
      <c r="J47" s="410" t="n"/>
      <c r="K47" s="411" t="n"/>
      <c r="L47" s="412" t="n"/>
      <c r="M47" s="413" t="n"/>
      <c r="N47" s="414" t="n"/>
      <c r="O47" s="414" t="n"/>
      <c r="P47" s="414" t="n"/>
      <c r="Q47" s="415" t="n"/>
      <c r="R47" s="416" t="n"/>
      <c r="S47" s="417" t="n"/>
      <c r="T47" s="410" t="n"/>
      <c r="U47" s="410" t="n"/>
      <c r="V47" s="410" t="n"/>
      <c r="W47" s="411" t="n"/>
      <c r="X47" s="418" t="n"/>
    </row>
    <row r="48" ht="15" customHeight="1" s="362">
      <c r="B48" s="27" t="n"/>
      <c r="C48" s="11" t="n"/>
      <c r="D48" s="11" t="n"/>
      <c r="E48" s="11" t="n"/>
      <c r="F48" s="278" t="n"/>
      <c r="G48" s="409" t="n"/>
      <c r="H48" s="410" t="n"/>
      <c r="I48" s="410" t="n"/>
      <c r="J48" s="410" t="n"/>
      <c r="K48" s="411" t="n"/>
      <c r="L48" s="412" t="n"/>
      <c r="M48" s="413" t="n"/>
      <c r="N48" s="414" t="n"/>
      <c r="O48" s="414" t="n"/>
      <c r="P48" s="414" t="n"/>
      <c r="Q48" s="415" t="n"/>
      <c r="R48" s="416" t="n"/>
      <c r="S48" s="417" t="n"/>
      <c r="T48" s="410" t="n"/>
      <c r="U48" s="410" t="n"/>
      <c r="V48" s="410" t="n"/>
      <c r="W48" s="411" t="n"/>
      <c r="X48" s="418" t="n"/>
    </row>
    <row r="49" ht="15" customHeight="1" s="362">
      <c r="B49" s="27" t="n"/>
      <c r="C49" s="11" t="n"/>
      <c r="D49" s="11" t="n"/>
      <c r="E49" s="11" t="n"/>
      <c r="F49" s="278" t="n"/>
      <c r="G49" s="409" t="n"/>
      <c r="H49" s="410" t="n"/>
      <c r="I49" s="410" t="n"/>
      <c r="J49" s="410" t="n"/>
      <c r="K49" s="411" t="n"/>
      <c r="L49" s="412" t="n"/>
      <c r="M49" s="413" t="n"/>
      <c r="N49" s="414" t="n"/>
      <c r="O49" s="414" t="n"/>
      <c r="P49" s="414" t="n"/>
      <c r="Q49" s="415" t="n"/>
      <c r="R49" s="416" t="n"/>
      <c r="S49" s="417" t="n"/>
      <c r="T49" s="410" t="n"/>
      <c r="U49" s="410" t="n"/>
      <c r="V49" s="410" t="n"/>
      <c r="W49" s="411" t="n"/>
      <c r="X49" s="418" t="n"/>
    </row>
    <row r="50" ht="15" customHeight="1" s="362">
      <c r="B50" s="27" t="n"/>
      <c r="C50" s="11" t="n"/>
      <c r="D50" s="11" t="n"/>
      <c r="E50" s="11" t="n"/>
      <c r="F50" s="278" t="n"/>
      <c r="G50" s="409" t="n"/>
      <c r="H50" s="410" t="n"/>
      <c r="I50" s="410" t="n"/>
      <c r="J50" s="410" t="n"/>
      <c r="K50" s="411" t="n"/>
      <c r="L50" s="412" t="n"/>
      <c r="M50" s="413" t="n"/>
      <c r="N50" s="414" t="n"/>
      <c r="O50" s="414" t="n"/>
      <c r="P50" s="414" t="n"/>
      <c r="Q50" s="415" t="n"/>
      <c r="R50" s="416" t="n"/>
      <c r="S50" s="417" t="n"/>
      <c r="T50" s="410" t="n"/>
      <c r="U50" s="410" t="n"/>
      <c r="V50" s="410" t="n"/>
      <c r="W50" s="411" t="n"/>
      <c r="X50" s="418" t="n"/>
    </row>
    <row r="51" ht="15" customHeight="1" s="362">
      <c r="B51" s="27" t="n"/>
      <c r="C51" s="11" t="n"/>
      <c r="D51" s="11" t="n"/>
      <c r="E51" s="11" t="n"/>
      <c r="F51" s="278" t="n"/>
      <c r="G51" s="409" t="n"/>
      <c r="H51" s="410" t="n"/>
      <c r="I51" s="410" t="n"/>
      <c r="J51" s="410" t="n"/>
      <c r="K51" s="411" t="n"/>
      <c r="L51" s="412" t="n"/>
      <c r="M51" s="413" t="n"/>
      <c r="N51" s="414" t="n"/>
      <c r="O51" s="414" t="n"/>
      <c r="P51" s="414" t="n"/>
      <c r="Q51" s="415" t="n"/>
      <c r="R51" s="416" t="n"/>
      <c r="S51" s="417" t="n"/>
      <c r="T51" s="410" t="n"/>
      <c r="U51" s="410" t="n"/>
      <c r="V51" s="410" t="n"/>
      <c r="W51" s="411" t="n"/>
      <c r="X51" s="418" t="n"/>
    </row>
    <row r="52" ht="15" customHeight="1" s="362">
      <c r="B52" s="27" t="n"/>
      <c r="C52" s="11" t="n"/>
      <c r="D52" s="11" t="n"/>
      <c r="E52" s="11" t="n"/>
      <c r="F52" s="278" t="n"/>
      <c r="G52" s="409" t="n"/>
      <c r="H52" s="410" t="n"/>
      <c r="I52" s="410" t="n"/>
      <c r="J52" s="410" t="n"/>
      <c r="K52" s="411" t="n"/>
      <c r="L52" s="412" t="n"/>
      <c r="M52" s="413" t="n"/>
      <c r="N52" s="414" t="n"/>
      <c r="O52" s="414" t="n"/>
      <c r="P52" s="414" t="n"/>
      <c r="Q52" s="415" t="n"/>
      <c r="R52" s="416" t="n"/>
      <c r="S52" s="417" t="n"/>
      <c r="T52" s="410" t="n"/>
      <c r="U52" s="410" t="n"/>
      <c r="V52" s="410" t="n"/>
      <c r="W52" s="411" t="n"/>
      <c r="X52" s="418" t="n"/>
    </row>
    <row r="53" ht="15" customHeight="1" s="362">
      <c r="B53" s="27" t="n"/>
      <c r="C53" s="11" t="n"/>
      <c r="D53" s="11" t="n"/>
      <c r="E53" s="11" t="n"/>
      <c r="F53" s="278" t="n"/>
      <c r="G53" s="409" t="n"/>
      <c r="H53" s="410" t="n"/>
      <c r="I53" s="410" t="n"/>
      <c r="J53" s="410" t="n"/>
      <c r="K53" s="411" t="n"/>
      <c r="L53" s="412" t="n"/>
      <c r="M53" s="413" t="n"/>
      <c r="N53" s="414" t="n"/>
      <c r="O53" s="414" t="n"/>
      <c r="P53" s="414" t="n"/>
      <c r="Q53" s="415" t="n"/>
      <c r="R53" s="416" t="n"/>
      <c r="S53" s="417" t="n"/>
      <c r="T53" s="410" t="n"/>
      <c r="U53" s="410" t="n"/>
      <c r="V53" s="410" t="n"/>
      <c r="W53" s="411" t="n"/>
      <c r="X53" s="418" t="n"/>
    </row>
    <row r="54" ht="15" customHeight="1" s="362">
      <c r="B54" s="27" t="n"/>
      <c r="C54" s="11" t="n"/>
      <c r="D54" s="11" t="n"/>
      <c r="E54" s="11" t="n"/>
      <c r="F54" s="278" t="n"/>
      <c r="G54" s="409" t="n"/>
      <c r="H54" s="410" t="n"/>
      <c r="I54" s="410" t="n"/>
      <c r="J54" s="410" t="n"/>
      <c r="K54" s="411" t="n"/>
      <c r="L54" s="412" t="n"/>
      <c r="M54" s="413" t="n"/>
      <c r="N54" s="414" t="n"/>
      <c r="O54" s="414" t="n"/>
      <c r="P54" s="414" t="n"/>
      <c r="Q54" s="415" t="n"/>
      <c r="R54" s="416" t="n"/>
      <c r="S54" s="417" t="n"/>
      <c r="T54" s="410" t="n"/>
      <c r="U54" s="410" t="n"/>
      <c r="V54" s="410" t="n"/>
      <c r="W54" s="411" t="n"/>
      <c r="X54" s="418" t="n"/>
    </row>
    <row r="55" ht="15" customHeight="1" s="362">
      <c r="B55" s="27" t="n"/>
      <c r="C55" s="11" t="n"/>
      <c r="D55" s="11" t="n"/>
      <c r="E55" s="11" t="n"/>
      <c r="F55" s="278" t="n"/>
      <c r="G55" s="409" t="n"/>
      <c r="H55" s="410" t="n"/>
      <c r="I55" s="410" t="n"/>
      <c r="J55" s="410" t="n"/>
      <c r="K55" s="411" t="n"/>
      <c r="L55" s="412" t="n"/>
      <c r="M55" s="413" t="n"/>
      <c r="N55" s="414" t="n"/>
      <c r="O55" s="414" t="n"/>
      <c r="P55" s="414" t="n"/>
      <c r="Q55" s="415" t="n"/>
      <c r="R55" s="416" t="n"/>
      <c r="S55" s="417" t="n"/>
      <c r="T55" s="410" t="n"/>
      <c r="U55" s="410" t="n"/>
      <c r="V55" s="410" t="n"/>
      <c r="W55" s="411" t="n"/>
      <c r="X55" s="418" t="n"/>
    </row>
    <row r="56" ht="15" customHeight="1" s="362">
      <c r="B56" s="27" t="n"/>
      <c r="C56" s="11" t="n"/>
      <c r="D56" s="11" t="n"/>
      <c r="E56" s="11" t="n"/>
      <c r="F56" s="278" t="n"/>
      <c r="G56" s="409" t="n"/>
      <c r="H56" s="410" t="n"/>
      <c r="I56" s="410" t="n"/>
      <c r="J56" s="410" t="n"/>
      <c r="K56" s="411" t="n"/>
      <c r="L56" s="412" t="n"/>
      <c r="M56" s="413" t="n"/>
      <c r="N56" s="414" t="n"/>
      <c r="O56" s="414" t="n"/>
      <c r="P56" s="414" t="n"/>
      <c r="Q56" s="415" t="n"/>
      <c r="R56" s="416" t="n"/>
      <c r="S56" s="417" t="n"/>
      <c r="T56" s="410" t="n"/>
      <c r="U56" s="410" t="n"/>
      <c r="V56" s="410" t="n"/>
      <c r="W56" s="411" t="n"/>
      <c r="X56" s="418" t="n"/>
    </row>
    <row r="57" ht="15" customHeight="1" s="362">
      <c r="B57" s="27" t="n"/>
      <c r="C57" s="11" t="n"/>
      <c r="D57" s="11" t="n"/>
      <c r="E57" s="11" t="n"/>
      <c r="F57" s="278" t="n"/>
      <c r="G57" s="409" t="n"/>
      <c r="H57" s="410" t="n"/>
      <c r="I57" s="410" t="n"/>
      <c r="J57" s="410" t="n"/>
      <c r="K57" s="411" t="n"/>
      <c r="L57" s="412" t="n"/>
      <c r="M57" s="413" t="n"/>
      <c r="N57" s="414" t="n"/>
      <c r="O57" s="414" t="n"/>
      <c r="P57" s="414" t="n"/>
      <c r="Q57" s="415" t="n"/>
      <c r="R57" s="416" t="n"/>
      <c r="S57" s="417" t="n"/>
      <c r="T57" s="410" t="n"/>
      <c r="U57" s="410" t="n"/>
      <c r="V57" s="410" t="n"/>
      <c r="W57" s="411" t="n"/>
      <c r="X57" s="418" t="n"/>
    </row>
    <row r="58" ht="15" customHeight="1" s="362">
      <c r="B58" s="27" t="n"/>
      <c r="C58" s="11" t="n"/>
      <c r="D58" s="11" t="n"/>
      <c r="E58" s="11" t="n"/>
      <c r="F58" s="278" t="n"/>
      <c r="G58" s="409" t="n"/>
      <c r="H58" s="410" t="n"/>
      <c r="I58" s="410" t="n"/>
      <c r="J58" s="410" t="n"/>
      <c r="K58" s="411" t="n"/>
      <c r="L58" s="412" t="n"/>
      <c r="M58" s="413" t="n"/>
      <c r="N58" s="414" t="n"/>
      <c r="O58" s="414" t="n"/>
      <c r="P58" s="414" t="n"/>
      <c r="Q58" s="415" t="n"/>
      <c r="R58" s="416" t="n"/>
      <c r="S58" s="417" t="n"/>
      <c r="T58" s="410" t="n"/>
      <c r="U58" s="410" t="n"/>
      <c r="V58" s="410" t="n"/>
      <c r="W58" s="411" t="n"/>
      <c r="X58" s="418" t="n"/>
    </row>
    <row r="59" ht="15" customHeight="1" s="362">
      <c r="B59" s="27" t="n"/>
      <c r="C59" s="11" t="n"/>
      <c r="D59" s="11" t="n"/>
      <c r="E59" s="11" t="n"/>
      <c r="F59" s="278" t="n"/>
      <c r="G59" s="409" t="n"/>
      <c r="H59" s="410" t="n"/>
      <c r="I59" s="410" t="n"/>
      <c r="J59" s="410" t="n"/>
      <c r="K59" s="411" t="n"/>
      <c r="L59" s="412" t="n"/>
      <c r="M59" s="413" t="n"/>
      <c r="N59" s="414" t="n"/>
      <c r="O59" s="414" t="n"/>
      <c r="P59" s="414" t="n"/>
      <c r="Q59" s="415" t="n"/>
      <c r="R59" s="416" t="n"/>
      <c r="S59" s="417" t="n"/>
      <c r="T59" s="410" t="n"/>
      <c r="U59" s="410" t="n"/>
      <c r="V59" s="410" t="n"/>
      <c r="W59" s="411" t="n"/>
      <c r="X59" s="418" t="n"/>
    </row>
    <row r="60" ht="15" customHeight="1" s="362">
      <c r="B60" s="27" t="n"/>
      <c r="C60" s="11" t="n"/>
      <c r="D60" s="11" t="n"/>
      <c r="E60" s="11" t="n"/>
      <c r="F60" s="278" t="n"/>
      <c r="G60" s="409" t="n"/>
      <c r="H60" s="410" t="n"/>
      <c r="I60" s="410" t="n"/>
      <c r="J60" s="410" t="n"/>
      <c r="K60" s="411" t="n"/>
      <c r="L60" s="412" t="n"/>
      <c r="M60" s="413" t="n"/>
      <c r="N60" s="414" t="n"/>
      <c r="O60" s="414" t="n"/>
      <c r="P60" s="414" t="n"/>
      <c r="Q60" s="415" t="n"/>
      <c r="R60" s="416" t="n"/>
      <c r="S60" s="417" t="n"/>
      <c r="T60" s="410" t="n"/>
      <c r="U60" s="410" t="n"/>
      <c r="V60" s="410" t="n"/>
      <c r="W60" s="411" t="n"/>
      <c r="X60" s="418" t="n"/>
    </row>
    <row r="61" ht="15" customHeight="1" s="362">
      <c r="B61" s="27" t="n"/>
      <c r="C61" s="11" t="n"/>
      <c r="D61" s="11" t="n"/>
      <c r="E61" s="11" t="n"/>
      <c r="F61" s="278" t="n"/>
      <c r="G61" s="409" t="n"/>
      <c r="H61" s="410" t="n"/>
      <c r="I61" s="410" t="n"/>
      <c r="J61" s="410" t="n"/>
      <c r="K61" s="411" t="n"/>
      <c r="L61" s="412" t="n"/>
      <c r="M61" s="413" t="n"/>
      <c r="N61" s="414" t="n"/>
      <c r="O61" s="414" t="n"/>
      <c r="P61" s="414" t="n"/>
      <c r="Q61" s="415" t="n"/>
      <c r="R61" s="416" t="n"/>
      <c r="S61" s="417" t="n"/>
      <c r="T61" s="410" t="n"/>
      <c r="U61" s="410" t="n"/>
      <c r="V61" s="410" t="n"/>
      <c r="W61" s="411" t="n"/>
      <c r="X61" s="418" t="n"/>
    </row>
    <row r="62" ht="15" customHeight="1" s="362">
      <c r="B62" s="27" t="n"/>
      <c r="C62" s="11" t="n"/>
      <c r="D62" s="11" t="n"/>
      <c r="E62" s="11" t="n"/>
      <c r="F62" s="278" t="n"/>
      <c r="G62" s="409" t="n"/>
      <c r="H62" s="410" t="n"/>
      <c r="I62" s="410" t="n"/>
      <c r="J62" s="410" t="n"/>
      <c r="K62" s="411" t="n"/>
      <c r="L62" s="412" t="n"/>
      <c r="M62" s="413" t="n"/>
      <c r="N62" s="414" t="n"/>
      <c r="O62" s="414" t="n"/>
      <c r="P62" s="414" t="n"/>
      <c r="Q62" s="415" t="n"/>
      <c r="R62" s="416" t="n"/>
      <c r="S62" s="417" t="n"/>
      <c r="T62" s="410" t="n"/>
      <c r="U62" s="410" t="n"/>
      <c r="V62" s="410" t="n"/>
      <c r="W62" s="411" t="n"/>
      <c r="X62" s="418" t="n"/>
    </row>
    <row r="63" ht="15" customHeight="1" s="362">
      <c r="B63" s="27" t="n"/>
      <c r="C63" s="11" t="n"/>
      <c r="D63" s="11" t="n"/>
      <c r="E63" s="11" t="n"/>
      <c r="F63" s="278" t="n"/>
      <c r="G63" s="409" t="n"/>
      <c r="H63" s="410" t="n"/>
      <c r="I63" s="410" t="n"/>
      <c r="J63" s="410" t="n"/>
      <c r="K63" s="411" t="n"/>
      <c r="L63" s="412" t="n"/>
      <c r="M63" s="413" t="n"/>
      <c r="N63" s="414" t="n"/>
      <c r="O63" s="414" t="n"/>
      <c r="P63" s="414" t="n"/>
      <c r="Q63" s="415" t="n"/>
      <c r="R63" s="416" t="n"/>
      <c r="S63" s="417" t="n"/>
      <c r="T63" s="410" t="n"/>
      <c r="U63" s="410" t="n"/>
      <c r="V63" s="410" t="n"/>
      <c r="W63" s="411" t="n"/>
      <c r="X63" s="418" t="n"/>
    </row>
    <row r="64" ht="15" customHeight="1" s="362">
      <c r="B64" s="27" t="n"/>
      <c r="C64" s="11" t="n"/>
      <c r="D64" s="11" t="n"/>
      <c r="E64" s="11" t="n"/>
      <c r="F64" s="278" t="n"/>
      <c r="G64" s="409" t="n"/>
      <c r="H64" s="410" t="n"/>
      <c r="I64" s="410" t="n"/>
      <c r="J64" s="410" t="n"/>
      <c r="K64" s="411" t="n"/>
      <c r="L64" s="412" t="n"/>
      <c r="M64" s="413" t="n"/>
      <c r="N64" s="414" t="n"/>
      <c r="O64" s="414" t="n"/>
      <c r="P64" s="414" t="n"/>
      <c r="Q64" s="415" t="n"/>
      <c r="R64" s="416" t="n"/>
      <c r="S64" s="417" t="n"/>
      <c r="T64" s="410" t="n"/>
      <c r="U64" s="410" t="n"/>
      <c r="V64" s="410" t="n"/>
      <c r="W64" s="411" t="n"/>
      <c r="X64" s="418" t="n"/>
    </row>
    <row r="65" ht="15" customHeight="1" s="362">
      <c r="B65" s="27" t="n"/>
      <c r="C65" s="11" t="n"/>
      <c r="D65" s="11" t="n"/>
      <c r="E65" s="11" t="n"/>
      <c r="F65" s="278" t="n"/>
      <c r="G65" s="409" t="n"/>
      <c r="H65" s="410" t="n"/>
      <c r="I65" s="410" t="n"/>
      <c r="J65" s="410" t="n"/>
      <c r="K65" s="411" t="n"/>
      <c r="L65" s="412" t="n"/>
      <c r="M65" s="413" t="n"/>
      <c r="N65" s="414" t="n"/>
      <c r="O65" s="414" t="n"/>
      <c r="P65" s="414" t="n"/>
      <c r="Q65" s="415" t="n"/>
      <c r="R65" s="416" t="n"/>
      <c r="S65" s="417" t="n"/>
      <c r="T65" s="410" t="n"/>
      <c r="U65" s="410" t="n"/>
      <c r="V65" s="410" t="n"/>
      <c r="W65" s="411" t="n"/>
      <c r="X65" s="418" t="n"/>
    </row>
    <row r="66" ht="15" customHeight="1" s="362">
      <c r="B66" s="27" t="n"/>
      <c r="C66" s="11" t="n"/>
      <c r="D66" s="11" t="n"/>
      <c r="E66" s="11" t="n"/>
      <c r="F66" s="278" t="n"/>
      <c r="G66" s="409" t="n"/>
      <c r="H66" s="410" t="n"/>
      <c r="I66" s="410" t="n"/>
      <c r="J66" s="410" t="n"/>
      <c r="K66" s="411" t="n"/>
      <c r="L66" s="412" t="n"/>
      <c r="M66" s="413" t="n"/>
      <c r="N66" s="414" t="n"/>
      <c r="O66" s="414" t="n"/>
      <c r="P66" s="414" t="n"/>
      <c r="Q66" s="415" t="n"/>
      <c r="R66" s="416" t="n"/>
      <c r="S66" s="417" t="n"/>
      <c r="T66" s="410" t="n"/>
      <c r="U66" s="410" t="n"/>
      <c r="V66" s="410" t="n"/>
      <c r="W66" s="411" t="n"/>
      <c r="X66" s="418" t="n"/>
    </row>
    <row r="67" ht="15" customHeight="1" s="362">
      <c r="B67" s="27" t="n"/>
      <c r="C67" s="11" t="n"/>
      <c r="D67" s="11" t="n"/>
      <c r="E67" s="11" t="n"/>
      <c r="F67" s="278" t="n"/>
      <c r="G67" s="409" t="n"/>
      <c r="H67" s="410" t="n"/>
      <c r="I67" s="410" t="n"/>
      <c r="J67" s="410" t="n"/>
      <c r="K67" s="411" t="n"/>
      <c r="L67" s="412" t="n"/>
      <c r="M67" s="413" t="n"/>
      <c r="N67" s="414" t="n"/>
      <c r="O67" s="414" t="n"/>
      <c r="P67" s="414" t="n"/>
      <c r="Q67" s="415" t="n"/>
      <c r="R67" s="416" t="n"/>
      <c r="S67" s="417" t="n"/>
      <c r="T67" s="410" t="n"/>
      <c r="U67" s="410" t="n"/>
      <c r="V67" s="410" t="n"/>
      <c r="W67" s="411" t="n"/>
      <c r="X67" s="418" t="n"/>
    </row>
    <row r="68" ht="15" customHeight="1" s="362">
      <c r="B68" s="27" t="n"/>
      <c r="C68" s="11" t="n"/>
      <c r="D68" s="11" t="n"/>
      <c r="E68" s="11" t="n"/>
      <c r="F68" s="278" t="n"/>
      <c r="G68" s="409" t="n"/>
      <c r="H68" s="410" t="n"/>
      <c r="I68" s="410" t="n"/>
      <c r="J68" s="410" t="n"/>
      <c r="K68" s="411" t="n"/>
      <c r="L68" s="412" t="n"/>
      <c r="M68" s="413" t="n"/>
      <c r="N68" s="414" t="n"/>
      <c r="O68" s="414" t="n"/>
      <c r="P68" s="414" t="n"/>
      <c r="Q68" s="415" t="n"/>
      <c r="R68" s="416" t="n"/>
      <c r="S68" s="417" t="n"/>
      <c r="T68" s="410" t="n"/>
      <c r="U68" s="410" t="n"/>
      <c r="V68" s="410" t="n"/>
      <c r="W68" s="411" t="n"/>
      <c r="X68" s="418" t="n"/>
    </row>
    <row r="69" ht="15" customHeight="1" s="362">
      <c r="B69" s="27" t="n"/>
      <c r="C69" s="11" t="n"/>
      <c r="D69" s="11" t="n"/>
      <c r="E69" s="11" t="n"/>
      <c r="F69" s="278" t="n"/>
      <c r="G69" s="409" t="n"/>
      <c r="H69" s="410" t="n"/>
      <c r="I69" s="410" t="n"/>
      <c r="J69" s="410" t="n"/>
      <c r="K69" s="411" t="n"/>
      <c r="L69" s="412" t="n"/>
      <c r="M69" s="413" t="n"/>
      <c r="N69" s="414" t="n"/>
      <c r="O69" s="414" t="n"/>
      <c r="P69" s="414" t="n"/>
      <c r="Q69" s="415" t="n"/>
      <c r="R69" s="416" t="n"/>
      <c r="S69" s="417" t="n"/>
      <c r="T69" s="410" t="n"/>
      <c r="U69" s="410" t="n"/>
      <c r="V69" s="410" t="n"/>
      <c r="W69" s="411" t="n"/>
      <c r="X69" s="418" t="n"/>
    </row>
    <row r="70" ht="15" customHeight="1" s="362">
      <c r="B70" s="27" t="n"/>
      <c r="C70" s="11" t="n"/>
      <c r="D70" s="11" t="n"/>
      <c r="E70" s="11" t="n"/>
      <c r="F70" s="126" t="n"/>
      <c r="G70" s="409" t="n"/>
      <c r="H70" s="410" t="n"/>
      <c r="I70" s="410" t="n"/>
      <c r="J70" s="410" t="n"/>
      <c r="K70" s="411" t="n"/>
      <c r="L70" s="412" t="n"/>
      <c r="M70" s="413" t="n"/>
      <c r="N70" s="414" t="n"/>
      <c r="O70" s="414" t="n"/>
      <c r="P70" s="414" t="n"/>
      <c r="Q70" s="415" t="n"/>
      <c r="R70" s="416" t="n"/>
      <c r="S70" s="417" t="n"/>
      <c r="T70" s="410" t="n"/>
      <c r="U70" s="410" t="n"/>
      <c r="V70" s="410" t="n"/>
      <c r="W70" s="411" t="n"/>
      <c r="X70" s="418" t="n"/>
    </row>
    <row r="71" ht="15" customHeight="1" s="362">
      <c r="B71" s="27" t="n"/>
      <c r="C71" s="11" t="n"/>
      <c r="D71" s="11" t="n"/>
      <c r="E71" s="11" t="n"/>
      <c r="F71" s="126" t="n"/>
      <c r="G71" s="409" t="n"/>
      <c r="H71" s="410" t="n"/>
      <c r="I71" s="410" t="n"/>
      <c r="J71" s="410" t="n"/>
      <c r="K71" s="411" t="n"/>
      <c r="L71" s="412" t="n"/>
      <c r="M71" s="413" t="n"/>
      <c r="N71" s="414" t="n"/>
      <c r="O71" s="414" t="n"/>
      <c r="P71" s="414" t="n"/>
      <c r="Q71" s="415" t="n"/>
      <c r="R71" s="416" t="n"/>
      <c r="S71" s="417" t="n"/>
      <c r="T71" s="410" t="n"/>
      <c r="U71" s="410" t="n"/>
      <c r="V71" s="410" t="n"/>
      <c r="W71" s="411" t="n"/>
      <c r="X71" s="418" t="n"/>
    </row>
    <row r="72" ht="15" customHeight="1" s="362">
      <c r="B72" s="27" t="n"/>
      <c r="C72" s="11" t="n"/>
      <c r="D72" s="11" t="n"/>
      <c r="E72" s="11" t="n"/>
      <c r="F72" s="126" t="n"/>
      <c r="G72" s="409" t="n"/>
      <c r="H72" s="410" t="n"/>
      <c r="I72" s="410" t="n"/>
      <c r="J72" s="410" t="n"/>
      <c r="K72" s="411" t="n"/>
      <c r="L72" s="412" t="n"/>
      <c r="M72" s="413" t="n"/>
      <c r="N72" s="414" t="n"/>
      <c r="O72" s="414" t="n"/>
      <c r="P72" s="414" t="n"/>
      <c r="Q72" s="415" t="n"/>
      <c r="R72" s="416" t="n"/>
      <c r="S72" s="417" t="n"/>
      <c r="T72" s="410" t="n"/>
      <c r="U72" s="410" t="n"/>
      <c r="V72" s="410" t="n"/>
      <c r="W72" s="411" t="n"/>
      <c r="X72" s="418" t="n"/>
    </row>
    <row r="73" ht="15" customHeight="1" s="362">
      <c r="B73" s="27" t="n"/>
      <c r="C73" s="11" t="n"/>
      <c r="D73" s="11" t="n"/>
      <c r="E73" s="11" t="n"/>
      <c r="F73" s="126" t="n"/>
      <c r="G73" s="409" t="n"/>
      <c r="H73" s="410" t="n"/>
      <c r="I73" s="410" t="n"/>
      <c r="J73" s="410" t="n"/>
      <c r="K73" s="411" t="n"/>
      <c r="L73" s="412" t="n"/>
      <c r="M73" s="413" t="n"/>
      <c r="N73" s="414" t="n"/>
      <c r="O73" s="414" t="n"/>
      <c r="P73" s="414" t="n"/>
      <c r="Q73" s="415" t="n"/>
      <c r="R73" s="416" t="n"/>
      <c r="S73" s="417" t="n"/>
      <c r="T73" s="410" t="n"/>
      <c r="U73" s="410" t="n"/>
      <c r="V73" s="410" t="n"/>
      <c r="W73" s="411" t="n"/>
      <c r="X73" s="418" t="n"/>
    </row>
    <row r="74" ht="15" customHeight="1" s="362">
      <c r="B74" s="27" t="n"/>
      <c r="C74" s="11" t="n"/>
      <c r="D74" s="11" t="n"/>
      <c r="E74" s="11" t="n"/>
      <c r="F74" s="126" t="n"/>
      <c r="G74" s="409" t="n"/>
      <c r="H74" s="410" t="n"/>
      <c r="I74" s="410" t="n"/>
      <c r="J74" s="410" t="n"/>
      <c r="K74" s="411" t="n"/>
      <c r="L74" s="412" t="n"/>
      <c r="M74" s="413" t="n"/>
      <c r="N74" s="414" t="n"/>
      <c r="O74" s="414" t="n"/>
      <c r="P74" s="414" t="n"/>
      <c r="Q74" s="415" t="n"/>
      <c r="R74" s="416" t="n"/>
      <c r="S74" s="417" t="n"/>
      <c r="T74" s="410" t="n"/>
      <c r="U74" s="410" t="n"/>
      <c r="V74" s="410" t="n"/>
      <c r="W74" s="411" t="n"/>
      <c r="X74" s="418" t="n"/>
    </row>
    <row r="75" ht="15" customHeight="1" s="362">
      <c r="B75" s="27" t="n"/>
      <c r="C75" s="11" t="n"/>
      <c r="D75" s="11" t="n"/>
      <c r="E75" s="11" t="n"/>
      <c r="F75" s="126" t="n"/>
      <c r="G75" s="409" t="n"/>
      <c r="H75" s="410" t="n"/>
      <c r="I75" s="410" t="n"/>
      <c r="J75" s="410" t="n"/>
      <c r="K75" s="411" t="n"/>
      <c r="L75" s="412" t="n"/>
      <c r="M75" s="413" t="n"/>
      <c r="N75" s="414" t="n"/>
      <c r="O75" s="414" t="n"/>
      <c r="P75" s="414" t="n"/>
      <c r="Q75" s="415" t="n"/>
      <c r="R75" s="416" t="n"/>
      <c r="S75" s="417" t="n"/>
      <c r="T75" s="410" t="n"/>
      <c r="U75" s="410" t="n"/>
      <c r="V75" s="410" t="n"/>
      <c r="W75" s="411" t="n"/>
      <c r="X75" s="418" t="n"/>
    </row>
    <row r="76" ht="15" customHeight="1" s="362">
      <c r="B76" s="27" t="n"/>
      <c r="C76" s="11" t="n"/>
      <c r="D76" s="11" t="n"/>
      <c r="E76" s="11" t="n"/>
      <c r="F76" s="128" t="n"/>
      <c r="G76" s="409" t="n"/>
      <c r="H76" s="410" t="n"/>
      <c r="I76" s="410" t="n"/>
      <c r="J76" s="410" t="n"/>
      <c r="K76" s="411" t="n"/>
      <c r="L76" s="412" t="n"/>
      <c r="M76" s="413" t="n"/>
      <c r="N76" s="414" t="n"/>
      <c r="O76" s="414" t="n"/>
      <c r="P76" s="414" t="n"/>
      <c r="Q76" s="415" t="n"/>
      <c r="R76" s="416" t="n"/>
      <c r="S76" s="417" t="n"/>
      <c r="T76" s="410" t="n"/>
      <c r="U76" s="410" t="n"/>
      <c r="V76" s="410" t="n"/>
      <c r="W76" s="411" t="n"/>
      <c r="X76" s="418" t="n"/>
    </row>
    <row r="77" ht="15" customHeight="1" s="362">
      <c r="B77" s="27" t="n"/>
      <c r="C77" s="11" t="n"/>
      <c r="D77" s="11" t="n"/>
      <c r="E77" s="11" t="n"/>
      <c r="F77" s="126" t="n"/>
      <c r="G77" s="409" t="n"/>
      <c r="H77" s="410" t="n"/>
      <c r="I77" s="410" t="n"/>
      <c r="J77" s="410" t="n"/>
      <c r="K77" s="411" t="n"/>
      <c r="L77" s="412" t="n"/>
      <c r="M77" s="413" t="n"/>
      <c r="N77" s="414" t="n"/>
      <c r="O77" s="414" t="n"/>
      <c r="P77" s="414" t="n"/>
      <c r="Q77" s="415" t="n"/>
      <c r="R77" s="416" t="n"/>
      <c r="S77" s="417" t="n"/>
      <c r="T77" s="410" t="n"/>
      <c r="U77" s="410" t="n"/>
      <c r="V77" s="410" t="n"/>
      <c r="W77" s="411" t="n"/>
      <c r="X77" s="418" t="n"/>
    </row>
    <row r="78" ht="15" customHeight="1" s="362">
      <c r="B78" s="27" t="n"/>
      <c r="C78" s="11" t="n"/>
      <c r="D78" s="11" t="n"/>
      <c r="E78" s="11" t="n"/>
      <c r="F78" s="126" t="n"/>
      <c r="G78" s="409" t="n"/>
      <c r="H78" s="410" t="n"/>
      <c r="I78" s="410" t="n"/>
      <c r="J78" s="410" t="n"/>
      <c r="K78" s="411" t="n"/>
      <c r="L78" s="412" t="n"/>
      <c r="M78" s="413" t="n"/>
      <c r="N78" s="414" t="n"/>
      <c r="O78" s="414" t="n"/>
      <c r="P78" s="414" t="n"/>
      <c r="Q78" s="415" t="n"/>
      <c r="R78" s="416" t="n"/>
      <c r="S78" s="417" t="n"/>
      <c r="T78" s="410" t="n"/>
      <c r="U78" s="410" t="n"/>
      <c r="V78" s="410" t="n"/>
      <c r="W78" s="411" t="n"/>
      <c r="X78" s="418" t="n"/>
    </row>
    <row r="79" ht="15" customHeight="1" s="362">
      <c r="B79" s="27" t="n"/>
      <c r="C79" s="11" t="n"/>
      <c r="D79" s="11" t="n"/>
      <c r="E79" s="11" t="n"/>
      <c r="F79" s="128" t="n"/>
      <c r="G79" s="409" t="n"/>
      <c r="H79" s="410" t="n"/>
      <c r="I79" s="410" t="n"/>
      <c r="J79" s="410" t="n"/>
      <c r="K79" s="411" t="n"/>
      <c r="L79" s="412" t="n"/>
      <c r="M79" s="413" t="n"/>
      <c r="N79" s="414" t="n"/>
      <c r="O79" s="414" t="n"/>
      <c r="P79" s="414" t="n"/>
      <c r="Q79" s="415" t="n"/>
      <c r="R79" s="416" t="n"/>
      <c r="S79" s="417" t="n"/>
      <c r="T79" s="410" t="n"/>
      <c r="U79" s="410" t="n"/>
      <c r="V79" s="410" t="n"/>
      <c r="W79" s="411" t="n"/>
      <c r="X79" s="418" t="n"/>
    </row>
    <row r="80" ht="15" customHeight="1" s="362">
      <c r="B80" s="27" t="n"/>
      <c r="C80" s="11" t="n"/>
      <c r="D80" s="11" t="n"/>
      <c r="E80" s="11" t="n"/>
      <c r="F80" s="126" t="n"/>
      <c r="G80" s="409" t="n"/>
      <c r="H80" s="410" t="n"/>
      <c r="I80" s="410" t="n"/>
      <c r="J80" s="410" t="n"/>
      <c r="K80" s="411" t="n"/>
      <c r="L80" s="412" t="n"/>
      <c r="M80" s="413" t="n"/>
      <c r="N80" s="414" t="n"/>
      <c r="O80" s="414" t="n"/>
      <c r="P80" s="414" t="n"/>
      <c r="Q80" s="415" t="n"/>
      <c r="R80" s="416" t="n"/>
      <c r="S80" s="417" t="n"/>
      <c r="T80" s="410" t="n"/>
      <c r="U80" s="410" t="n"/>
      <c r="V80" s="410" t="n"/>
      <c r="W80" s="411" t="n"/>
      <c r="X80" s="418" t="n"/>
    </row>
    <row r="81" ht="15" customHeight="1" s="362">
      <c r="B81" s="27" t="n"/>
      <c r="C81" s="11" t="n"/>
      <c r="D81" s="11" t="n"/>
      <c r="E81" s="11" t="n"/>
      <c r="F81" s="126" t="n"/>
      <c r="G81" s="409" t="n"/>
      <c r="H81" s="410" t="n"/>
      <c r="I81" s="410" t="n"/>
      <c r="J81" s="410" t="n"/>
      <c r="K81" s="411" t="n"/>
      <c r="L81" s="412" t="n"/>
      <c r="M81" s="413" t="n"/>
      <c r="N81" s="414" t="n"/>
      <c r="O81" s="414" t="n"/>
      <c r="P81" s="414" t="n"/>
      <c r="Q81" s="415" t="n"/>
      <c r="R81" s="416" t="n"/>
      <c r="S81" s="417" t="n"/>
      <c r="T81" s="410" t="n"/>
      <c r="U81" s="410" t="n"/>
      <c r="V81" s="410" t="n"/>
      <c r="W81" s="411" t="n"/>
      <c r="X81" s="418" t="n"/>
    </row>
    <row r="82" ht="15" customHeight="1" s="362">
      <c r="B82" s="27" t="n"/>
      <c r="C82" s="11" t="n"/>
      <c r="D82" s="11" t="n"/>
      <c r="E82" s="11" t="n"/>
      <c r="F82" s="126" t="n"/>
      <c r="G82" s="409" t="n"/>
      <c r="H82" s="410" t="n"/>
      <c r="I82" s="410" t="n"/>
      <c r="J82" s="410" t="n"/>
      <c r="K82" s="411" t="n"/>
      <c r="L82" s="412" t="n"/>
      <c r="M82" s="413" t="n"/>
      <c r="N82" s="414" t="n"/>
      <c r="O82" s="414" t="n"/>
      <c r="P82" s="414" t="n"/>
      <c r="Q82" s="415" t="n"/>
      <c r="R82" s="416" t="n"/>
      <c r="S82" s="417" t="n"/>
      <c r="T82" s="410" t="n"/>
      <c r="U82" s="410" t="n"/>
      <c r="V82" s="410" t="n"/>
      <c r="W82" s="411" t="n"/>
      <c r="X82" s="418" t="n"/>
    </row>
    <row r="83" ht="15" customHeight="1" s="362">
      <c r="B83" s="27" t="n"/>
      <c r="C83" s="11" t="n"/>
      <c r="D83" s="11" t="n"/>
      <c r="E83" s="11" t="n"/>
      <c r="F83" s="126" t="n"/>
      <c r="G83" s="409" t="n"/>
      <c r="H83" s="410" t="n"/>
      <c r="I83" s="410" t="n"/>
      <c r="J83" s="410" t="n"/>
      <c r="K83" s="411" t="n"/>
      <c r="L83" s="412" t="n"/>
      <c r="M83" s="413" t="n"/>
      <c r="N83" s="414" t="n"/>
      <c r="O83" s="414" t="n"/>
      <c r="P83" s="414" t="n"/>
      <c r="Q83" s="415" t="n"/>
      <c r="R83" s="416" t="n"/>
      <c r="S83" s="417" t="n"/>
      <c r="T83" s="410" t="n"/>
      <c r="U83" s="410" t="n"/>
      <c r="V83" s="410" t="n"/>
      <c r="W83" s="411" t="n"/>
      <c r="X83" s="418" t="n"/>
    </row>
    <row r="84" ht="15" customHeight="1" s="362">
      <c r="B84" s="27" t="n"/>
      <c r="C84" s="11" t="n"/>
      <c r="D84" s="11" t="n"/>
      <c r="E84" s="11" t="n"/>
      <c r="F84" s="126" t="n"/>
      <c r="G84" s="409" t="n"/>
      <c r="H84" s="410" t="n"/>
      <c r="I84" s="410" t="n"/>
      <c r="J84" s="410" t="n"/>
      <c r="K84" s="411" t="n"/>
      <c r="L84" s="412" t="n"/>
      <c r="M84" s="413" t="n"/>
      <c r="N84" s="414" t="n"/>
      <c r="O84" s="414" t="n"/>
      <c r="P84" s="414" t="n"/>
      <c r="Q84" s="415" t="n"/>
      <c r="R84" s="416" t="n"/>
      <c r="S84" s="417" t="n"/>
      <c r="T84" s="410" t="n"/>
      <c r="U84" s="410" t="n"/>
      <c r="V84" s="410" t="n"/>
      <c r="W84" s="411" t="n"/>
      <c r="X84" s="418" t="n"/>
    </row>
    <row r="85" ht="15" customHeight="1" s="362">
      <c r="B85" s="27" t="n"/>
      <c r="C85" s="11" t="n"/>
      <c r="D85" s="11" t="n"/>
      <c r="E85" s="11" t="n"/>
      <c r="F85" s="126" t="n"/>
      <c r="G85" s="409" t="n"/>
      <c r="H85" s="410" t="n"/>
      <c r="I85" s="410" t="n"/>
      <c r="J85" s="410" t="n"/>
      <c r="K85" s="411" t="n"/>
      <c r="L85" s="412" t="n"/>
      <c r="M85" s="413" t="n"/>
      <c r="N85" s="414" t="n"/>
      <c r="O85" s="414" t="n"/>
      <c r="P85" s="414" t="n"/>
      <c r="Q85" s="415" t="n"/>
      <c r="R85" s="416" t="n"/>
      <c r="S85" s="417" t="n"/>
      <c r="T85" s="410" t="n"/>
      <c r="U85" s="410" t="n"/>
      <c r="V85" s="410" t="n"/>
      <c r="W85" s="411" t="n"/>
      <c r="X85" s="418" t="n"/>
    </row>
    <row r="86" ht="15" customHeight="1" s="362">
      <c r="B86" s="27" t="n"/>
      <c r="C86" s="11" t="n"/>
      <c r="D86" s="11" t="n"/>
      <c r="E86" s="11" t="n"/>
      <c r="F86" s="126" t="n"/>
      <c r="G86" s="409" t="n"/>
      <c r="H86" s="410" t="n"/>
      <c r="I86" s="410" t="n"/>
      <c r="J86" s="410" t="n"/>
      <c r="K86" s="411" t="n"/>
      <c r="L86" s="412" t="n"/>
      <c r="M86" s="413" t="n"/>
      <c r="N86" s="414" t="n"/>
      <c r="O86" s="414" t="n"/>
      <c r="P86" s="414" t="n"/>
      <c r="Q86" s="415" t="n"/>
      <c r="R86" s="416" t="n"/>
      <c r="S86" s="417" t="n"/>
      <c r="T86" s="410" t="n"/>
      <c r="U86" s="410" t="n"/>
      <c r="V86" s="410" t="n"/>
      <c r="W86" s="411" t="n"/>
      <c r="X86" s="418" t="n"/>
    </row>
    <row r="87" ht="15" customHeight="1" s="362">
      <c r="B87" s="439" t="n"/>
      <c r="C87" s="373" t="n"/>
      <c r="D87" s="373" t="n"/>
      <c r="E87" s="373" t="n"/>
      <c r="F87" s="440" t="n"/>
      <c r="G87" s="441" t="n"/>
      <c r="H87" s="442" t="n"/>
      <c r="I87" s="442" t="n"/>
      <c r="J87" s="442" t="n"/>
      <c r="K87" s="443" t="n"/>
      <c r="L87" s="444" t="n"/>
      <c r="M87" s="445" t="n"/>
      <c r="N87" s="442" t="n"/>
      <c r="O87" s="442" t="n"/>
      <c r="P87" s="442" t="n"/>
      <c r="Q87" s="443" t="n"/>
      <c r="R87" s="444" t="n"/>
      <c r="S87" s="445" t="n"/>
      <c r="T87" s="442" t="n"/>
      <c r="U87" s="442" t="n"/>
      <c r="V87" s="442" t="n"/>
      <c r="W87" s="443" t="n"/>
      <c r="X87" s="446" t="n"/>
    </row>
    <row r="88" ht="15" customHeight="1" s="362">
      <c r="B88" s="439" t="n"/>
      <c r="C88" s="373" t="n"/>
      <c r="D88" s="373" t="n"/>
      <c r="E88" s="373" t="n"/>
      <c r="F88" s="440" t="n"/>
      <c r="G88" s="441" t="n"/>
      <c r="H88" s="442" t="n"/>
      <c r="I88" s="442" t="n"/>
      <c r="J88" s="442" t="n"/>
      <c r="K88" s="443" t="n"/>
      <c r="L88" s="444" t="n"/>
      <c r="M88" s="445" t="n"/>
      <c r="N88" s="442" t="n"/>
      <c r="O88" s="442" t="n"/>
      <c r="P88" s="442" t="n"/>
      <c r="Q88" s="443" t="n"/>
      <c r="R88" s="444" t="n"/>
      <c r="S88" s="445" t="n"/>
      <c r="T88" s="442" t="n"/>
      <c r="U88" s="442" t="n"/>
      <c r="V88" s="442" t="n"/>
      <c r="W88" s="443" t="n"/>
      <c r="X88" s="446" t="n"/>
    </row>
    <row r="89" ht="15" customHeight="1" s="362">
      <c r="B89" s="28" t="n"/>
      <c r="C89" s="12" t="n"/>
      <c r="D89" s="12" t="n"/>
      <c r="E89" s="12" t="n"/>
      <c r="F89" s="30" t="n"/>
      <c r="G89" s="447" t="n"/>
      <c r="H89" s="448" t="n"/>
      <c r="I89" s="448" t="n"/>
      <c r="J89" s="448" t="n"/>
      <c r="K89" s="449" t="n"/>
      <c r="L89" s="450" t="n"/>
      <c r="M89" s="451" t="n"/>
      <c r="N89" s="448" t="n"/>
      <c r="O89" s="448" t="n"/>
      <c r="P89" s="448" t="n"/>
      <c r="Q89" s="449" t="n"/>
      <c r="R89" s="450" t="n"/>
      <c r="S89" s="451" t="n"/>
      <c r="T89" s="448" t="n"/>
      <c r="U89" s="448" t="n"/>
      <c r="V89" s="448" t="n"/>
      <c r="W89" s="449" t="n"/>
      <c r="X89" s="452" t="n"/>
    </row>
  </sheetData>
  <mergeCells count="6">
    <mergeCell ref="B87:F87"/>
    <mergeCell ref="M4:R4"/>
    <mergeCell ref="S4:X4"/>
    <mergeCell ref="G4:L4"/>
    <mergeCell ref="B3:X3"/>
    <mergeCell ref="B88:F88"/>
  </mergeCells>
  <conditionalFormatting sqref="D6:F86">
    <cfRule type="expression" priority="6" dxfId="19">
      <formula>SUM($M6:$Q6)&gt;0</formula>
    </cfRule>
  </conditionalFormatting>
  <conditionalFormatting sqref="G6:L86 Q6:X30 Q74:X86 R31:X73">
    <cfRule type="expression" priority="5" dxfId="189">
      <formula>SUM($M6:$Q6)&gt;0</formula>
    </cfRule>
  </conditionalFormatting>
  <conditionalFormatting sqref="Q31:Q73">
    <cfRule type="expression" priority="4" dxfId="189">
      <formula>SUM($M31:$Q31)&gt;0</formula>
    </cfRule>
  </conditionalFormatting>
  <conditionalFormatting sqref="M86:P86">
    <cfRule type="expression" priority="3" dxfId="189">
      <formula>SUM($M86:$Q86)&gt;0</formula>
    </cfRule>
  </conditionalFormatting>
  <conditionalFormatting sqref="M84:P85">
    <cfRule type="expression" priority="2" dxfId="189">
      <formula>SUM($M84:$Q84)&gt;0</formula>
    </cfRule>
  </conditionalFormatting>
  <conditionalFormatting sqref="M6:P83">
    <cfRule type="expression" priority="1" dxfId="189">
      <formula>SUM($M6:$Q6)&gt;0</formula>
    </cfRule>
  </conditionalFormatting>
  <pageMargins left="0.7086614173228347" right="0.7086614173228347" top="0.7480314960629921" bottom="0.7480314960629921" header="0.3149606299212598" footer="0.3149606299212598"/>
  <pageSetup orientation="landscape" paperSize="9" scale="150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Y74"/>
  <sheetViews>
    <sheetView showGridLines="0" zoomScaleNormal="100" workbookViewId="0">
      <pane ySplit="5" topLeftCell="A6" activePane="bottomLeft" state="frozen"/>
      <selection activeCell="G19" sqref="G19"/>
      <selection pane="bottomLeft" activeCell="I27" sqref="I27"/>
    </sheetView>
  </sheetViews>
  <sheetFormatPr baseColWidth="8" defaultRowHeight="16.5"/>
  <cols>
    <col width="3.375" customWidth="1" style="362" min="1" max="1"/>
    <col width="10.875" customWidth="1" style="362" min="3" max="3"/>
    <col width="13.625" customWidth="1" style="362" min="4" max="4"/>
    <col width="13.125" customWidth="1" style="362" min="5" max="5"/>
    <col width="28.375" bestFit="1" customWidth="1" style="362" min="6" max="6"/>
    <col outlineLevel="1" width="9" customWidth="1" style="362" min="7" max="11"/>
    <col width="9" customWidth="1" style="362" min="12" max="12"/>
    <col outlineLevel="1" width="9" customWidth="1" style="362" min="19" max="23"/>
  </cols>
  <sheetData>
    <row r="1" ht="22.5" customHeight="1" s="362">
      <c r="B1" s="113" t="inlineStr">
        <is>
          <t>3. 장비현황</t>
        </is>
      </c>
      <c r="C1" s="71" t="n"/>
      <c r="D1" s="71" t="n"/>
      <c r="E1" s="71" t="n"/>
      <c r="F1" s="71" t="n"/>
      <c r="G1" s="71" t="n"/>
      <c r="H1" s="71" t="n"/>
      <c r="I1" s="71" t="n"/>
      <c r="J1" s="71" t="n"/>
      <c r="K1" s="71" t="n"/>
      <c r="L1" s="71" t="n"/>
      <c r="M1" s="71" t="n"/>
      <c r="N1" s="71" t="n"/>
      <c r="O1" s="71" t="n"/>
      <c r="P1" s="71" t="n"/>
      <c r="Q1" s="71" t="n"/>
      <c r="R1" s="71" t="n"/>
      <c r="S1" s="71" t="n"/>
      <c r="T1" s="71" t="n"/>
      <c r="U1" s="71" t="n"/>
      <c r="V1" s="71" t="n"/>
      <c r="W1" s="71" t="n"/>
      <c r="X1" s="71" t="n"/>
    </row>
    <row r="2" ht="17.25" customHeight="1" s="362" thickBot="1">
      <c r="B2" s="114">
        <f>CONCATENATE("금일 작업 현황 :",TEXT(Cover!E15," YYYY-MM-DD, aaaa"))</f>
        <v/>
      </c>
      <c r="C2" s="72" t="n"/>
      <c r="D2" s="72" t="n"/>
      <c r="E2" s="72" t="n"/>
      <c r="F2" s="72" t="n"/>
      <c r="G2" s="72" t="n"/>
      <c r="H2" s="72" t="n"/>
      <c r="I2" s="72" t="n"/>
      <c r="J2" s="72" t="n"/>
      <c r="K2" s="72" t="n"/>
      <c r="L2" s="72" t="n"/>
      <c r="M2" s="72" t="n"/>
      <c r="N2" s="72" t="n"/>
      <c r="O2" s="72" t="n"/>
      <c r="P2" s="72" t="n"/>
      <c r="Q2" s="72" t="n"/>
      <c r="R2" s="72" t="n"/>
      <c r="S2" s="72" t="n"/>
      <c r="T2" s="72" t="n"/>
      <c r="U2" s="72" t="n"/>
      <c r="V2" s="72" t="n"/>
      <c r="W2" s="72" t="n"/>
      <c r="X2" s="72" t="n"/>
    </row>
    <row r="3">
      <c r="B3" s="335">
        <f>CONCATENATE("장비 투입인원 현황 ",TEXT(Cover!E15,"yyyy/mm/dd"))</f>
        <v/>
      </c>
      <c r="C3" s="405" t="n"/>
      <c r="D3" s="405" t="n"/>
      <c r="E3" s="405" t="n"/>
      <c r="F3" s="405" t="n"/>
      <c r="G3" s="405" t="n"/>
      <c r="H3" s="405" t="n"/>
      <c r="I3" s="405" t="n"/>
      <c r="J3" s="405" t="n"/>
      <c r="K3" s="405" t="n"/>
      <c r="L3" s="405" t="n"/>
      <c r="M3" s="405" t="n"/>
      <c r="N3" s="405" t="n"/>
      <c r="O3" s="405" t="n"/>
      <c r="P3" s="405" t="n"/>
      <c r="Q3" s="405" t="n"/>
      <c r="R3" s="405" t="n"/>
      <c r="S3" s="405" t="n"/>
      <c r="T3" s="405" t="n"/>
      <c r="U3" s="405" t="n"/>
      <c r="V3" s="405" t="n"/>
      <c r="W3" s="405" t="n"/>
      <c r="X3" s="406" t="n"/>
    </row>
    <row r="4">
      <c r="B4" s="183" t="inlineStr">
        <is>
          <t>공종</t>
        </is>
      </c>
      <c r="C4" s="339" t="inlineStr">
        <is>
          <t>BP사</t>
        </is>
      </c>
      <c r="D4" s="339" t="inlineStr">
        <is>
          <t>장비 명</t>
        </is>
      </c>
      <c r="E4" s="407" t="n"/>
      <c r="F4" s="408" t="n"/>
      <c r="G4" s="339">
        <f>CONCATENATE("전일누계 [", TEXT(Cover!E15-1, "mm/dd"), "]")</f>
        <v/>
      </c>
      <c r="H4" s="407" t="n"/>
      <c r="I4" s="407" t="n"/>
      <c r="J4" s="407" t="n"/>
      <c r="K4" s="407" t="n"/>
      <c r="L4" s="408" t="n"/>
      <c r="M4" s="339">
        <f>CONCATENATE("금일투입 [", TEXT(Cover!E15, "mm/dd"), "]")</f>
        <v/>
      </c>
      <c r="N4" s="407" t="n"/>
      <c r="O4" s="407" t="n"/>
      <c r="P4" s="407" t="n"/>
      <c r="Q4" s="407" t="n"/>
      <c r="R4" s="408" t="n"/>
      <c r="S4" s="338">
        <f>CONCATENATE("금일누계 [", TEXT(Cover!E15, "mm/dd"), "]")</f>
        <v/>
      </c>
      <c r="T4" s="407" t="n"/>
      <c r="U4" s="407" t="n"/>
      <c r="V4" s="407" t="n"/>
      <c r="W4" s="407" t="n"/>
      <c r="X4" s="408" t="n"/>
    </row>
    <row r="5">
      <c r="B5" s="24" t="inlineStr">
        <is>
          <t>Dis</t>
        </is>
      </c>
      <c r="C5" s="16" t="inlineStr">
        <is>
          <t>협력업체</t>
        </is>
      </c>
      <c r="D5" s="17" t="inlineStr">
        <is>
          <t>대분류</t>
        </is>
      </c>
      <c r="E5" s="23" t="inlineStr">
        <is>
          <t>중분류</t>
        </is>
      </c>
      <c r="F5" s="17" t="inlineStr">
        <is>
          <t>규 격</t>
        </is>
      </c>
      <c r="G5" s="21" t="inlineStr">
        <is>
          <t>조출</t>
        </is>
      </c>
      <c r="H5" s="18" t="inlineStr">
        <is>
          <t>주간</t>
        </is>
      </c>
      <c r="I5" s="18" t="inlineStr">
        <is>
          <t>연장</t>
        </is>
      </c>
      <c r="J5" s="18" t="inlineStr">
        <is>
          <t>야간</t>
        </is>
      </c>
      <c r="K5" s="19" t="inlineStr">
        <is>
          <t>철야</t>
        </is>
      </c>
      <c r="L5" s="120" t="inlineStr">
        <is>
          <t>Cum. T</t>
        </is>
      </c>
      <c r="M5" s="119" t="inlineStr">
        <is>
          <t>조출</t>
        </is>
      </c>
      <c r="N5" s="18" t="inlineStr">
        <is>
          <t>주간</t>
        </is>
      </c>
      <c r="O5" s="18" t="inlineStr">
        <is>
          <t>연장</t>
        </is>
      </c>
      <c r="P5" s="18" t="inlineStr">
        <is>
          <t>야간</t>
        </is>
      </c>
      <c r="Q5" s="19" t="inlineStr">
        <is>
          <t>철야</t>
        </is>
      </c>
      <c r="R5" s="120" t="inlineStr">
        <is>
          <t>Incr. T</t>
        </is>
      </c>
      <c r="S5" s="119" t="inlineStr">
        <is>
          <t>조출</t>
        </is>
      </c>
      <c r="T5" s="18" t="inlineStr">
        <is>
          <t>주간</t>
        </is>
      </c>
      <c r="U5" s="18" t="inlineStr">
        <is>
          <t>연장</t>
        </is>
      </c>
      <c r="V5" s="18" t="inlineStr">
        <is>
          <t>야간</t>
        </is>
      </c>
      <c r="W5" s="19" t="inlineStr">
        <is>
          <t>철야</t>
        </is>
      </c>
      <c r="X5" s="120" t="inlineStr">
        <is>
          <t>Cum. T</t>
        </is>
      </c>
    </row>
    <row r="6">
      <c r="B6" s="26" t="inlineStr">
        <is>
          <t>건축</t>
        </is>
      </c>
      <c r="C6" s="453" t="inlineStr">
        <is>
          <t>PH_X-098</t>
        </is>
      </c>
      <c r="D6" s="277" t="inlineStr">
        <is>
          <t>굴삭운반기계류</t>
        </is>
      </c>
      <c r="E6" s="279" t="inlineStr">
        <is>
          <t>Back Hoe</t>
        </is>
      </c>
      <c r="F6" s="277" t="inlineStr">
        <is>
          <t>2㎥ 미만</t>
        </is>
      </c>
      <c r="G6" s="454" t="n"/>
      <c r="H6" s="455" t="n"/>
      <c r="I6" s="455" t="n"/>
      <c r="J6" s="455" t="n"/>
      <c r="K6" s="456" t="n"/>
      <c r="L6" s="457" t="n"/>
      <c r="M6" s="458" t="n"/>
      <c r="N6" s="459" t="n"/>
      <c r="O6" s="459" t="n"/>
      <c r="P6" s="459" t="n"/>
      <c r="Q6" s="460" t="n"/>
      <c r="R6" s="461" t="n"/>
      <c r="S6" s="462" t="n"/>
      <c r="T6" s="455" t="n"/>
      <c r="U6" s="455" t="n"/>
      <c r="V6" s="455" t="n"/>
      <c r="W6" s="456" t="n"/>
      <c r="X6" s="457" t="n"/>
      <c r="Y6" t="inlineStr">
        <is>
          <t>O</t>
        </is>
      </c>
    </row>
    <row r="7">
      <c r="B7" s="27" t="n"/>
      <c r="C7" s="11" t="inlineStr">
        <is>
          <t>글로벌유명</t>
        </is>
      </c>
      <c r="D7" s="278" t="n"/>
      <c r="E7" s="280" t="n"/>
      <c r="F7" s="278" t="n"/>
      <c r="G7" s="409" t="n"/>
      <c r="H7" s="410" t="n"/>
      <c r="I7" s="410" t="n"/>
      <c r="J7" s="410" t="n"/>
      <c r="K7" s="411" t="n"/>
      <c r="L7" s="412" t="n"/>
      <c r="M7" s="413" t="n"/>
      <c r="N7" s="414" t="n"/>
      <c r="O7" s="414" t="n"/>
      <c r="P7" s="414" t="n"/>
      <c r="Q7" s="415" t="n"/>
      <c r="R7" s="463" t="n"/>
      <c r="S7" s="417" t="n"/>
      <c r="T7" s="410" t="n"/>
      <c r="U7" s="410" t="n"/>
      <c r="V7" s="410" t="n"/>
      <c r="W7" s="411" t="n"/>
      <c r="X7" s="412" t="n"/>
    </row>
    <row r="8">
      <c r="B8" s="26" t="n"/>
      <c r="C8" s="453" t="n"/>
      <c r="D8" s="277" t="inlineStr">
        <is>
          <t>굴삭운반기계류</t>
        </is>
      </c>
      <c r="E8" s="279" t="inlineStr">
        <is>
          <t>Back Hoe</t>
        </is>
      </c>
      <c r="F8" s="277" t="inlineStr">
        <is>
          <t>2㎥ 이상~5㎥ 미만</t>
        </is>
      </c>
      <c r="G8" s="454" t="n"/>
      <c r="H8" s="455" t="n"/>
      <c r="I8" s="455" t="n"/>
      <c r="J8" s="455" t="n"/>
      <c r="K8" s="456" t="n"/>
      <c r="L8" s="457" t="n"/>
      <c r="M8" s="458" t="n"/>
      <c r="N8" s="459" t="n"/>
      <c r="O8" s="459" t="n"/>
      <c r="P8" s="459" t="n"/>
      <c r="Q8" s="460" t="n"/>
      <c r="R8" s="461" t="n"/>
      <c r="S8" s="462" t="n"/>
      <c r="T8" s="455" t="n"/>
      <c r="U8" s="455" t="n"/>
      <c r="V8" s="455" t="n"/>
      <c r="W8" s="456" t="n"/>
      <c r="X8" s="457" t="n"/>
      <c r="Y8" t="inlineStr">
        <is>
          <t>O</t>
        </is>
      </c>
    </row>
    <row r="9">
      <c r="B9" s="26" t="n"/>
      <c r="C9" s="453" t="n"/>
      <c r="D9" s="277" t="inlineStr">
        <is>
          <t>고소작업장치류</t>
        </is>
      </c>
      <c r="E9" s="279" t="inlineStr">
        <is>
          <t>고소작업대</t>
        </is>
      </c>
      <c r="F9" s="277" t="inlineStr">
        <is>
          <t>굴절형 15M 이상</t>
        </is>
      </c>
      <c r="G9" s="454" t="n"/>
      <c r="H9" s="455" t="n">
        <v>52</v>
      </c>
      <c r="I9" s="455" t="n"/>
      <c r="J9" s="455" t="n"/>
      <c r="K9" s="456" t="n">
        <v>273</v>
      </c>
      <c r="L9" s="457" t="n">
        <v>325</v>
      </c>
      <c r="M9" s="458" t="n"/>
      <c r="N9" s="459" t="n"/>
      <c r="O9" s="459" t="n"/>
      <c r="P9" s="459" t="n"/>
      <c r="Q9" s="460" t="n">
        <v>2</v>
      </c>
      <c r="R9" s="461" t="n">
        <v>2</v>
      </c>
      <c r="S9" s="462" t="n"/>
      <c r="T9" s="455" t="n">
        <v>52</v>
      </c>
      <c r="U9" s="455" t="n"/>
      <c r="V9" s="455" t="n"/>
      <c r="W9" s="456" t="n">
        <v>275</v>
      </c>
      <c r="X9" s="457" t="n">
        <v>327</v>
      </c>
      <c r="Y9" t="inlineStr">
        <is>
          <t>O</t>
        </is>
      </c>
    </row>
    <row r="10">
      <c r="B10" s="26" t="n"/>
      <c r="C10" s="453" t="n"/>
      <c r="D10" s="277" t="inlineStr">
        <is>
          <t>고소작업장치류</t>
        </is>
      </c>
      <c r="E10" s="279" t="inlineStr">
        <is>
          <t>고소작업대</t>
        </is>
      </c>
      <c r="F10" s="277" t="inlineStr">
        <is>
          <t>수직형 7M ~ 12M</t>
        </is>
      </c>
      <c r="G10" s="454" t="n"/>
      <c r="H10" s="455" t="n">
        <v>282</v>
      </c>
      <c r="I10" s="455" t="n"/>
      <c r="J10" s="455" t="n"/>
      <c r="K10" s="456" t="n">
        <v>186</v>
      </c>
      <c r="L10" s="457" t="n">
        <v>468</v>
      </c>
      <c r="M10" s="458" t="n"/>
      <c r="N10" s="459" t="n"/>
      <c r="O10" s="459" t="n"/>
      <c r="P10" s="459" t="n"/>
      <c r="Q10" s="460" t="n">
        <v>3</v>
      </c>
      <c r="R10" s="461" t="n">
        <v>3</v>
      </c>
      <c r="S10" s="462" t="n"/>
      <c r="T10" s="455" t="n">
        <v>282</v>
      </c>
      <c r="U10" s="455" t="n"/>
      <c r="V10" s="455" t="n"/>
      <c r="W10" s="456" t="n">
        <v>189</v>
      </c>
      <c r="X10" s="457" t="n">
        <v>471</v>
      </c>
      <c r="Y10" t="inlineStr">
        <is>
          <t>O</t>
        </is>
      </c>
    </row>
    <row r="11">
      <c r="B11" s="26" t="n"/>
      <c r="C11" s="453" t="n"/>
      <c r="D11" s="277" t="inlineStr">
        <is>
          <t>고소작업장치류</t>
        </is>
      </c>
      <c r="E11" s="279" t="inlineStr">
        <is>
          <t>고소작업대</t>
        </is>
      </c>
      <c r="F11" s="277" t="inlineStr">
        <is>
          <t>수직형 12M이상</t>
        </is>
      </c>
      <c r="G11" s="454" t="n"/>
      <c r="H11" s="455" t="n">
        <v>10</v>
      </c>
      <c r="I11" s="455" t="n"/>
      <c r="J11" s="455" t="n"/>
      <c r="K11" s="456" t="n">
        <v>1578</v>
      </c>
      <c r="L11" s="457" t="n">
        <v>1588</v>
      </c>
      <c r="M11" s="458" t="n"/>
      <c r="N11" s="459" t="n">
        <v>1</v>
      </c>
      <c r="O11" s="459" t="n"/>
      <c r="P11" s="459" t="n"/>
      <c r="Q11" s="460" t="n">
        <v>12</v>
      </c>
      <c r="R11" s="461" t="n">
        <v>13</v>
      </c>
      <c r="S11" s="462" t="n"/>
      <c r="T11" s="455" t="n">
        <v>11</v>
      </c>
      <c r="U11" s="455" t="n"/>
      <c r="V11" s="455" t="n"/>
      <c r="W11" s="456" t="n">
        <v>1590</v>
      </c>
      <c r="X11" s="457" t="n">
        <v>1601</v>
      </c>
      <c r="Y11" t="inlineStr">
        <is>
          <t>O</t>
        </is>
      </c>
    </row>
    <row r="12">
      <c r="B12" s="26" t="n"/>
      <c r="C12" s="453" t="n"/>
      <c r="D12" s="277" t="inlineStr">
        <is>
          <t>크레인류</t>
        </is>
      </c>
      <c r="E12" s="279" t="inlineStr">
        <is>
          <t>Crane</t>
        </is>
      </c>
      <c r="F12" s="277" t="inlineStr">
        <is>
          <t>30 Ton 이하</t>
        </is>
      </c>
      <c r="G12" s="454" t="n"/>
      <c r="H12" s="455" t="n">
        <v>122</v>
      </c>
      <c r="I12" s="455" t="n"/>
      <c r="J12" s="455" t="n"/>
      <c r="K12" s="456" t="n">
        <v>627</v>
      </c>
      <c r="L12" s="457" t="n">
        <v>749</v>
      </c>
      <c r="M12" s="458" t="n"/>
      <c r="N12" s="459" t="n"/>
      <c r="O12" s="459" t="n"/>
      <c r="P12" s="459" t="n"/>
      <c r="Q12" s="460" t="n">
        <v>2</v>
      </c>
      <c r="R12" s="461" t="n">
        <v>2</v>
      </c>
      <c r="S12" s="462" t="n"/>
      <c r="T12" s="455" t="n">
        <v>122</v>
      </c>
      <c r="U12" s="455" t="n"/>
      <c r="V12" s="455" t="n"/>
      <c r="W12" s="456" t="n">
        <v>629</v>
      </c>
      <c r="X12" s="457" t="n">
        <v>751</v>
      </c>
      <c r="Y12" t="inlineStr">
        <is>
          <t>O</t>
        </is>
      </c>
    </row>
    <row r="13">
      <c r="B13" s="26" t="n"/>
      <c r="C13" s="453" t="n"/>
      <c r="D13" s="277" t="inlineStr">
        <is>
          <t>크레인류</t>
        </is>
      </c>
      <c r="E13" s="279" t="inlineStr">
        <is>
          <t>Crane</t>
        </is>
      </c>
      <c r="F13" s="277" t="inlineStr">
        <is>
          <t>30 Ton &gt; 70 Ton</t>
        </is>
      </c>
      <c r="G13" s="454" t="n"/>
      <c r="H13" s="455" t="n"/>
      <c r="I13" s="455" t="n"/>
      <c r="J13" s="455" t="n"/>
      <c r="K13" s="456" t="n">
        <v>94</v>
      </c>
      <c r="L13" s="457" t="n">
        <v>94</v>
      </c>
      <c r="M13" s="458" t="n"/>
      <c r="N13" s="459" t="n"/>
      <c r="O13" s="459" t="n"/>
      <c r="P13" s="459" t="n"/>
      <c r="Q13" s="460" t="n"/>
      <c r="R13" s="461" t="n"/>
      <c r="S13" s="462" t="n"/>
      <c r="T13" s="455" t="n"/>
      <c r="U13" s="455" t="n"/>
      <c r="V13" s="455" t="n"/>
      <c r="W13" s="456" t="n">
        <v>94</v>
      </c>
      <c r="X13" s="457" t="n">
        <v>94</v>
      </c>
      <c r="Y13" t="inlineStr">
        <is>
          <t>O</t>
        </is>
      </c>
    </row>
    <row r="14">
      <c r="B14" s="26" t="n"/>
      <c r="C14" s="453" t="n"/>
      <c r="D14" s="277" t="inlineStr">
        <is>
          <t>크레인류</t>
        </is>
      </c>
      <c r="E14" s="279" t="inlineStr">
        <is>
          <t>Crane</t>
        </is>
      </c>
      <c r="F14" s="277" t="inlineStr">
        <is>
          <t>70 Ton &gt; 100 Ton</t>
        </is>
      </c>
      <c r="G14" s="454" t="n"/>
      <c r="H14" s="455" t="n"/>
      <c r="I14" s="455" t="n"/>
      <c r="J14" s="455" t="n"/>
      <c r="K14" s="456" t="n">
        <v>258</v>
      </c>
      <c r="L14" s="457" t="n">
        <v>258</v>
      </c>
      <c r="M14" s="458" t="n"/>
      <c r="N14" s="459" t="n"/>
      <c r="O14" s="459" t="n"/>
      <c r="P14" s="459" t="n"/>
      <c r="Q14" s="460" t="n"/>
      <c r="R14" s="461" t="n"/>
      <c r="S14" s="462" t="n"/>
      <c r="T14" s="455" t="n"/>
      <c r="U14" s="455" t="n"/>
      <c r="V14" s="455" t="n"/>
      <c r="W14" s="456" t="n">
        <v>258</v>
      </c>
      <c r="X14" s="457" t="n">
        <v>258</v>
      </c>
      <c r="Y14" t="inlineStr">
        <is>
          <t>O</t>
        </is>
      </c>
    </row>
    <row r="15">
      <c r="B15" s="26" t="n"/>
      <c r="C15" s="453" t="n"/>
      <c r="D15" s="277" t="inlineStr">
        <is>
          <t>크레인류</t>
        </is>
      </c>
      <c r="E15" s="279" t="inlineStr">
        <is>
          <t>Crane</t>
        </is>
      </c>
      <c r="F15" s="277" t="inlineStr">
        <is>
          <t>100 Ton &gt; 200 Ton</t>
        </is>
      </c>
      <c r="G15" s="454" t="n"/>
      <c r="H15" s="455" t="n">
        <v>5</v>
      </c>
      <c r="I15" s="455" t="n"/>
      <c r="J15" s="455" t="n"/>
      <c r="K15" s="456" t="n">
        <v>26</v>
      </c>
      <c r="L15" s="457" t="n">
        <v>31</v>
      </c>
      <c r="M15" s="458" t="n"/>
      <c r="N15" s="459" t="n"/>
      <c r="O15" s="459" t="n"/>
      <c r="P15" s="459" t="n"/>
      <c r="Q15" s="460" t="n"/>
      <c r="R15" s="461" t="n"/>
      <c r="S15" s="462" t="n"/>
      <c r="T15" s="455" t="n">
        <v>5</v>
      </c>
      <c r="U15" s="455" t="n"/>
      <c r="V15" s="455" t="n"/>
      <c r="W15" s="456" t="n">
        <v>26</v>
      </c>
      <c r="X15" s="457" t="n">
        <v>31</v>
      </c>
      <c r="Y15" t="inlineStr">
        <is>
          <t>O</t>
        </is>
      </c>
    </row>
    <row r="16">
      <c r="B16" s="26" t="n"/>
      <c r="C16" s="453" t="n"/>
      <c r="D16" s="277" t="inlineStr">
        <is>
          <t>크레인류</t>
        </is>
      </c>
      <c r="E16" s="279" t="inlineStr">
        <is>
          <t>Crane</t>
        </is>
      </c>
      <c r="F16" s="277" t="inlineStr">
        <is>
          <t>200 Ton &gt; 300 Ton</t>
        </is>
      </c>
      <c r="G16" s="454" t="n"/>
      <c r="H16" s="455" t="n"/>
      <c r="I16" s="455" t="n"/>
      <c r="J16" s="455" t="n"/>
      <c r="K16" s="456" t="n">
        <v>2</v>
      </c>
      <c r="L16" s="457" t="n">
        <v>2</v>
      </c>
      <c r="M16" s="458" t="n"/>
      <c r="N16" s="459" t="n"/>
      <c r="O16" s="459" t="n"/>
      <c r="P16" s="459" t="n"/>
      <c r="Q16" s="460" t="n"/>
      <c r="R16" s="461" t="n"/>
      <c r="S16" s="462" t="n"/>
      <c r="T16" s="455" t="n"/>
      <c r="U16" s="455" t="n"/>
      <c r="V16" s="455" t="n"/>
      <c r="W16" s="456" t="n">
        <v>2</v>
      </c>
      <c r="X16" s="457" t="n">
        <v>2</v>
      </c>
      <c r="Y16" t="inlineStr">
        <is>
          <t>O</t>
        </is>
      </c>
    </row>
    <row r="17">
      <c r="B17" s="26" t="n"/>
      <c r="C17" s="453" t="n"/>
      <c r="D17" s="277" t="inlineStr">
        <is>
          <t>크레인류</t>
        </is>
      </c>
      <c r="E17" s="279" t="inlineStr">
        <is>
          <t>Tower Crane</t>
        </is>
      </c>
      <c r="F17" s="277" t="inlineStr">
        <is>
          <t>Tower Crane</t>
        </is>
      </c>
      <c r="G17" s="454" t="n"/>
      <c r="H17" s="455" t="n"/>
      <c r="I17" s="455" t="n"/>
      <c r="J17" s="455" t="n"/>
      <c r="K17" s="456" t="n">
        <v>357</v>
      </c>
      <c r="L17" s="457" t="n">
        <v>357</v>
      </c>
      <c r="M17" s="458" t="n"/>
      <c r="N17" s="459" t="n"/>
      <c r="O17" s="459" t="n"/>
      <c r="P17" s="459" t="n"/>
      <c r="Q17" s="460" t="n">
        <v>3</v>
      </c>
      <c r="R17" s="461" t="n">
        <v>3</v>
      </c>
      <c r="S17" s="462" t="n"/>
      <c r="T17" s="455" t="n"/>
      <c r="U17" s="455" t="n"/>
      <c r="V17" s="455" t="n"/>
      <c r="W17" s="456" t="n">
        <v>360</v>
      </c>
      <c r="X17" s="457" t="n">
        <v>360</v>
      </c>
      <c r="Y17" t="inlineStr">
        <is>
          <t>O</t>
        </is>
      </c>
    </row>
    <row r="18">
      <c r="B18" s="26" t="n"/>
      <c r="C18" s="453" t="n"/>
      <c r="D18" s="277" t="inlineStr">
        <is>
          <t>운반기계류</t>
        </is>
      </c>
      <c r="E18" s="279" t="inlineStr">
        <is>
          <t>지게차</t>
        </is>
      </c>
      <c r="F18" s="277" t="inlineStr">
        <is>
          <t>지게차</t>
        </is>
      </c>
      <c r="G18" s="454" t="n"/>
      <c r="H18" s="455" t="n">
        <v>17</v>
      </c>
      <c r="I18" s="455" t="n">
        <v>1</v>
      </c>
      <c r="J18" s="455" t="n"/>
      <c r="K18" s="456" t="n">
        <v>274</v>
      </c>
      <c r="L18" s="457" t="n">
        <v>292</v>
      </c>
      <c r="M18" s="458" t="n"/>
      <c r="N18" s="459" t="n"/>
      <c r="O18" s="459" t="n"/>
      <c r="P18" s="459" t="n"/>
      <c r="Q18" s="460" t="n">
        <v>2</v>
      </c>
      <c r="R18" s="461" t="n">
        <v>2</v>
      </c>
      <c r="S18" s="462" t="n"/>
      <c r="T18" s="455" t="n">
        <v>17</v>
      </c>
      <c r="U18" s="455" t="n">
        <v>1</v>
      </c>
      <c r="V18" s="455" t="n"/>
      <c r="W18" s="456" t="n">
        <v>276</v>
      </c>
      <c r="X18" s="457" t="n">
        <v>294</v>
      </c>
      <c r="Y18" t="inlineStr">
        <is>
          <t>O</t>
        </is>
      </c>
    </row>
    <row r="19">
      <c r="B19" s="26" t="n"/>
      <c r="C19" s="453" t="n"/>
      <c r="D19" s="277" t="inlineStr">
        <is>
          <t>고소작업장치류</t>
        </is>
      </c>
      <c r="E19" s="279" t="inlineStr">
        <is>
          <t>SKY</t>
        </is>
      </c>
      <c r="F19" s="277" t="inlineStr">
        <is>
          <t>SKY</t>
        </is>
      </c>
      <c r="G19" s="454" t="n"/>
      <c r="H19" s="455" t="n">
        <v>173</v>
      </c>
      <c r="I19" s="455" t="n">
        <v>7</v>
      </c>
      <c r="J19" s="455" t="n"/>
      <c r="K19" s="456" t="n">
        <v>1323</v>
      </c>
      <c r="L19" s="457" t="n">
        <v>1503</v>
      </c>
      <c r="M19" s="458" t="n"/>
      <c r="N19" s="459" t="n"/>
      <c r="O19" s="459" t="n"/>
      <c r="P19" s="459" t="n"/>
      <c r="Q19" s="460" t="n">
        <v>6</v>
      </c>
      <c r="R19" s="461" t="n">
        <v>6</v>
      </c>
      <c r="S19" s="462" t="n"/>
      <c r="T19" s="455" t="n">
        <v>173</v>
      </c>
      <c r="U19" s="455" t="n">
        <v>7</v>
      </c>
      <c r="V19" s="455" t="n"/>
      <c r="W19" s="456" t="n">
        <v>1329</v>
      </c>
      <c r="X19" s="457" t="n">
        <v>1509</v>
      </c>
      <c r="Y19" t="inlineStr">
        <is>
          <t>O</t>
        </is>
      </c>
    </row>
    <row r="20">
      <c r="B20" s="27" t="n"/>
      <c r="C20" s="11" t="n"/>
      <c r="D20" s="278" t="n"/>
      <c r="E20" s="280" t="n"/>
      <c r="F20" s="278" t="n"/>
      <c r="G20" s="409" t="n"/>
      <c r="H20" s="410" t="n"/>
      <c r="I20" s="410" t="n"/>
      <c r="J20" s="410" t="n"/>
      <c r="K20" s="411" t="n"/>
      <c r="L20" s="412" t="n"/>
      <c r="M20" s="413" t="n"/>
      <c r="N20" s="414" t="n"/>
      <c r="O20" s="414" t="n"/>
      <c r="P20" s="414" t="n"/>
      <c r="Q20" s="415" t="n"/>
      <c r="R20" s="463" t="n"/>
      <c r="S20" s="417" t="n"/>
      <c r="T20" s="410" t="n"/>
      <c r="U20" s="410" t="n"/>
      <c r="V20" s="410" t="n"/>
      <c r="W20" s="411" t="n"/>
      <c r="X20" s="412" t="n"/>
    </row>
    <row r="21">
      <c r="B21" s="27" t="n"/>
      <c r="C21" s="11" t="n"/>
      <c r="D21" s="278" t="n"/>
      <c r="E21" s="280" t="n"/>
      <c r="F21" s="278" t="n"/>
      <c r="G21" s="409" t="n"/>
      <c r="H21" s="410" t="n"/>
      <c r="I21" s="410" t="n"/>
      <c r="J21" s="410" t="n"/>
      <c r="K21" s="411" t="n"/>
      <c r="L21" s="412" t="n"/>
      <c r="M21" s="413" t="n"/>
      <c r="N21" s="414" t="n"/>
      <c r="O21" s="414" t="n"/>
      <c r="P21" s="414" t="n"/>
      <c r="Q21" s="415" t="n"/>
      <c r="R21" s="463" t="n"/>
      <c r="S21" s="417" t="n"/>
      <c r="T21" s="410" t="n"/>
      <c r="U21" s="410" t="n"/>
      <c r="V21" s="410" t="n"/>
      <c r="W21" s="411" t="n"/>
      <c r="X21" s="412" t="n"/>
    </row>
    <row r="22">
      <c r="B22" s="27" t="n"/>
      <c r="C22" s="11" t="n"/>
      <c r="D22" s="278" t="n"/>
      <c r="E22" s="280" t="n"/>
      <c r="F22" s="278" t="n"/>
      <c r="G22" s="409" t="n"/>
      <c r="H22" s="410" t="n"/>
      <c r="I22" s="410" t="n"/>
      <c r="J22" s="410" t="n"/>
      <c r="K22" s="411" t="n"/>
      <c r="L22" s="412" t="n"/>
      <c r="M22" s="413" t="n"/>
      <c r="N22" s="414" t="n"/>
      <c r="O22" s="414" t="n"/>
      <c r="P22" s="414" t="n"/>
      <c r="Q22" s="415" t="n"/>
      <c r="R22" s="463" t="n"/>
      <c r="S22" s="417" t="n"/>
      <c r="T22" s="410" t="n"/>
      <c r="U22" s="410" t="n"/>
      <c r="V22" s="410" t="n"/>
      <c r="W22" s="411" t="n"/>
      <c r="X22" s="412" t="n"/>
    </row>
    <row r="23">
      <c r="B23" s="27" t="n"/>
      <c r="C23" s="11" t="n"/>
      <c r="D23" s="278" t="n"/>
      <c r="E23" s="280" t="n"/>
      <c r="F23" s="278" t="n"/>
      <c r="G23" s="409" t="n"/>
      <c r="H23" s="410" t="n"/>
      <c r="I23" s="410" t="n"/>
      <c r="J23" s="410" t="n"/>
      <c r="K23" s="411" t="n"/>
      <c r="L23" s="412" t="n"/>
      <c r="M23" s="413" t="n"/>
      <c r="N23" s="414" t="n"/>
      <c r="O23" s="414" t="n"/>
      <c r="P23" s="414" t="n"/>
      <c r="Q23" s="415" t="n"/>
      <c r="R23" s="463" t="n"/>
      <c r="S23" s="417" t="n"/>
      <c r="T23" s="410" t="n"/>
      <c r="U23" s="410" t="n"/>
      <c r="V23" s="410" t="n"/>
      <c r="W23" s="411" t="n"/>
      <c r="X23" s="412" t="n"/>
    </row>
    <row r="24">
      <c r="B24" s="27" t="n"/>
      <c r="C24" s="11" t="n"/>
      <c r="D24" s="278" t="n"/>
      <c r="E24" s="280" t="n"/>
      <c r="F24" s="278" t="n"/>
      <c r="G24" s="409" t="n"/>
      <c r="H24" s="410" t="n"/>
      <c r="I24" s="410" t="n"/>
      <c r="J24" s="410" t="n"/>
      <c r="K24" s="411" t="n"/>
      <c r="L24" s="412" t="n"/>
      <c r="M24" s="413" t="n"/>
      <c r="N24" s="414" t="n"/>
      <c r="O24" s="414" t="n"/>
      <c r="P24" s="414" t="n"/>
      <c r="Q24" s="415" t="n"/>
      <c r="R24" s="463" t="n"/>
      <c r="S24" s="417" t="n"/>
      <c r="T24" s="410" t="n"/>
      <c r="U24" s="410" t="n"/>
      <c r="V24" s="410" t="n"/>
      <c r="W24" s="411" t="n"/>
      <c r="X24" s="412" t="n"/>
    </row>
    <row r="25">
      <c r="B25" s="27" t="n"/>
      <c r="C25" s="11" t="n"/>
      <c r="D25" s="278" t="n"/>
      <c r="E25" s="280" t="n"/>
      <c r="F25" s="278" t="n"/>
      <c r="G25" s="409" t="n"/>
      <c r="H25" s="410" t="n"/>
      <c r="I25" s="410" t="n"/>
      <c r="J25" s="410" t="n"/>
      <c r="K25" s="411" t="n"/>
      <c r="L25" s="412" t="n"/>
      <c r="M25" s="413" t="n"/>
      <c r="N25" s="414" t="n"/>
      <c r="O25" s="414" t="n"/>
      <c r="P25" s="414" t="n"/>
      <c r="Q25" s="415" t="n"/>
      <c r="R25" s="463" t="n"/>
      <c r="S25" s="417" t="n"/>
      <c r="T25" s="410" t="n"/>
      <c r="U25" s="410" t="n"/>
      <c r="V25" s="410" t="n"/>
      <c r="W25" s="411" t="n"/>
      <c r="X25" s="412" t="n"/>
    </row>
    <row r="26">
      <c r="B26" s="27" t="n"/>
      <c r="C26" s="11" t="n"/>
      <c r="D26" s="278" t="n"/>
      <c r="E26" s="280" t="n"/>
      <c r="F26" s="278" t="n"/>
      <c r="G26" s="409" t="n"/>
      <c r="H26" s="410" t="n"/>
      <c r="I26" s="410" t="n"/>
      <c r="J26" s="410" t="n"/>
      <c r="K26" s="411" t="n"/>
      <c r="L26" s="412" t="n"/>
      <c r="M26" s="413" t="n"/>
      <c r="N26" s="414" t="n"/>
      <c r="O26" s="414" t="n"/>
      <c r="P26" s="414" t="n"/>
      <c r="Q26" s="415" t="n"/>
      <c r="R26" s="463" t="n"/>
      <c r="S26" s="417" t="n"/>
      <c r="T26" s="410" t="n"/>
      <c r="U26" s="410" t="n"/>
      <c r="V26" s="410" t="n"/>
      <c r="W26" s="411" t="n"/>
      <c r="X26" s="412" t="n"/>
    </row>
    <row r="27">
      <c r="B27" s="27" t="n"/>
      <c r="C27" s="11" t="n"/>
      <c r="D27" s="278" t="n"/>
      <c r="E27" s="280" t="n"/>
      <c r="F27" s="280" t="n"/>
      <c r="G27" s="409" t="n"/>
      <c r="H27" s="410" t="n"/>
      <c r="I27" s="410" t="n"/>
      <c r="J27" s="410" t="n"/>
      <c r="K27" s="411" t="n"/>
      <c r="L27" s="412" t="n"/>
      <c r="M27" s="413" t="n"/>
      <c r="N27" s="414" t="n"/>
      <c r="O27" s="414" t="n"/>
      <c r="P27" s="414" t="n"/>
      <c r="Q27" s="415" t="n"/>
      <c r="R27" s="463" t="n"/>
      <c r="S27" s="417" t="n"/>
      <c r="T27" s="410" t="n"/>
      <c r="U27" s="410" t="n"/>
      <c r="V27" s="410" t="n"/>
      <c r="W27" s="411" t="n"/>
      <c r="X27" s="412" t="n"/>
    </row>
    <row r="28">
      <c r="B28" s="27" t="n"/>
      <c r="C28" s="11" t="n"/>
      <c r="D28" s="278" t="n"/>
      <c r="E28" s="280" t="n"/>
      <c r="F28" s="280" t="n"/>
      <c r="G28" s="409" t="n"/>
      <c r="H28" s="410" t="n"/>
      <c r="I28" s="410" t="n"/>
      <c r="J28" s="410" t="n"/>
      <c r="K28" s="411" t="n"/>
      <c r="L28" s="412" t="n"/>
      <c r="M28" s="413" t="n"/>
      <c r="N28" s="414" t="n"/>
      <c r="O28" s="414" t="n"/>
      <c r="P28" s="414" t="n"/>
      <c r="Q28" s="415" t="n"/>
      <c r="R28" s="463" t="n"/>
      <c r="S28" s="417" t="n"/>
      <c r="T28" s="410" t="n"/>
      <c r="U28" s="410" t="n"/>
      <c r="V28" s="410" t="n"/>
      <c r="W28" s="411" t="n"/>
      <c r="X28" s="412" t="n"/>
    </row>
    <row r="29">
      <c r="B29" s="27" t="n"/>
      <c r="C29" s="11" t="n"/>
      <c r="D29" s="278" t="n"/>
      <c r="E29" s="280" t="n"/>
      <c r="F29" s="280" t="n"/>
      <c r="G29" s="409" t="n"/>
      <c r="H29" s="410" t="n"/>
      <c r="I29" s="410" t="n"/>
      <c r="J29" s="410" t="n"/>
      <c r="K29" s="411" t="n"/>
      <c r="L29" s="412" t="n"/>
      <c r="M29" s="413" t="n"/>
      <c r="N29" s="414" t="n"/>
      <c r="O29" s="414" t="n"/>
      <c r="P29" s="414" t="n"/>
      <c r="Q29" s="415" t="n"/>
      <c r="R29" s="463" t="n"/>
      <c r="S29" s="417" t="n"/>
      <c r="T29" s="410" t="n"/>
      <c r="U29" s="410" t="n"/>
      <c r="V29" s="410" t="n"/>
      <c r="W29" s="411" t="n"/>
      <c r="X29" s="412" t="n"/>
    </row>
    <row r="30">
      <c r="B30" s="27" t="n"/>
      <c r="C30" s="11" t="n"/>
      <c r="D30" s="278" t="n"/>
      <c r="E30" s="280" t="n"/>
      <c r="F30" s="278" t="n"/>
      <c r="G30" s="409" t="n"/>
      <c r="H30" s="410" t="n"/>
      <c r="I30" s="410" t="n"/>
      <c r="J30" s="410" t="n"/>
      <c r="K30" s="411" t="n"/>
      <c r="L30" s="412" t="n"/>
      <c r="M30" s="413" t="n"/>
      <c r="N30" s="414" t="n"/>
      <c r="O30" s="414" t="n"/>
      <c r="P30" s="414" t="n"/>
      <c r="Q30" s="415" t="n"/>
      <c r="R30" s="463" t="n"/>
      <c r="S30" s="417" t="n"/>
      <c r="T30" s="410" t="n"/>
      <c r="U30" s="410" t="n"/>
      <c r="V30" s="410" t="n"/>
      <c r="W30" s="411" t="n"/>
      <c r="X30" s="412" t="n"/>
    </row>
    <row r="31">
      <c r="B31" s="27" t="n"/>
      <c r="C31" s="11" t="n"/>
      <c r="D31" s="278" t="n"/>
      <c r="E31" s="280" t="n"/>
      <c r="F31" s="278" t="n"/>
      <c r="G31" s="409" t="n"/>
      <c r="H31" s="410" t="n"/>
      <c r="I31" s="410" t="n"/>
      <c r="J31" s="410" t="n"/>
      <c r="K31" s="411" t="n"/>
      <c r="L31" s="412" t="n"/>
      <c r="M31" s="413" t="n"/>
      <c r="N31" s="414" t="n"/>
      <c r="O31" s="414" t="n"/>
      <c r="P31" s="414" t="n"/>
      <c r="Q31" s="415" t="n"/>
      <c r="R31" s="463" t="n"/>
      <c r="S31" s="417" t="n"/>
      <c r="T31" s="410" t="n"/>
      <c r="U31" s="410" t="n"/>
      <c r="V31" s="410" t="n"/>
      <c r="W31" s="411" t="n"/>
      <c r="X31" s="412" t="n"/>
    </row>
    <row r="32">
      <c r="B32" s="27" t="n"/>
      <c r="C32" s="11" t="n"/>
      <c r="D32" s="278" t="n"/>
      <c r="E32" s="280" t="n"/>
      <c r="F32" s="278" t="n"/>
      <c r="G32" s="409" t="n"/>
      <c r="H32" s="410" t="n"/>
      <c r="I32" s="410" t="n"/>
      <c r="J32" s="410" t="n"/>
      <c r="K32" s="411" t="n"/>
      <c r="L32" s="412" t="n"/>
      <c r="M32" s="413" t="n"/>
      <c r="N32" s="414" t="n"/>
      <c r="O32" s="414" t="n"/>
      <c r="P32" s="414" t="n"/>
      <c r="Q32" s="415" t="n"/>
      <c r="R32" s="463" t="n"/>
      <c r="S32" s="417" t="n"/>
      <c r="T32" s="410" t="n"/>
      <c r="U32" s="410" t="n"/>
      <c r="V32" s="410" t="n"/>
      <c r="W32" s="411" t="n"/>
      <c r="X32" s="412" t="n"/>
    </row>
    <row r="33">
      <c r="B33" s="27" t="n"/>
      <c r="C33" s="11" t="n"/>
      <c r="D33" s="278" t="n"/>
      <c r="E33" s="280" t="n"/>
      <c r="F33" s="278" t="n"/>
      <c r="G33" s="409" t="n"/>
      <c r="H33" s="410" t="n"/>
      <c r="I33" s="410" t="n"/>
      <c r="J33" s="410" t="n"/>
      <c r="K33" s="411" t="n"/>
      <c r="L33" s="412" t="n"/>
      <c r="M33" s="413" t="n"/>
      <c r="N33" s="414" t="n"/>
      <c r="O33" s="414" t="n"/>
      <c r="P33" s="414" t="n"/>
      <c r="Q33" s="415" t="n"/>
      <c r="R33" s="463" t="n"/>
      <c r="S33" s="417" t="n"/>
      <c r="T33" s="410" t="n"/>
      <c r="U33" s="410" t="n"/>
      <c r="V33" s="410" t="n"/>
      <c r="W33" s="411" t="n"/>
      <c r="X33" s="412" t="n"/>
    </row>
    <row r="34">
      <c r="B34" s="27" t="n"/>
      <c r="C34" s="11" t="n"/>
      <c r="D34" s="278" t="n"/>
      <c r="E34" s="280" t="n"/>
      <c r="F34" s="278" t="n"/>
      <c r="G34" s="409" t="n"/>
      <c r="H34" s="410" t="n"/>
      <c r="I34" s="410" t="n"/>
      <c r="J34" s="410" t="n"/>
      <c r="K34" s="411" t="n"/>
      <c r="L34" s="412" t="n"/>
      <c r="M34" s="413" t="n"/>
      <c r="N34" s="414" t="n"/>
      <c r="O34" s="414" t="n"/>
      <c r="P34" s="414" t="n"/>
      <c r="Q34" s="415" t="n"/>
      <c r="R34" s="463" t="n"/>
      <c r="S34" s="417" t="n"/>
      <c r="T34" s="410" t="n"/>
      <c r="U34" s="410" t="n"/>
      <c r="V34" s="410" t="n"/>
      <c r="W34" s="411" t="n"/>
      <c r="X34" s="412" t="n"/>
    </row>
    <row r="35">
      <c r="B35" s="27" t="n"/>
      <c r="C35" s="11" t="n"/>
      <c r="D35" s="278" t="n"/>
      <c r="E35" s="280" t="n"/>
      <c r="F35" s="278" t="n"/>
      <c r="G35" s="409" t="n"/>
      <c r="H35" s="410" t="n"/>
      <c r="I35" s="410" t="n"/>
      <c r="J35" s="410" t="n"/>
      <c r="K35" s="411" t="n"/>
      <c r="L35" s="412" t="n"/>
      <c r="M35" s="413" t="n"/>
      <c r="N35" s="414" t="n"/>
      <c r="O35" s="414" t="n"/>
      <c r="P35" s="414" t="n"/>
      <c r="Q35" s="415" t="n"/>
      <c r="R35" s="463" t="n"/>
      <c r="S35" s="417" t="n"/>
      <c r="T35" s="410" t="n"/>
      <c r="U35" s="410" t="n"/>
      <c r="V35" s="410" t="n"/>
      <c r="W35" s="411" t="n"/>
      <c r="X35" s="412" t="n"/>
    </row>
    <row r="36">
      <c r="B36" s="27" t="n"/>
      <c r="C36" s="11" t="n"/>
      <c r="D36" s="278" t="n"/>
      <c r="E36" s="280" t="n"/>
      <c r="F36" s="278" t="n"/>
      <c r="G36" s="409" t="n"/>
      <c r="H36" s="410" t="n"/>
      <c r="I36" s="410" t="n"/>
      <c r="J36" s="410" t="n"/>
      <c r="K36" s="411" t="n"/>
      <c r="L36" s="412" t="n"/>
      <c r="M36" s="413" t="n"/>
      <c r="N36" s="414" t="n"/>
      <c r="O36" s="414" t="n"/>
      <c r="P36" s="414" t="n"/>
      <c r="Q36" s="415" t="n"/>
      <c r="R36" s="463" t="n"/>
      <c r="S36" s="417" t="n"/>
      <c r="T36" s="410" t="n"/>
      <c r="U36" s="410" t="n"/>
      <c r="V36" s="410" t="n"/>
      <c r="W36" s="411" t="n"/>
      <c r="X36" s="412" t="n"/>
    </row>
    <row r="37">
      <c r="B37" s="27" t="n"/>
      <c r="C37" s="11" t="n"/>
      <c r="D37" s="278" t="n"/>
      <c r="E37" s="280" t="n"/>
      <c r="F37" s="278" t="n"/>
      <c r="G37" s="409" t="n"/>
      <c r="H37" s="410" t="n"/>
      <c r="I37" s="410" t="n"/>
      <c r="J37" s="410" t="n"/>
      <c r="K37" s="411" t="n"/>
      <c r="L37" s="412" t="n"/>
      <c r="M37" s="413" t="n"/>
      <c r="N37" s="414" t="n"/>
      <c r="O37" s="414" t="n"/>
      <c r="P37" s="414" t="n"/>
      <c r="Q37" s="415" t="n"/>
      <c r="R37" s="463" t="n"/>
      <c r="S37" s="417" t="n"/>
      <c r="T37" s="410" t="n"/>
      <c r="U37" s="410" t="n"/>
      <c r="V37" s="410" t="n"/>
      <c r="W37" s="411" t="n"/>
      <c r="X37" s="412" t="n"/>
    </row>
    <row r="38">
      <c r="B38" s="27" t="n"/>
      <c r="C38" s="11" t="n"/>
      <c r="D38" s="278" t="n"/>
      <c r="E38" s="280" t="n"/>
      <c r="F38" s="278" t="n"/>
      <c r="G38" s="409" t="n"/>
      <c r="H38" s="410" t="n"/>
      <c r="I38" s="410" t="n"/>
      <c r="J38" s="410" t="n"/>
      <c r="K38" s="411" t="n"/>
      <c r="L38" s="412" t="n"/>
      <c r="M38" s="413" t="n"/>
      <c r="N38" s="414" t="n"/>
      <c r="O38" s="414" t="n"/>
      <c r="P38" s="414" t="n"/>
      <c r="Q38" s="415" t="n"/>
      <c r="R38" s="463" t="n"/>
      <c r="S38" s="417" t="n"/>
      <c r="T38" s="410" t="n"/>
      <c r="U38" s="410" t="n"/>
      <c r="V38" s="410" t="n"/>
      <c r="W38" s="411" t="n"/>
      <c r="X38" s="412" t="n"/>
    </row>
    <row r="39">
      <c r="B39" s="27" t="n"/>
      <c r="C39" s="11" t="n"/>
      <c r="D39" s="278" t="n"/>
      <c r="E39" s="280" t="n"/>
      <c r="F39" s="278" t="n"/>
      <c r="G39" s="409" t="n"/>
      <c r="H39" s="410" t="n"/>
      <c r="I39" s="410" t="n"/>
      <c r="J39" s="410" t="n"/>
      <c r="K39" s="411" t="n"/>
      <c r="L39" s="412" t="n"/>
      <c r="M39" s="413" t="n"/>
      <c r="N39" s="414" t="n"/>
      <c r="O39" s="414" t="n"/>
      <c r="P39" s="414" t="n"/>
      <c r="Q39" s="415" t="n"/>
      <c r="R39" s="463" t="n"/>
      <c r="S39" s="417" t="n"/>
      <c r="T39" s="410" t="n"/>
      <c r="U39" s="410" t="n"/>
      <c r="V39" s="410" t="n"/>
      <c r="W39" s="411" t="n"/>
      <c r="X39" s="412" t="n"/>
    </row>
    <row r="40">
      <c r="B40" s="27" t="n"/>
      <c r="C40" s="11" t="n"/>
      <c r="D40" s="278" t="n"/>
      <c r="E40" s="280" t="n"/>
      <c r="F40" s="280" t="n"/>
      <c r="G40" s="409" t="n"/>
      <c r="H40" s="410" t="n"/>
      <c r="I40" s="410" t="n"/>
      <c r="J40" s="410" t="n"/>
      <c r="K40" s="411" t="n"/>
      <c r="L40" s="412" t="n"/>
      <c r="M40" s="413" t="n"/>
      <c r="N40" s="414" t="n"/>
      <c r="O40" s="414" t="n"/>
      <c r="P40" s="414" t="n"/>
      <c r="Q40" s="415" t="n"/>
      <c r="R40" s="463" t="n"/>
      <c r="S40" s="417" t="n"/>
      <c r="T40" s="410" t="n"/>
      <c r="U40" s="410" t="n"/>
      <c r="V40" s="410" t="n"/>
      <c r="W40" s="411" t="n"/>
      <c r="X40" s="412" t="n"/>
    </row>
    <row r="41">
      <c r="B41" s="27" t="n"/>
      <c r="C41" s="11" t="n"/>
      <c r="D41" s="278" t="n"/>
      <c r="E41" s="280" t="n"/>
      <c r="F41" s="278" t="n"/>
      <c r="G41" s="409" t="n"/>
      <c r="H41" s="410" t="n"/>
      <c r="I41" s="410" t="n"/>
      <c r="J41" s="410" t="n"/>
      <c r="K41" s="411" t="n"/>
      <c r="L41" s="412" t="n"/>
      <c r="M41" s="413" t="n"/>
      <c r="N41" s="414" t="n"/>
      <c r="O41" s="414" t="n"/>
      <c r="P41" s="414" t="n"/>
      <c r="Q41" s="415" t="n"/>
      <c r="R41" s="463" t="n"/>
      <c r="S41" s="417" t="n"/>
      <c r="T41" s="410" t="n"/>
      <c r="U41" s="410" t="n"/>
      <c r="V41" s="410" t="n"/>
      <c r="W41" s="411" t="n"/>
      <c r="X41" s="412" t="n"/>
    </row>
    <row r="42">
      <c r="B42" s="27" t="n"/>
      <c r="C42" s="11" t="n"/>
      <c r="D42" s="278" t="n"/>
      <c r="E42" s="280" t="n"/>
      <c r="F42" s="280" t="n"/>
      <c r="G42" s="409" t="n"/>
      <c r="H42" s="410" t="n"/>
      <c r="I42" s="410" t="n"/>
      <c r="J42" s="410" t="n"/>
      <c r="K42" s="411" t="n"/>
      <c r="L42" s="412" t="n"/>
      <c r="M42" s="413" t="n"/>
      <c r="N42" s="414" t="n"/>
      <c r="O42" s="414" t="n"/>
      <c r="P42" s="414" t="n"/>
      <c r="Q42" s="415" t="n"/>
      <c r="R42" s="463" t="n"/>
      <c r="S42" s="417" t="n"/>
      <c r="T42" s="410" t="n"/>
      <c r="U42" s="410" t="n"/>
      <c r="V42" s="410" t="n"/>
      <c r="W42" s="411" t="n"/>
      <c r="X42" s="412" t="n"/>
    </row>
    <row r="43">
      <c r="B43" s="27" t="n"/>
      <c r="C43" s="11" t="n"/>
      <c r="D43" s="278" t="n"/>
      <c r="E43" s="280" t="n"/>
      <c r="F43" s="280" t="n"/>
      <c r="G43" s="409" t="n"/>
      <c r="H43" s="410" t="n"/>
      <c r="I43" s="410" t="n"/>
      <c r="J43" s="410" t="n"/>
      <c r="K43" s="411" t="n"/>
      <c r="L43" s="412" t="n"/>
      <c r="M43" s="413" t="n"/>
      <c r="N43" s="414" t="n"/>
      <c r="O43" s="414" t="n"/>
      <c r="P43" s="414" t="n"/>
      <c r="Q43" s="415" t="n"/>
      <c r="R43" s="463" t="n"/>
      <c r="S43" s="417" t="n"/>
      <c r="T43" s="410" t="n"/>
      <c r="U43" s="410" t="n"/>
      <c r="V43" s="410" t="n"/>
      <c r="W43" s="411" t="n"/>
      <c r="X43" s="412" t="n"/>
    </row>
    <row r="44">
      <c r="B44" s="27" t="n"/>
      <c r="C44" s="11" t="n"/>
      <c r="D44" s="278" t="n"/>
      <c r="E44" s="280" t="n"/>
      <c r="F44" s="280" t="n"/>
      <c r="G44" s="409" t="n"/>
      <c r="H44" s="410" t="n"/>
      <c r="I44" s="410" t="n"/>
      <c r="J44" s="410" t="n"/>
      <c r="K44" s="411" t="n"/>
      <c r="L44" s="412" t="n"/>
      <c r="M44" s="413" t="n"/>
      <c r="N44" s="414" t="n"/>
      <c r="O44" s="414" t="n"/>
      <c r="P44" s="414" t="n"/>
      <c r="Q44" s="415" t="n"/>
      <c r="R44" s="463" t="n"/>
      <c r="S44" s="417" t="n"/>
      <c r="T44" s="410" t="n"/>
      <c r="U44" s="410" t="n"/>
      <c r="V44" s="410" t="n"/>
      <c r="W44" s="411" t="n"/>
      <c r="X44" s="412" t="n"/>
    </row>
    <row r="45">
      <c r="B45" s="27" t="n"/>
      <c r="C45" s="11" t="n"/>
      <c r="D45" s="278" t="n"/>
      <c r="E45" s="280" t="n"/>
      <c r="F45" s="278" t="n"/>
      <c r="G45" s="409" t="n"/>
      <c r="H45" s="410" t="n"/>
      <c r="I45" s="410" t="n"/>
      <c r="J45" s="410" t="n"/>
      <c r="K45" s="411" t="n"/>
      <c r="L45" s="412" t="n"/>
      <c r="M45" s="413" t="n"/>
      <c r="N45" s="414" t="n"/>
      <c r="O45" s="414" t="n"/>
      <c r="P45" s="414" t="n"/>
      <c r="Q45" s="415" t="n"/>
      <c r="R45" s="463" t="n"/>
      <c r="S45" s="417" t="n"/>
      <c r="T45" s="410" t="n"/>
      <c r="U45" s="410" t="n"/>
      <c r="V45" s="410" t="n"/>
      <c r="W45" s="411" t="n"/>
      <c r="X45" s="412" t="n"/>
    </row>
    <row r="46">
      <c r="B46" s="27" t="n"/>
      <c r="C46" s="11" t="n"/>
      <c r="D46" s="273" t="n"/>
      <c r="E46" s="274" t="n"/>
      <c r="F46" s="274" t="n"/>
      <c r="G46" s="409" t="n"/>
      <c r="H46" s="410" t="n"/>
      <c r="I46" s="410" t="n"/>
      <c r="J46" s="410" t="n"/>
      <c r="K46" s="411" t="n"/>
      <c r="L46" s="412" t="n"/>
      <c r="M46" s="413" t="n"/>
      <c r="N46" s="414" t="n"/>
      <c r="O46" s="414" t="n"/>
      <c r="P46" s="414" t="n"/>
      <c r="Q46" s="415" t="n"/>
      <c r="R46" s="463" t="n"/>
      <c r="S46" s="417" t="n"/>
      <c r="T46" s="410" t="n"/>
      <c r="U46" s="410" t="n"/>
      <c r="V46" s="410" t="n"/>
      <c r="W46" s="411" t="n"/>
      <c r="X46" s="412" t="n"/>
    </row>
    <row r="47">
      <c r="B47" s="27" t="n"/>
      <c r="C47" s="11" t="n"/>
      <c r="D47" s="273" t="n"/>
      <c r="E47" s="274" t="n"/>
      <c r="F47" s="273" t="n"/>
      <c r="G47" s="409" t="n"/>
      <c r="H47" s="410" t="n"/>
      <c r="I47" s="410" t="n"/>
      <c r="J47" s="410" t="n"/>
      <c r="K47" s="411" t="n"/>
      <c r="L47" s="412" t="n"/>
      <c r="M47" s="413" t="n"/>
      <c r="N47" s="414" t="n"/>
      <c r="O47" s="414" t="n"/>
      <c r="P47" s="414" t="n"/>
      <c r="Q47" s="415" t="n"/>
      <c r="R47" s="463" t="n"/>
      <c r="S47" s="417" t="n"/>
      <c r="T47" s="410" t="n"/>
      <c r="U47" s="410" t="n"/>
      <c r="V47" s="410" t="n"/>
      <c r="W47" s="411" t="n"/>
      <c r="X47" s="412" t="n"/>
    </row>
    <row r="48">
      <c r="B48" s="27" t="n"/>
      <c r="C48" s="11" t="n"/>
      <c r="D48" s="273" t="n"/>
      <c r="E48" s="274" t="n"/>
      <c r="F48" s="274" t="n"/>
      <c r="G48" s="409" t="n"/>
      <c r="H48" s="410" t="n"/>
      <c r="I48" s="410" t="n"/>
      <c r="J48" s="410" t="n"/>
      <c r="K48" s="411" t="n"/>
      <c r="L48" s="412" t="n"/>
      <c r="M48" s="413" t="n"/>
      <c r="N48" s="414" t="n"/>
      <c r="O48" s="414" t="n"/>
      <c r="P48" s="414" t="n"/>
      <c r="Q48" s="415" t="n"/>
      <c r="R48" s="463" t="n"/>
      <c r="S48" s="417" t="n"/>
      <c r="T48" s="410" t="n"/>
      <c r="U48" s="410" t="n"/>
      <c r="V48" s="410" t="n"/>
      <c r="W48" s="411" t="n"/>
      <c r="X48" s="412" t="n"/>
    </row>
    <row r="49">
      <c r="B49" s="27" t="n"/>
      <c r="C49" s="11" t="n"/>
      <c r="D49" s="273" t="n"/>
      <c r="E49" s="274" t="n"/>
      <c r="F49" s="274" t="n"/>
      <c r="G49" s="409" t="n"/>
      <c r="H49" s="410" t="n"/>
      <c r="I49" s="410" t="n"/>
      <c r="J49" s="410" t="n"/>
      <c r="K49" s="411" t="n"/>
      <c r="L49" s="412" t="n"/>
      <c r="M49" s="413" t="n"/>
      <c r="N49" s="414" t="n"/>
      <c r="O49" s="414" t="n"/>
      <c r="P49" s="414" t="n"/>
      <c r="Q49" s="415" t="n"/>
      <c r="R49" s="463" t="n"/>
      <c r="S49" s="417" t="n"/>
      <c r="T49" s="410" t="n"/>
      <c r="U49" s="410" t="n"/>
      <c r="V49" s="410" t="n"/>
      <c r="W49" s="411" t="n"/>
      <c r="X49" s="412" t="n"/>
    </row>
    <row r="50">
      <c r="B50" s="27" t="n"/>
      <c r="C50" s="11" t="n"/>
      <c r="D50" s="273" t="n"/>
      <c r="E50" s="274" t="n"/>
      <c r="F50" s="273" t="n"/>
      <c r="G50" s="409" t="n"/>
      <c r="H50" s="410" t="n"/>
      <c r="I50" s="410" t="n"/>
      <c r="J50" s="410" t="n"/>
      <c r="K50" s="411" t="n"/>
      <c r="L50" s="412" t="n"/>
      <c r="M50" s="413" t="n"/>
      <c r="N50" s="414" t="n"/>
      <c r="O50" s="414" t="n"/>
      <c r="P50" s="414" t="n"/>
      <c r="Q50" s="415" t="n"/>
      <c r="R50" s="463" t="n"/>
      <c r="S50" s="417" t="n"/>
      <c r="T50" s="410" t="n"/>
      <c r="U50" s="410" t="n"/>
      <c r="V50" s="410" t="n"/>
      <c r="W50" s="411" t="n"/>
      <c r="X50" s="412" t="n"/>
    </row>
    <row r="51">
      <c r="B51" s="27" t="n"/>
      <c r="C51" s="11" t="n"/>
      <c r="D51" s="273" t="n"/>
      <c r="E51" s="274" t="n"/>
      <c r="F51" s="274" t="n"/>
      <c r="G51" s="409" t="n"/>
      <c r="H51" s="410" t="n"/>
      <c r="I51" s="410" t="n"/>
      <c r="J51" s="410" t="n"/>
      <c r="K51" s="411" t="n"/>
      <c r="L51" s="412" t="n"/>
      <c r="M51" s="413" t="n"/>
      <c r="N51" s="414" t="n"/>
      <c r="O51" s="414" t="n"/>
      <c r="P51" s="414" t="n"/>
      <c r="Q51" s="415" t="n"/>
      <c r="R51" s="463" t="n"/>
      <c r="S51" s="417" t="n"/>
      <c r="T51" s="410" t="n"/>
      <c r="U51" s="410" t="n"/>
      <c r="V51" s="410" t="n"/>
      <c r="W51" s="411" t="n"/>
      <c r="X51" s="412" t="n"/>
    </row>
    <row r="52">
      <c r="B52" s="27" t="n"/>
      <c r="C52" s="11" t="n"/>
      <c r="D52" s="273" t="n"/>
      <c r="E52" s="274" t="n"/>
      <c r="F52" s="274" t="n"/>
      <c r="G52" s="409" t="n"/>
      <c r="H52" s="410" t="n"/>
      <c r="I52" s="410" t="n"/>
      <c r="J52" s="410" t="n"/>
      <c r="K52" s="411" t="n"/>
      <c r="L52" s="412" t="n"/>
      <c r="M52" s="413" t="n"/>
      <c r="N52" s="414" t="n"/>
      <c r="O52" s="414" t="n"/>
      <c r="P52" s="414" t="n"/>
      <c r="Q52" s="415" t="n"/>
      <c r="R52" s="463" t="n"/>
      <c r="S52" s="417" t="n"/>
      <c r="T52" s="410" t="n"/>
      <c r="U52" s="410" t="n"/>
      <c r="V52" s="410" t="n"/>
      <c r="W52" s="411" t="n"/>
      <c r="X52" s="412" t="n"/>
    </row>
    <row r="53">
      <c r="B53" s="27" t="n"/>
      <c r="C53" s="11" t="n"/>
      <c r="D53" s="273" t="n"/>
      <c r="E53" s="274" t="n"/>
      <c r="F53" s="274" t="n"/>
      <c r="G53" s="409" t="n"/>
      <c r="H53" s="410" t="n"/>
      <c r="I53" s="410" t="n"/>
      <c r="J53" s="410" t="n"/>
      <c r="K53" s="411" t="n"/>
      <c r="L53" s="412" t="n"/>
      <c r="M53" s="413" t="n"/>
      <c r="N53" s="414" t="n"/>
      <c r="O53" s="414" t="n"/>
      <c r="P53" s="414" t="n"/>
      <c r="Q53" s="415" t="n"/>
      <c r="R53" s="463" t="n"/>
      <c r="S53" s="417" t="n"/>
      <c r="T53" s="410" t="n"/>
      <c r="U53" s="410" t="n"/>
      <c r="V53" s="410" t="n"/>
      <c r="W53" s="411" t="n"/>
      <c r="X53" s="412" t="n"/>
    </row>
    <row r="54">
      <c r="B54" s="27" t="n"/>
      <c r="C54" s="11" t="n"/>
      <c r="D54" s="273" t="n"/>
      <c r="E54" s="274" t="n"/>
      <c r="F54" s="274" t="n"/>
      <c r="G54" s="409" t="n"/>
      <c r="H54" s="410" t="n"/>
      <c r="I54" s="410" t="n"/>
      <c r="J54" s="410" t="n"/>
      <c r="K54" s="411" t="n"/>
      <c r="L54" s="412" t="n"/>
      <c r="M54" s="413" t="n"/>
      <c r="N54" s="414" t="n"/>
      <c r="O54" s="414" t="n"/>
      <c r="P54" s="414" t="n"/>
      <c r="Q54" s="415" t="n"/>
      <c r="R54" s="463" t="n"/>
      <c r="S54" s="417" t="n"/>
      <c r="T54" s="410" t="n"/>
      <c r="U54" s="410" t="n"/>
      <c r="V54" s="410" t="n"/>
      <c r="W54" s="411" t="n"/>
      <c r="X54" s="412" t="n"/>
    </row>
    <row r="55">
      <c r="B55" s="27" t="n"/>
      <c r="C55" s="11" t="n"/>
      <c r="D55" s="126" t="n"/>
      <c r="E55" s="127" t="n"/>
      <c r="F55" s="127" t="n"/>
      <c r="G55" s="464" t="n"/>
      <c r="H55" s="465" t="n"/>
      <c r="I55" s="465" t="n"/>
      <c r="J55" s="465" t="n"/>
      <c r="K55" s="466" t="n"/>
      <c r="L55" s="467" t="n"/>
      <c r="M55" s="468" t="n"/>
      <c r="N55" s="469" t="n"/>
      <c r="O55" s="469" t="n"/>
      <c r="P55" s="469" t="n"/>
      <c r="Q55" s="470" t="n"/>
      <c r="R55" s="471" t="n"/>
      <c r="S55" s="472" t="n"/>
      <c r="T55" s="465" t="n"/>
      <c r="U55" s="465" t="n"/>
      <c r="V55" s="465" t="n"/>
      <c r="W55" s="466" t="n"/>
      <c r="X55" s="467" t="n"/>
    </row>
    <row r="56">
      <c r="B56" s="27" t="n"/>
      <c r="C56" s="11" t="n"/>
      <c r="D56" s="126" t="n"/>
      <c r="E56" s="127" t="n"/>
      <c r="F56" s="126" t="n"/>
      <c r="G56" s="464" t="n"/>
      <c r="H56" s="465" t="n"/>
      <c r="I56" s="465" t="n"/>
      <c r="J56" s="465" t="n"/>
      <c r="K56" s="466" t="n"/>
      <c r="L56" s="467" t="n"/>
      <c r="M56" s="468" t="n"/>
      <c r="N56" s="469" t="n"/>
      <c r="O56" s="469" t="n"/>
      <c r="P56" s="469" t="n"/>
      <c r="Q56" s="470" t="n"/>
      <c r="R56" s="471" t="n"/>
      <c r="S56" s="472" t="n"/>
      <c r="T56" s="465" t="n"/>
      <c r="U56" s="465" t="n"/>
      <c r="V56" s="465" t="n"/>
      <c r="W56" s="466" t="n"/>
      <c r="X56" s="467" t="n"/>
    </row>
    <row r="57">
      <c r="B57" s="27" t="n"/>
      <c r="C57" s="11" t="n"/>
      <c r="D57" s="126" t="n"/>
      <c r="E57" s="127" t="n"/>
      <c r="F57" s="126" t="n"/>
      <c r="G57" s="464" t="n"/>
      <c r="H57" s="465" t="n"/>
      <c r="I57" s="465" t="n"/>
      <c r="J57" s="465" t="n"/>
      <c r="K57" s="466" t="n"/>
      <c r="L57" s="467" t="n"/>
      <c r="M57" s="468" t="n"/>
      <c r="N57" s="469" t="n"/>
      <c r="O57" s="469" t="n"/>
      <c r="P57" s="469" t="n"/>
      <c r="Q57" s="470" t="n"/>
      <c r="R57" s="471" t="n"/>
      <c r="S57" s="472" t="n"/>
      <c r="T57" s="465" t="n"/>
      <c r="U57" s="465" t="n"/>
      <c r="V57" s="465" t="n"/>
      <c r="W57" s="466" t="n"/>
      <c r="X57" s="467" t="n"/>
    </row>
    <row r="58">
      <c r="B58" s="27" t="n"/>
      <c r="C58" s="11" t="n"/>
      <c r="D58" s="126" t="n"/>
      <c r="E58" s="127" t="n"/>
      <c r="F58" s="126" t="n"/>
      <c r="G58" s="464" t="n"/>
      <c r="H58" s="465" t="n"/>
      <c r="I58" s="465" t="n"/>
      <c r="J58" s="465" t="n"/>
      <c r="K58" s="466" t="n"/>
      <c r="L58" s="467" t="n"/>
      <c r="M58" s="468" t="n"/>
      <c r="N58" s="469" t="n"/>
      <c r="O58" s="469" t="n"/>
      <c r="P58" s="469" t="n"/>
      <c r="Q58" s="470" t="n"/>
      <c r="R58" s="471" t="n"/>
      <c r="S58" s="472" t="n"/>
      <c r="T58" s="465" t="n"/>
      <c r="U58" s="465" t="n"/>
      <c r="V58" s="465" t="n"/>
      <c r="W58" s="466" t="n"/>
      <c r="X58" s="467" t="n"/>
    </row>
    <row r="59">
      <c r="B59" s="27" t="n"/>
      <c r="C59" s="11" t="n"/>
      <c r="D59" s="126" t="n"/>
      <c r="E59" s="127" t="n"/>
      <c r="F59" s="126" t="n"/>
      <c r="G59" s="464" t="n"/>
      <c r="H59" s="465" t="n"/>
      <c r="I59" s="465" t="n"/>
      <c r="J59" s="465" t="n"/>
      <c r="K59" s="466" t="n"/>
      <c r="L59" s="467" t="n"/>
      <c r="M59" s="468" t="n"/>
      <c r="N59" s="469" t="n"/>
      <c r="O59" s="469" t="n"/>
      <c r="P59" s="469" t="n"/>
      <c r="Q59" s="470" t="n"/>
      <c r="R59" s="471" t="n"/>
      <c r="S59" s="472" t="n"/>
      <c r="T59" s="465" t="n"/>
      <c r="U59" s="465" t="n"/>
      <c r="V59" s="465" t="n"/>
      <c r="W59" s="466" t="n"/>
      <c r="X59" s="467" t="n"/>
    </row>
    <row r="60">
      <c r="B60" s="27" t="n"/>
      <c r="C60" s="11" t="n"/>
      <c r="D60" s="126" t="n"/>
      <c r="E60" s="127" t="n"/>
      <c r="F60" s="126" t="n"/>
      <c r="G60" s="464" t="n"/>
      <c r="H60" s="465" t="n"/>
      <c r="I60" s="465" t="n"/>
      <c r="J60" s="465" t="n"/>
      <c r="K60" s="466" t="n"/>
      <c r="L60" s="467" t="n"/>
      <c r="M60" s="468" t="n"/>
      <c r="N60" s="469" t="n"/>
      <c r="O60" s="469" t="n"/>
      <c r="P60" s="469" t="n"/>
      <c r="Q60" s="470" t="n"/>
      <c r="R60" s="471" t="n"/>
      <c r="S60" s="472" t="n"/>
      <c r="T60" s="465" t="n"/>
      <c r="U60" s="465" t="n"/>
      <c r="V60" s="465" t="n"/>
      <c r="W60" s="466" t="n"/>
      <c r="X60" s="467" t="n"/>
    </row>
    <row r="61">
      <c r="B61" s="27" t="n"/>
      <c r="C61" s="11" t="n"/>
      <c r="D61" s="126" t="n"/>
      <c r="E61" s="127" t="n"/>
      <c r="F61" s="126" t="n"/>
      <c r="G61" s="464" t="n"/>
      <c r="H61" s="465" t="n"/>
      <c r="I61" s="465" t="n"/>
      <c r="J61" s="465" t="n"/>
      <c r="K61" s="466" t="n"/>
      <c r="L61" s="467" t="n"/>
      <c r="M61" s="468" t="n"/>
      <c r="N61" s="469" t="n"/>
      <c r="O61" s="469" t="n"/>
      <c r="P61" s="469" t="n"/>
      <c r="Q61" s="470" t="n"/>
      <c r="R61" s="471" t="n"/>
      <c r="S61" s="472" t="n"/>
      <c r="T61" s="465" t="n"/>
      <c r="U61" s="465" t="n"/>
      <c r="V61" s="465" t="n"/>
      <c r="W61" s="466" t="n"/>
      <c r="X61" s="467" t="n"/>
    </row>
    <row r="62">
      <c r="B62" s="27" t="n"/>
      <c r="C62" s="11" t="n"/>
      <c r="D62" s="126" t="n"/>
      <c r="E62" s="127" t="n"/>
      <c r="F62" s="126" t="n"/>
      <c r="G62" s="464" t="n"/>
      <c r="H62" s="465" t="n"/>
      <c r="I62" s="465" t="n"/>
      <c r="J62" s="465" t="n"/>
      <c r="K62" s="466" t="n"/>
      <c r="L62" s="467" t="n"/>
      <c r="M62" s="468" t="n"/>
      <c r="N62" s="469" t="n"/>
      <c r="O62" s="469" t="n"/>
      <c r="P62" s="469" t="n"/>
      <c r="Q62" s="470" t="n"/>
      <c r="R62" s="471" t="n"/>
      <c r="S62" s="472" t="n"/>
      <c r="T62" s="465" t="n"/>
      <c r="U62" s="465" t="n"/>
      <c r="V62" s="465" t="n"/>
      <c r="W62" s="466" t="n"/>
      <c r="X62" s="467" t="n"/>
    </row>
    <row r="63">
      <c r="B63" s="27" t="n"/>
      <c r="C63" s="11" t="n"/>
      <c r="D63" s="126" t="n"/>
      <c r="E63" s="127" t="n"/>
      <c r="F63" s="126" t="n"/>
      <c r="G63" s="464" t="n"/>
      <c r="H63" s="465" t="n"/>
      <c r="I63" s="465" t="n"/>
      <c r="J63" s="465" t="n"/>
      <c r="K63" s="466" t="n"/>
      <c r="L63" s="467" t="n"/>
      <c r="M63" s="468" t="n"/>
      <c r="N63" s="469" t="n"/>
      <c r="O63" s="469" t="n"/>
      <c r="P63" s="469" t="n"/>
      <c r="Q63" s="470" t="n"/>
      <c r="R63" s="471" t="n"/>
      <c r="S63" s="472" t="n"/>
      <c r="T63" s="465" t="n"/>
      <c r="U63" s="465" t="n"/>
      <c r="V63" s="465" t="n"/>
      <c r="W63" s="466" t="n"/>
      <c r="X63" s="467" t="n"/>
    </row>
    <row r="64">
      <c r="B64" s="27" t="n"/>
      <c r="C64" s="11" t="n"/>
      <c r="D64" s="126" t="n"/>
      <c r="E64" s="127" t="n"/>
      <c r="F64" s="126" t="n"/>
      <c r="G64" s="464" t="n"/>
      <c r="H64" s="465" t="n"/>
      <c r="I64" s="465" t="n"/>
      <c r="J64" s="465" t="n"/>
      <c r="K64" s="466" t="n"/>
      <c r="L64" s="467" t="n"/>
      <c r="M64" s="468" t="n"/>
      <c r="N64" s="469" t="n"/>
      <c r="O64" s="469" t="n"/>
      <c r="P64" s="469" t="n"/>
      <c r="Q64" s="470" t="n"/>
      <c r="R64" s="471" t="n"/>
      <c r="S64" s="472" t="n"/>
      <c r="T64" s="465" t="n"/>
      <c r="U64" s="465" t="n"/>
      <c r="V64" s="465" t="n"/>
      <c r="W64" s="466" t="n"/>
      <c r="X64" s="467" t="n"/>
    </row>
    <row r="65">
      <c r="B65" s="27" t="n"/>
      <c r="C65" s="11" t="n"/>
      <c r="D65" s="126" t="n"/>
      <c r="E65" s="127" t="n"/>
      <c r="F65" s="126" t="n"/>
      <c r="G65" s="464" t="n"/>
      <c r="H65" s="465" t="n"/>
      <c r="I65" s="465" t="n"/>
      <c r="J65" s="465" t="n"/>
      <c r="K65" s="466" t="n"/>
      <c r="L65" s="467" t="n"/>
      <c r="M65" s="468" t="n"/>
      <c r="N65" s="469" t="n"/>
      <c r="O65" s="469" t="n"/>
      <c r="P65" s="469" t="n"/>
      <c r="Q65" s="470" t="n"/>
      <c r="R65" s="471" t="n"/>
      <c r="S65" s="472" t="n"/>
      <c r="T65" s="465" t="n"/>
      <c r="U65" s="465" t="n"/>
      <c r="V65" s="465" t="n"/>
      <c r="W65" s="466" t="n"/>
      <c r="X65" s="467" t="n"/>
    </row>
    <row r="66">
      <c r="B66" s="27" t="n"/>
      <c r="C66" s="11" t="n"/>
      <c r="D66" s="126" t="n"/>
      <c r="E66" s="127" t="n"/>
      <c r="F66" s="126" t="n"/>
      <c r="G66" s="464" t="n"/>
      <c r="H66" s="465" t="n"/>
      <c r="I66" s="465" t="n"/>
      <c r="J66" s="465" t="n"/>
      <c r="K66" s="466" t="n"/>
      <c r="L66" s="467" t="n"/>
      <c r="M66" s="468" t="n"/>
      <c r="N66" s="469" t="n"/>
      <c r="O66" s="469" t="n"/>
      <c r="P66" s="469" t="n"/>
      <c r="Q66" s="470" t="n"/>
      <c r="R66" s="471" t="n"/>
      <c r="S66" s="472" t="n"/>
      <c r="T66" s="465" t="n"/>
      <c r="U66" s="465" t="n"/>
      <c r="V66" s="465" t="n"/>
      <c r="W66" s="466" t="n"/>
      <c r="X66" s="467" t="n"/>
    </row>
    <row r="67">
      <c r="B67" s="27" t="n"/>
      <c r="C67" s="11" t="n"/>
      <c r="D67" s="126" t="n"/>
      <c r="E67" s="127" t="n"/>
      <c r="F67" s="126" t="n"/>
      <c r="G67" s="464" t="n"/>
      <c r="H67" s="465" t="n"/>
      <c r="I67" s="465" t="n"/>
      <c r="J67" s="465" t="n"/>
      <c r="K67" s="466" t="n"/>
      <c r="L67" s="467" t="n"/>
      <c r="M67" s="468" t="n"/>
      <c r="N67" s="469" t="n"/>
      <c r="O67" s="469" t="n"/>
      <c r="P67" s="469" t="n"/>
      <c r="Q67" s="470" t="n"/>
      <c r="R67" s="471" t="n"/>
      <c r="S67" s="472" t="n"/>
      <c r="T67" s="465" t="n"/>
      <c r="U67" s="465" t="n"/>
      <c r="V67" s="465" t="n"/>
      <c r="W67" s="466" t="n"/>
      <c r="X67" s="467" t="n"/>
    </row>
    <row r="68">
      <c r="B68" s="27" t="n"/>
      <c r="C68" s="11" t="n"/>
      <c r="D68" s="126" t="n"/>
      <c r="E68" s="127" t="n"/>
      <c r="F68" s="126" t="n"/>
      <c r="G68" s="464" t="n"/>
      <c r="H68" s="465" t="n"/>
      <c r="I68" s="465" t="n"/>
      <c r="J68" s="465" t="n"/>
      <c r="K68" s="466" t="n"/>
      <c r="L68" s="467" t="n"/>
      <c r="M68" s="468" t="n"/>
      <c r="N68" s="469" t="n"/>
      <c r="O68" s="469" t="n"/>
      <c r="P68" s="469" t="n"/>
      <c r="Q68" s="470" t="n"/>
      <c r="R68" s="471" t="n"/>
      <c r="S68" s="472" t="n"/>
      <c r="T68" s="465" t="n"/>
      <c r="U68" s="465" t="n"/>
      <c r="V68" s="465" t="n"/>
      <c r="W68" s="466" t="n"/>
      <c r="X68" s="467" t="n"/>
    </row>
    <row r="69">
      <c r="B69" s="27" t="n"/>
      <c r="C69" s="11" t="n"/>
      <c r="D69" s="126" t="n"/>
      <c r="E69" s="127" t="n"/>
      <c r="F69" s="126" t="n"/>
      <c r="G69" s="464" t="n"/>
      <c r="H69" s="465" t="n"/>
      <c r="I69" s="465" t="n"/>
      <c r="J69" s="465" t="n"/>
      <c r="K69" s="466" t="n"/>
      <c r="L69" s="467" t="n"/>
      <c r="M69" s="468" t="n"/>
      <c r="N69" s="469" t="n"/>
      <c r="O69" s="469" t="n"/>
      <c r="P69" s="469" t="n"/>
      <c r="Q69" s="470" t="n"/>
      <c r="R69" s="471" t="n"/>
      <c r="S69" s="472" t="n"/>
      <c r="T69" s="465" t="n"/>
      <c r="U69" s="465" t="n"/>
      <c r="V69" s="465" t="n"/>
      <c r="W69" s="466" t="n"/>
      <c r="X69" s="467" t="n"/>
    </row>
    <row r="70">
      <c r="B70" s="27" t="n"/>
      <c r="C70" s="11" t="n"/>
      <c r="D70" s="126" t="n"/>
      <c r="E70" s="127" t="n"/>
      <c r="F70" s="126" t="n"/>
      <c r="G70" s="464" t="n"/>
      <c r="H70" s="465" t="n"/>
      <c r="I70" s="465" t="n"/>
      <c r="J70" s="465" t="n"/>
      <c r="K70" s="466" t="n"/>
      <c r="L70" s="467" t="n"/>
      <c r="M70" s="468" t="n"/>
      <c r="N70" s="469" t="n"/>
      <c r="O70" s="469" t="n"/>
      <c r="P70" s="469" t="n"/>
      <c r="Q70" s="470" t="n"/>
      <c r="R70" s="471" t="n"/>
      <c r="S70" s="472" t="n"/>
      <c r="T70" s="465" t="n"/>
      <c r="U70" s="465" t="n"/>
      <c r="V70" s="465" t="n"/>
      <c r="W70" s="466" t="n"/>
      <c r="X70" s="467" t="n"/>
    </row>
    <row r="71">
      <c r="B71" s="27" t="n"/>
      <c r="C71" s="11" t="n"/>
      <c r="D71" s="126" t="n"/>
      <c r="E71" s="127" t="n"/>
      <c r="F71" s="473" t="n"/>
      <c r="G71" s="464" t="n"/>
      <c r="H71" s="465" t="n"/>
      <c r="I71" s="465" t="n"/>
      <c r="J71" s="465" t="n"/>
      <c r="K71" s="466" t="n"/>
      <c r="L71" s="467" t="n"/>
      <c r="M71" s="468" t="n"/>
      <c r="N71" s="469" t="n"/>
      <c r="O71" s="469" t="n"/>
      <c r="P71" s="469" t="n"/>
      <c r="Q71" s="470" t="n"/>
      <c r="R71" s="471" t="n"/>
      <c r="S71" s="472" t="n"/>
      <c r="T71" s="465" t="n"/>
      <c r="U71" s="465" t="n"/>
      <c r="V71" s="465" t="n"/>
      <c r="W71" s="466" t="n"/>
      <c r="X71" s="467" t="n"/>
    </row>
    <row r="72">
      <c r="B72" s="27" t="n"/>
      <c r="C72" s="11" t="n"/>
      <c r="D72" s="126" t="n"/>
      <c r="E72" s="127" t="n"/>
      <c r="F72" s="473" t="n"/>
      <c r="G72" s="464" t="n"/>
      <c r="H72" s="465" t="n"/>
      <c r="I72" s="465" t="n"/>
      <c r="J72" s="465" t="n"/>
      <c r="K72" s="466" t="n"/>
      <c r="L72" s="467" t="n"/>
      <c r="M72" s="468" t="n"/>
      <c r="N72" s="469" t="n"/>
      <c r="O72" s="469" t="n"/>
      <c r="P72" s="469" t="n"/>
      <c r="Q72" s="470" t="n"/>
      <c r="R72" s="471" t="n"/>
      <c r="S72" s="472" t="n"/>
      <c r="T72" s="465" t="n"/>
      <c r="U72" s="465" t="n"/>
      <c r="V72" s="465" t="n"/>
      <c r="W72" s="466" t="n"/>
      <c r="X72" s="467" t="n"/>
    </row>
    <row r="73" ht="17.25" customHeight="1" s="362" thickBot="1">
      <c r="B73" s="34" t="n"/>
      <c r="C73" s="105" t="n"/>
      <c r="D73" s="126" t="n"/>
      <c r="E73" s="131" t="n"/>
      <c r="F73" s="130" t="n"/>
      <c r="G73" s="474" t="n"/>
      <c r="H73" s="475" t="n"/>
      <c r="I73" s="475" t="n"/>
      <c r="J73" s="475" t="n"/>
      <c r="K73" s="476" t="n"/>
      <c r="L73" s="477" t="n"/>
      <c r="M73" s="478" t="n"/>
      <c r="N73" s="479" t="n"/>
      <c r="O73" s="479" t="n"/>
      <c r="P73" s="479" t="n"/>
      <c r="Q73" s="480" t="n"/>
      <c r="R73" s="481" t="n"/>
      <c r="S73" s="482" t="n"/>
      <c r="T73" s="475" t="n"/>
      <c r="U73" s="475" t="n"/>
      <c r="V73" s="475" t="n"/>
      <c r="W73" s="476" t="n"/>
      <c r="X73" s="477" t="n"/>
    </row>
    <row r="74" ht="17.25" customHeight="1" s="362" thickBot="1">
      <c r="B74" s="483" t="n"/>
      <c r="C74" s="484" t="n"/>
      <c r="D74" s="484" t="n"/>
      <c r="E74" s="484" t="n"/>
      <c r="F74" s="485" t="n"/>
      <c r="G74" s="486" t="n"/>
      <c r="H74" s="487" t="n"/>
      <c r="I74" s="487" t="n"/>
      <c r="J74" s="487" t="n"/>
      <c r="K74" s="488" t="n"/>
      <c r="L74" s="489" t="n"/>
      <c r="M74" s="486" t="n"/>
      <c r="N74" s="487" t="n"/>
      <c r="O74" s="487" t="n"/>
      <c r="P74" s="487" t="n"/>
      <c r="Q74" s="488" t="n"/>
      <c r="R74" s="489" t="n"/>
      <c r="S74" s="486" t="n"/>
      <c r="T74" s="487" t="n"/>
      <c r="U74" s="487" t="n"/>
      <c r="V74" s="487" t="n"/>
      <c r="W74" s="488" t="n"/>
      <c r="X74" s="489" t="n"/>
    </row>
  </sheetData>
  <mergeCells count="6">
    <mergeCell ref="D4:F4"/>
    <mergeCell ref="M4:R4"/>
    <mergeCell ref="S4:X4"/>
    <mergeCell ref="G4:L4"/>
    <mergeCell ref="B3:X3"/>
    <mergeCell ref="B74:F74"/>
  </mergeCells>
  <conditionalFormatting sqref="D55:X73">
    <cfRule type="expression" priority="4" dxfId="19">
      <formula>SUM($M55:$Q55)&gt;0</formula>
    </cfRule>
  </conditionalFormatting>
  <conditionalFormatting sqref="D6:L54 R6:X54">
    <cfRule type="expression" priority="3" dxfId="189">
      <formula>SUM($M6:$Q6)&gt;0</formula>
    </cfRule>
  </conditionalFormatting>
  <conditionalFormatting sqref="M6:Q14 Q15:Q54">
    <cfRule type="expression" priority="2" dxfId="189">
      <formula>SUM($M6:$Q6)&gt;0</formula>
    </cfRule>
  </conditionalFormatting>
  <conditionalFormatting sqref="M15:P54">
    <cfRule type="expression" priority="1" dxfId="189">
      <formula>SUM($M15:$Q15)&gt;0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5">
    <outlinePr summaryBelow="1" summaryRight="1"/>
    <pageSetUpPr fitToPage="1"/>
  </sheetPr>
  <dimension ref="A1:S84"/>
  <sheetViews>
    <sheetView showGridLines="0" tabSelected="1" zoomScaleNormal="100" workbookViewId="0">
      <pane xSplit="8" ySplit="4" topLeftCell="I5" activePane="bottomRight" state="frozen"/>
      <selection activeCell="G19" sqref="G19"/>
      <selection pane="topRight" activeCell="G19" sqref="G19"/>
      <selection pane="bottomLeft" activeCell="G19" sqref="G19"/>
      <selection pane="bottomRight" activeCell="G10" sqref="G10"/>
    </sheetView>
  </sheetViews>
  <sheetFormatPr baseColWidth="8" defaultColWidth="8.75" defaultRowHeight="15" customHeight="1"/>
  <cols>
    <col width="2.25" customWidth="1" style="10" min="1" max="1"/>
    <col width="8.75" customWidth="1" style="10" min="2" max="5"/>
    <col width="21.875" customWidth="1" style="10" min="6" max="6"/>
    <col width="37.25" customWidth="1" style="10" min="7" max="7"/>
    <col width="8.75" customWidth="1" style="10" min="8" max="8"/>
    <col width="11.125" customWidth="1" style="490" min="9" max="12"/>
    <col width="14.125" customWidth="1" style="491" min="13" max="13"/>
    <col width="11.125" customWidth="1" style="490" min="14" max="14"/>
    <col width="14.125" customWidth="1" style="491" min="15" max="15"/>
    <col width="18.25" customWidth="1" style="72" min="16" max="16"/>
    <col width="18.5" bestFit="1" customWidth="1" style="72" min="17" max="18"/>
    <col width="30.25" customWidth="1" style="72" min="19" max="19"/>
    <col width="8.75" customWidth="1" style="10" min="20" max="16384"/>
  </cols>
  <sheetData>
    <row r="1" ht="22.5" customHeight="1" s="362">
      <c r="B1" s="113" t="inlineStr">
        <is>
          <t>4. 물량</t>
        </is>
      </c>
    </row>
    <row r="2" ht="17.25" customHeight="1" s="362" thickBot="1">
      <c r="B2" s="114">
        <f>CONCATENATE("금일 작업 현황 :",TEXT(Cover!E15," YYYY-MM-DD, aaaa"))</f>
        <v/>
      </c>
    </row>
    <row r="3" ht="15" customHeight="1" s="362">
      <c r="B3" s="185" t="inlineStr">
        <is>
          <t>구분</t>
        </is>
      </c>
      <c r="C3" s="186" t="inlineStr">
        <is>
          <t>Zone</t>
        </is>
      </c>
      <c r="D3" s="186" t="inlineStr">
        <is>
          <t>공종</t>
        </is>
      </c>
      <c r="E3" s="186" t="inlineStr">
        <is>
          <t>BP사</t>
        </is>
      </c>
      <c r="F3" s="186" t="inlineStr">
        <is>
          <t>Scope</t>
        </is>
      </c>
      <c r="G3" s="186" t="inlineStr">
        <is>
          <t>대표물량_작업 내용</t>
        </is>
      </c>
      <c r="H3" s="186" t="inlineStr">
        <is>
          <t>단위</t>
        </is>
      </c>
      <c r="I3" s="492" t="inlineStr">
        <is>
          <t>총물량</t>
        </is>
      </c>
      <c r="J3" s="492" t="inlineStr">
        <is>
          <t>전일누적</t>
        </is>
      </c>
      <c r="K3" s="492" t="inlineStr">
        <is>
          <t>금일실적</t>
        </is>
      </c>
      <c r="L3" s="336" t="inlineStr">
        <is>
          <t>금일누적</t>
        </is>
      </c>
      <c r="M3" s="406" t="n"/>
      <c r="N3" s="336" t="inlineStr">
        <is>
          <t>잔여</t>
        </is>
      </c>
      <c r="O3" s="406" t="n"/>
      <c r="P3" s="224" t="inlineStr">
        <is>
          <t>작업 위치_코드</t>
        </is>
      </c>
      <c r="Q3" s="225" t="inlineStr">
        <is>
          <t>공종명 (Line명)</t>
        </is>
      </c>
      <c r="R3" s="225" t="n"/>
      <c r="S3" s="225" t="n"/>
    </row>
    <row r="4" ht="15" customHeight="1" s="362" thickBot="1">
      <c r="B4" s="188" t="inlineStr">
        <is>
          <t>PJT</t>
        </is>
      </c>
      <c r="C4" s="189" t="n"/>
      <c r="D4" s="189" t="inlineStr">
        <is>
          <t>Dis</t>
        </is>
      </c>
      <c r="E4" s="189" t="inlineStr">
        <is>
          <t>협력업체</t>
        </is>
      </c>
      <c r="F4" s="189" t="n"/>
      <c r="G4" s="190" t="n"/>
      <c r="H4" s="190" t="n"/>
      <c r="I4" s="493" t="inlineStr">
        <is>
          <t>[A]</t>
        </is>
      </c>
      <c r="J4" s="493" t="inlineStr">
        <is>
          <t>[B]</t>
        </is>
      </c>
      <c r="K4" s="493" t="inlineStr">
        <is>
          <t>[C]</t>
        </is>
      </c>
      <c r="L4" s="493" t="inlineStr">
        <is>
          <t>[D = B+C]</t>
        </is>
      </c>
      <c r="M4" s="494" t="inlineStr">
        <is>
          <t>F% : [D/A]</t>
        </is>
      </c>
      <c r="N4" s="493" t="inlineStr">
        <is>
          <t>[E = A-D]</t>
        </is>
      </c>
      <c r="O4" s="494" t="inlineStr">
        <is>
          <t>G% : [100% -F ]</t>
        </is>
      </c>
      <c r="P4" s="226" t="n"/>
      <c r="Q4" s="227" t="inlineStr">
        <is>
          <t>중공종명 (WBS 중공종)</t>
        </is>
      </c>
      <c r="R4" s="227" t="inlineStr">
        <is>
          <t>소공종명 (WBS 소공종)</t>
        </is>
      </c>
      <c r="S4" s="227" t="inlineStr">
        <is>
          <t>세공종명 (WBS 세공종)</t>
        </is>
      </c>
    </row>
    <row r="5" ht="15" customHeight="1" s="362">
      <c r="B5" s="31" t="n"/>
      <c r="C5" s="32" t="n"/>
      <c r="D5" s="32" t="inlineStr">
        <is>
          <t>건축</t>
        </is>
      </c>
      <c r="E5" s="32" t="inlineStr">
        <is>
          <t>PH_X-098</t>
        </is>
      </c>
      <c r="F5" s="195" t="inlineStr">
        <is>
          <t>F02,03,04</t>
        </is>
      </c>
      <c r="G5" s="140" t="inlineStr">
        <is>
          <t>하지철물_하지철물설치작업</t>
        </is>
      </c>
      <c r="H5" s="196" t="inlineStr">
        <is>
          <t>kg</t>
        </is>
      </c>
      <c r="I5" s="495" t="n">
        <v>162804.5</v>
      </c>
      <c r="J5" s="496" t="n">
        <v>160960.7109999999</v>
      </c>
      <c r="K5" s="495" t="n">
        <v>1835.8</v>
      </c>
      <c r="L5" s="496" t="n">
        <v>162796.5109999999</v>
      </c>
      <c r="M5" s="497" t="n">
        <v>1</v>
      </c>
      <c r="N5" s="496" t="n">
        <v>8</v>
      </c>
      <c r="O5" s="497" t="n">
        <v>0</v>
      </c>
      <c r="P5" s="140" t="inlineStr">
        <is>
          <t>F02,03,04</t>
        </is>
      </c>
      <c r="Q5" s="140" t="inlineStr">
        <is>
          <t>건축</t>
        </is>
      </c>
      <c r="R5" s="140" t="n"/>
      <c r="S5" s="140" t="n"/>
    </row>
    <row r="6" ht="15" customHeight="1" s="362">
      <c r="B6" s="31" t="n"/>
      <c r="C6" s="32" t="n"/>
      <c r="D6" s="32" t="inlineStr">
        <is>
          <t>건축</t>
        </is>
      </c>
      <c r="E6" s="32" t="inlineStr">
        <is>
          <t>글로벌유명</t>
        </is>
      </c>
      <c r="F6" s="195" t="inlineStr">
        <is>
          <t>F02,03,04</t>
        </is>
      </c>
      <c r="G6" s="140" t="inlineStr">
        <is>
          <t>외장판넬_외장판넬설치작업</t>
        </is>
      </c>
      <c r="H6" s="196" t="inlineStr">
        <is>
          <t>m2</t>
        </is>
      </c>
      <c r="I6" s="495" t="n">
        <v>51975</v>
      </c>
      <c r="J6" s="496" t="n">
        <v>45460.2</v>
      </c>
      <c r="K6" s="495" t="n">
        <v>54</v>
      </c>
      <c r="L6" s="496" t="n">
        <v>45514.2</v>
      </c>
      <c r="M6" s="497" t="n">
        <v>0.8757</v>
      </c>
      <c r="N6" s="496" t="n">
        <v>6460.8</v>
      </c>
      <c r="O6" s="497" t="n">
        <v>0.1243</v>
      </c>
      <c r="P6" s="140" t="inlineStr">
        <is>
          <t>F02,03,04</t>
        </is>
      </c>
      <c r="Q6" s="140" t="inlineStr">
        <is>
          <t>건축</t>
        </is>
      </c>
      <c r="R6" s="140" t="n"/>
      <c r="S6" s="140" t="n"/>
    </row>
    <row r="7" ht="15" customHeight="1" s="362">
      <c r="B7" s="31" t="n"/>
      <c r="C7" s="32" t="n"/>
      <c r="D7" s="32" t="inlineStr">
        <is>
          <t>건축</t>
        </is>
      </c>
      <c r="E7" s="32" t="n"/>
      <c r="F7" s="195" t="inlineStr">
        <is>
          <t>F02,03,04</t>
        </is>
      </c>
      <c r="G7" s="140" t="inlineStr">
        <is>
          <t>하지철물_하지철물설치작업</t>
        </is>
      </c>
      <c r="H7" s="196" t="inlineStr">
        <is>
          <t>kg</t>
        </is>
      </c>
      <c r="I7" s="495" t="n">
        <v>133051</v>
      </c>
      <c r="J7" s="496" t="n">
        <v>2858.79</v>
      </c>
      <c r="K7" s="495" t="n">
        <v>370.89</v>
      </c>
      <c r="L7" s="496" t="n">
        <v>3229.68</v>
      </c>
      <c r="M7" s="497" t="n">
        <v>0.0243</v>
      </c>
      <c r="N7" s="496" t="n">
        <v>129821.3</v>
      </c>
      <c r="O7" s="497" t="n">
        <v>0.9757</v>
      </c>
      <c r="P7" s="140" t="inlineStr">
        <is>
          <t>F02,03,04</t>
        </is>
      </c>
      <c r="Q7" s="140" t="inlineStr">
        <is>
          <t>건축</t>
        </is>
      </c>
      <c r="R7" s="140" t="n"/>
      <c r="S7" s="140" t="n"/>
    </row>
    <row r="8" ht="15" customHeight="1" s="362">
      <c r="B8" s="31" t="n"/>
      <c r="C8" s="32" t="n"/>
      <c r="D8" s="32" t="n"/>
      <c r="E8" s="32" t="n"/>
      <c r="F8" s="195" t="n"/>
      <c r="G8" s="140" t="n"/>
      <c r="H8" s="196" t="n"/>
      <c r="I8" s="495" t="n"/>
      <c r="J8" s="496" t="n"/>
      <c r="K8" s="495" t="n"/>
      <c r="L8" s="496" t="n"/>
      <c r="M8" s="497" t="n"/>
      <c r="N8" s="496" t="n"/>
      <c r="O8" s="497" t="n"/>
      <c r="P8" s="140" t="n"/>
      <c r="Q8" s="140" t="n"/>
      <c r="R8" s="140" t="n"/>
      <c r="S8" s="140" t="n"/>
    </row>
    <row r="9" ht="15" customHeight="1" s="362">
      <c r="B9" s="31" t="n"/>
      <c r="C9" s="32" t="n"/>
      <c r="D9" s="32" t="n"/>
      <c r="E9" s="32" t="n"/>
      <c r="F9" s="195" t="n"/>
      <c r="G9" s="140" t="n"/>
      <c r="H9" s="196" t="n"/>
      <c r="I9" s="495" t="n"/>
      <c r="J9" s="496" t="n"/>
      <c r="K9" s="495" t="n"/>
      <c r="L9" s="496" t="n"/>
      <c r="M9" s="497" t="n"/>
      <c r="N9" s="496" t="n"/>
      <c r="O9" s="497" t="n"/>
      <c r="P9" s="140" t="n"/>
      <c r="Q9" s="140" t="n"/>
      <c r="R9" s="140" t="n"/>
      <c r="S9" s="140" t="n"/>
    </row>
    <row r="10" ht="15" customHeight="1" s="362">
      <c r="B10" s="31" t="n"/>
      <c r="C10" s="32" t="n"/>
      <c r="D10" s="32" t="n"/>
      <c r="E10" s="32" t="n"/>
      <c r="F10" s="195" t="n"/>
      <c r="G10" s="140" t="n"/>
      <c r="H10" s="196" t="n"/>
      <c r="I10" s="495" t="n"/>
      <c r="J10" s="496" t="n"/>
      <c r="K10" s="495" t="n"/>
      <c r="L10" s="496" t="n"/>
      <c r="M10" s="497" t="n"/>
      <c r="N10" s="496" t="n"/>
      <c r="O10" s="497" t="n"/>
      <c r="P10" s="140" t="n"/>
      <c r="Q10" s="140" t="n"/>
      <c r="R10" s="140" t="n"/>
      <c r="S10" s="140" t="n"/>
    </row>
    <row r="11" ht="15" customHeight="1" s="362">
      <c r="B11" s="31" t="n"/>
      <c r="C11" s="32" t="n"/>
      <c r="D11" s="32" t="n"/>
      <c r="E11" s="32" t="n"/>
      <c r="F11" s="195" t="n"/>
      <c r="G11" s="140" t="n"/>
      <c r="H11" s="196" t="n"/>
      <c r="I11" s="495" t="n"/>
      <c r="J11" s="496" t="n"/>
      <c r="K11" s="495" t="n"/>
      <c r="L11" s="496" t="n"/>
      <c r="M11" s="497" t="n"/>
      <c r="N11" s="496" t="n"/>
      <c r="O11" s="497" t="n"/>
      <c r="P11" s="140" t="n"/>
      <c r="Q11" s="140" t="n"/>
      <c r="R11" s="140" t="n"/>
      <c r="S11" s="140" t="n"/>
    </row>
    <row r="12" ht="15" customHeight="1" s="362">
      <c r="B12" s="31" t="n"/>
      <c r="C12" s="32" t="n"/>
      <c r="D12" s="32" t="n"/>
      <c r="E12" s="32" t="n"/>
      <c r="F12" s="195" t="n"/>
      <c r="G12" s="140" t="n"/>
      <c r="H12" s="196" t="n"/>
      <c r="I12" s="495" t="n"/>
      <c r="J12" s="496" t="n"/>
      <c r="K12" s="495" t="n"/>
      <c r="L12" s="496" t="n"/>
      <c r="M12" s="497" t="n"/>
      <c r="N12" s="496" t="n"/>
      <c r="O12" s="497" t="n"/>
      <c r="P12" s="140" t="n"/>
      <c r="Q12" s="229" t="n"/>
      <c r="R12" s="229" t="n"/>
      <c r="S12" s="140" t="n"/>
    </row>
    <row r="13" ht="15" customHeight="1" s="362">
      <c r="B13" s="31" t="n"/>
      <c r="C13" s="32" t="n"/>
      <c r="D13" s="32" t="n"/>
      <c r="E13" s="32" t="n"/>
      <c r="F13" s="195" t="n"/>
      <c r="G13" s="140" t="n"/>
      <c r="H13" s="196" t="n"/>
      <c r="I13" s="495" t="n"/>
      <c r="J13" s="496" t="n"/>
      <c r="K13" s="495" t="n"/>
      <c r="L13" s="496" t="n"/>
      <c r="M13" s="497" t="n"/>
      <c r="N13" s="496" t="n"/>
      <c r="O13" s="497" t="n"/>
      <c r="P13" s="140" t="n"/>
      <c r="Q13" s="140" t="n"/>
      <c r="R13" s="140" t="n"/>
      <c r="S13" s="140" t="n"/>
    </row>
    <row r="14" ht="15" customHeight="1" s="362">
      <c r="B14" s="31" t="n"/>
      <c r="C14" s="32" t="n"/>
      <c r="D14" s="32" t="n"/>
      <c r="E14" s="32" t="n"/>
      <c r="F14" s="195" t="n"/>
      <c r="G14" s="140" t="n"/>
      <c r="H14" s="196" t="n"/>
      <c r="I14" s="495" t="n"/>
      <c r="J14" s="496" t="n"/>
      <c r="K14" s="495" t="n"/>
      <c r="L14" s="496" t="n"/>
      <c r="M14" s="497" t="n"/>
      <c r="N14" s="496" t="n"/>
      <c r="O14" s="497" t="n"/>
      <c r="P14" s="140" t="n"/>
      <c r="Q14" s="140" t="n"/>
      <c r="R14" s="140" t="n"/>
      <c r="S14" s="140" t="n"/>
    </row>
    <row r="15" ht="15" customHeight="1" s="362">
      <c r="B15" s="31" t="n"/>
      <c r="C15" s="32" t="n"/>
      <c r="D15" s="32" t="n"/>
      <c r="E15" s="32" t="n"/>
      <c r="F15" s="195" t="n"/>
      <c r="G15" s="140" t="n"/>
      <c r="H15" s="196" t="n"/>
      <c r="I15" s="495" t="n"/>
      <c r="J15" s="496" t="n"/>
      <c r="K15" s="495" t="n"/>
      <c r="L15" s="496" t="n"/>
      <c r="M15" s="497" t="n"/>
      <c r="N15" s="496" t="n"/>
      <c r="O15" s="497" t="n"/>
      <c r="P15" s="140" t="n"/>
      <c r="Q15" s="140" t="n"/>
      <c r="R15" s="140" t="n"/>
      <c r="S15" s="140" t="n"/>
    </row>
    <row r="16" ht="15" customHeight="1" s="362">
      <c r="B16" s="31" t="n"/>
      <c r="C16" s="32" t="n"/>
      <c r="D16" s="32" t="n"/>
      <c r="E16" s="32" t="n"/>
      <c r="F16" s="195" t="n"/>
      <c r="G16" s="140" t="n"/>
      <c r="H16" s="196" t="n"/>
      <c r="I16" s="495" t="n"/>
      <c r="J16" s="496" t="n"/>
      <c r="K16" s="495" t="n"/>
      <c r="L16" s="496" t="n"/>
      <c r="M16" s="497" t="n"/>
      <c r="N16" s="496" t="n"/>
      <c r="O16" s="497" t="n"/>
      <c r="P16" s="140" t="n"/>
      <c r="Q16" s="140" t="n"/>
      <c r="R16" s="140" t="n"/>
      <c r="S16" s="140" t="n"/>
    </row>
    <row r="17" ht="15" customHeight="1" s="362">
      <c r="B17" s="31" t="n"/>
      <c r="C17" s="32" t="n"/>
      <c r="D17" s="32" t="n"/>
      <c r="E17" s="32" t="n"/>
      <c r="F17" s="195" t="n"/>
      <c r="G17" s="140" t="n"/>
      <c r="H17" s="196" t="n"/>
      <c r="I17" s="495" t="n"/>
      <c r="J17" s="496" t="n"/>
      <c r="K17" s="495" t="n"/>
      <c r="L17" s="496" t="n"/>
      <c r="M17" s="497" t="n"/>
      <c r="N17" s="496" t="n"/>
      <c r="O17" s="497" t="n"/>
      <c r="P17" s="140" t="n"/>
      <c r="Q17" s="229" t="n"/>
      <c r="R17" s="229" t="n"/>
      <c r="S17" s="140" t="n"/>
    </row>
    <row r="18" ht="15" customHeight="1" s="362">
      <c r="B18" s="31" t="n"/>
      <c r="C18" s="32" t="n"/>
      <c r="D18" s="32" t="n"/>
      <c r="E18" s="32" t="n"/>
      <c r="F18" s="195" t="n"/>
      <c r="G18" s="140" t="n"/>
      <c r="H18" s="196" t="n"/>
      <c r="I18" s="495" t="n"/>
      <c r="J18" s="496" t="n"/>
      <c r="K18" s="495" t="n"/>
      <c r="L18" s="496" t="n"/>
      <c r="M18" s="497" t="n"/>
      <c r="N18" s="496" t="n"/>
      <c r="O18" s="497" t="n"/>
      <c r="P18" s="140" t="n"/>
      <c r="Q18" s="140" t="n"/>
      <c r="R18" s="140" t="n"/>
      <c r="S18" s="140" t="n"/>
    </row>
    <row r="19" ht="15" customHeight="1" s="362">
      <c r="B19" s="31" t="n"/>
      <c r="C19" s="32" t="n"/>
      <c r="D19" s="32" t="n"/>
      <c r="E19" s="32" t="n"/>
      <c r="F19" s="195" t="n"/>
      <c r="G19" s="140" t="n"/>
      <c r="H19" s="196" t="n"/>
      <c r="I19" s="495" t="n"/>
      <c r="J19" s="496" t="n"/>
      <c r="K19" s="495" t="n"/>
      <c r="L19" s="496" t="n"/>
      <c r="M19" s="497" t="n"/>
      <c r="N19" s="496" t="n"/>
      <c r="O19" s="497" t="n"/>
      <c r="P19" s="140" t="n"/>
      <c r="Q19" s="140" t="n"/>
      <c r="R19" s="140" t="n"/>
      <c r="S19" s="140" t="n"/>
    </row>
    <row r="20" ht="15" customHeight="1" s="362">
      <c r="B20" s="31" t="n"/>
      <c r="C20" s="32" t="n"/>
      <c r="D20" s="32" t="n"/>
      <c r="E20" s="32" t="n"/>
      <c r="F20" s="195" t="n"/>
      <c r="G20" s="140" t="n"/>
      <c r="H20" s="196" t="n"/>
      <c r="I20" s="495" t="n"/>
      <c r="J20" s="496" t="n"/>
      <c r="K20" s="495" t="n"/>
      <c r="L20" s="496" t="n"/>
      <c r="M20" s="497" t="n"/>
      <c r="N20" s="496" t="n"/>
      <c r="O20" s="497" t="n"/>
      <c r="P20" s="140" t="n"/>
      <c r="Q20" s="140" t="n"/>
      <c r="R20" s="140" t="n"/>
      <c r="S20" s="140" t="n"/>
    </row>
    <row r="21" ht="15" customHeight="1" s="362">
      <c r="B21" s="31" t="n"/>
      <c r="C21" s="32" t="n"/>
      <c r="D21" s="32" t="n"/>
      <c r="E21" s="32" t="n"/>
      <c r="F21" s="195" t="n"/>
      <c r="G21" s="140" t="n"/>
      <c r="H21" s="196" t="n"/>
      <c r="I21" s="495" t="n"/>
      <c r="J21" s="496" t="n"/>
      <c r="K21" s="495" t="n"/>
      <c r="L21" s="496" t="n"/>
      <c r="M21" s="497" t="n"/>
      <c r="N21" s="496" t="n"/>
      <c r="O21" s="497" t="n"/>
      <c r="P21" s="140" t="n"/>
      <c r="Q21" s="140" t="n"/>
      <c r="R21" s="140" t="n"/>
      <c r="S21" s="140" t="n"/>
    </row>
    <row r="22" ht="15" customHeight="1" s="362">
      <c r="B22" s="31" t="n"/>
      <c r="C22" s="32" t="n"/>
      <c r="D22" s="32" t="n"/>
      <c r="E22" s="32" t="n"/>
      <c r="F22" s="195" t="n"/>
      <c r="G22" s="140" t="n"/>
      <c r="H22" s="196" t="n"/>
      <c r="I22" s="495" t="n"/>
      <c r="J22" s="496" t="n"/>
      <c r="K22" s="495" t="n"/>
      <c r="L22" s="496" t="n"/>
      <c r="M22" s="497" t="n"/>
      <c r="N22" s="496" t="n"/>
      <c r="O22" s="497" t="n"/>
      <c r="P22" s="140" t="n"/>
      <c r="Q22" s="229" t="n"/>
      <c r="R22" s="229" t="n"/>
      <c r="S22" s="140" t="n"/>
    </row>
    <row r="23" ht="15" customHeight="1" s="362">
      <c r="B23" s="31" t="n"/>
      <c r="C23" s="32" t="n"/>
      <c r="D23" s="32" t="n"/>
      <c r="E23" s="32" t="n"/>
      <c r="F23" s="195" t="n"/>
      <c r="G23" s="140" t="n"/>
      <c r="H23" s="196" t="n"/>
      <c r="I23" s="495" t="n"/>
      <c r="J23" s="496" t="n"/>
      <c r="K23" s="495" t="n"/>
      <c r="L23" s="496" t="n"/>
      <c r="M23" s="497" t="n"/>
      <c r="N23" s="496" t="n"/>
      <c r="O23" s="497" t="n"/>
      <c r="P23" s="140" t="n"/>
      <c r="Q23" s="140" t="n"/>
      <c r="R23" s="140" t="n"/>
      <c r="S23" s="140" t="n"/>
    </row>
    <row r="24" ht="15" customHeight="1" s="362">
      <c r="B24" s="31" t="n"/>
      <c r="C24" s="32" t="n"/>
      <c r="D24" s="32" t="n"/>
      <c r="E24" s="32" t="n"/>
      <c r="F24" s="195" t="n"/>
      <c r="G24" s="140" t="n"/>
      <c r="H24" s="196" t="n"/>
      <c r="I24" s="495" t="n"/>
      <c r="J24" s="496" t="n"/>
      <c r="K24" s="495" t="n"/>
      <c r="L24" s="496" t="n"/>
      <c r="M24" s="497" t="n"/>
      <c r="N24" s="496" t="n"/>
      <c r="O24" s="497" t="n"/>
      <c r="P24" s="140" t="n"/>
      <c r="Q24" s="140" t="n"/>
      <c r="R24" s="140" t="n"/>
      <c r="S24" s="140" t="n"/>
    </row>
    <row r="25" ht="15" customHeight="1" s="362">
      <c r="B25" s="31" t="n"/>
      <c r="C25" s="32" t="n"/>
      <c r="D25" s="32" t="n"/>
      <c r="E25" s="32" t="n"/>
      <c r="F25" s="195" t="n"/>
      <c r="G25" s="140" t="n"/>
      <c r="H25" s="196" t="n"/>
      <c r="I25" s="495" t="n"/>
      <c r="J25" s="496" t="n"/>
      <c r="K25" s="495" t="n"/>
      <c r="L25" s="496" t="n"/>
      <c r="M25" s="497" t="n"/>
      <c r="N25" s="496" t="n"/>
      <c r="O25" s="497" t="n"/>
      <c r="P25" s="140" t="n"/>
      <c r="Q25" s="140" t="n"/>
      <c r="R25" s="140" t="n"/>
      <c r="S25" s="140" t="n"/>
    </row>
    <row r="26" ht="15" customHeight="1" s="362">
      <c r="B26" s="31" t="n"/>
      <c r="C26" s="32" t="n"/>
      <c r="D26" s="32" t="n"/>
      <c r="E26" s="32" t="n"/>
      <c r="F26" s="195" t="n"/>
      <c r="G26" s="140" t="n"/>
      <c r="H26" s="196" t="n"/>
      <c r="I26" s="495" t="n"/>
      <c r="J26" s="496" t="n"/>
      <c r="K26" s="495" t="n"/>
      <c r="L26" s="496" t="n"/>
      <c r="M26" s="497" t="n"/>
      <c r="N26" s="496" t="n"/>
      <c r="O26" s="497" t="n"/>
      <c r="P26" s="140" t="n"/>
      <c r="Q26" s="140" t="n"/>
      <c r="R26" s="140" t="n"/>
      <c r="S26" s="140" t="n"/>
    </row>
    <row r="27" ht="15" customHeight="1" s="362">
      <c r="B27" s="31" t="n"/>
      <c r="C27" s="32" t="n"/>
      <c r="D27" s="32" t="n"/>
      <c r="E27" s="32" t="n"/>
      <c r="F27" s="195" t="n"/>
      <c r="G27" s="140" t="n"/>
      <c r="H27" s="196" t="n"/>
      <c r="I27" s="495" t="n"/>
      <c r="J27" s="496" t="n"/>
      <c r="K27" s="495" t="n"/>
      <c r="L27" s="496" t="n"/>
      <c r="M27" s="497" t="n"/>
      <c r="N27" s="496" t="n"/>
      <c r="O27" s="497" t="n"/>
      <c r="P27" s="140" t="n"/>
      <c r="Q27" s="140" t="n"/>
      <c r="R27" s="140" t="n"/>
      <c r="S27" s="140" t="n"/>
    </row>
    <row r="28" ht="15" customHeight="1" s="362">
      <c r="B28" s="31" t="n"/>
      <c r="C28" s="32" t="n"/>
      <c r="D28" s="32" t="n"/>
      <c r="E28" s="32" t="n"/>
      <c r="F28" s="195" t="n"/>
      <c r="G28" s="140" t="n"/>
      <c r="H28" s="196" t="n"/>
      <c r="I28" s="495" t="n"/>
      <c r="J28" s="496" t="n"/>
      <c r="K28" s="495" t="n"/>
      <c r="L28" s="496" t="n"/>
      <c r="M28" s="497" t="n"/>
      <c r="N28" s="496" t="n"/>
      <c r="O28" s="497" t="n"/>
      <c r="P28" s="140" t="n"/>
      <c r="Q28" s="229" t="n"/>
      <c r="R28" s="229" t="n"/>
      <c r="S28" s="140" t="n"/>
    </row>
    <row r="29" ht="15" customHeight="1" s="362">
      <c r="B29" s="31" t="n"/>
      <c r="C29" s="32" t="n"/>
      <c r="D29" s="32" t="n"/>
      <c r="E29" s="32" t="n"/>
      <c r="F29" s="195" t="n"/>
      <c r="G29" s="140" t="n"/>
      <c r="H29" s="196" t="n"/>
      <c r="I29" s="495" t="n"/>
      <c r="J29" s="496" t="n"/>
      <c r="K29" s="495" t="n"/>
      <c r="L29" s="496" t="n"/>
      <c r="M29" s="497" t="n"/>
      <c r="N29" s="496" t="n"/>
      <c r="O29" s="497" t="n"/>
      <c r="P29" s="140" t="n"/>
      <c r="Q29" s="140" t="n"/>
      <c r="R29" s="140" t="n"/>
      <c r="S29" s="140" t="n"/>
    </row>
    <row r="30" ht="15" customHeight="1" s="362">
      <c r="B30" s="31" t="n"/>
      <c r="C30" s="32" t="n"/>
      <c r="D30" s="32" t="n"/>
      <c r="E30" s="32" t="n"/>
      <c r="F30" s="195" t="n"/>
      <c r="G30" s="140" t="n"/>
      <c r="H30" s="196" t="n"/>
      <c r="I30" s="495" t="n"/>
      <c r="J30" s="496" t="n"/>
      <c r="K30" s="495" t="n"/>
      <c r="L30" s="496" t="n"/>
      <c r="M30" s="497" t="n"/>
      <c r="N30" s="496" t="n"/>
      <c r="O30" s="497" t="n"/>
      <c r="P30" s="140" t="n"/>
      <c r="Q30" s="140" t="n"/>
      <c r="R30" s="140" t="n"/>
      <c r="S30" s="140" t="n"/>
    </row>
    <row r="31" ht="15" customHeight="1" s="362">
      <c r="B31" s="31" t="n"/>
      <c r="C31" s="32" t="n"/>
      <c r="D31" s="32" t="n"/>
      <c r="E31" s="32" t="n"/>
      <c r="F31" s="195" t="n"/>
      <c r="G31" s="140" t="n"/>
      <c r="H31" s="196" t="n"/>
      <c r="I31" s="495" t="n"/>
      <c r="J31" s="496" t="n"/>
      <c r="K31" s="495" t="n"/>
      <c r="L31" s="496" t="n"/>
      <c r="M31" s="497" t="n"/>
      <c r="N31" s="496" t="n"/>
      <c r="O31" s="497" t="n"/>
      <c r="P31" s="140" t="n"/>
      <c r="Q31" s="229" t="n"/>
      <c r="R31" s="229" t="n"/>
      <c r="S31" s="140" t="n"/>
    </row>
    <row r="32" ht="15" customHeight="1" s="362">
      <c r="B32" s="31" t="n"/>
      <c r="C32" s="32" t="n"/>
      <c r="D32" s="32" t="n"/>
      <c r="E32" s="32" t="n"/>
      <c r="F32" s="195" t="n"/>
      <c r="G32" s="140" t="n"/>
      <c r="H32" s="196" t="n"/>
      <c r="I32" s="495" t="n"/>
      <c r="J32" s="496" t="n"/>
      <c r="K32" s="495" t="n"/>
      <c r="L32" s="496" t="n"/>
      <c r="M32" s="497" t="n"/>
      <c r="N32" s="496" t="n"/>
      <c r="O32" s="497" t="n"/>
      <c r="P32" s="140" t="n"/>
      <c r="Q32" s="140" t="n"/>
      <c r="R32" s="140" t="n"/>
      <c r="S32" s="140" t="n"/>
    </row>
    <row r="33" ht="15" customHeight="1" s="362">
      <c r="B33" s="31" t="n"/>
      <c r="C33" s="32" t="n"/>
      <c r="D33" s="32" t="n"/>
      <c r="E33" s="32" t="n"/>
      <c r="F33" s="195" t="n"/>
      <c r="G33" s="140" t="n"/>
      <c r="H33" s="196" t="n"/>
      <c r="I33" s="495" t="n"/>
      <c r="J33" s="496" t="n"/>
      <c r="K33" s="495" t="n"/>
      <c r="L33" s="496" t="n"/>
      <c r="M33" s="497" t="n"/>
      <c r="N33" s="496" t="n"/>
      <c r="O33" s="497" t="n"/>
      <c r="P33" s="140" t="n"/>
      <c r="Q33" s="229" t="n"/>
      <c r="R33" s="229" t="n"/>
      <c r="S33" s="140" t="n"/>
    </row>
    <row r="34" ht="15" customHeight="1" s="362">
      <c r="B34" s="31" t="n"/>
      <c r="C34" s="32" t="n"/>
      <c r="D34" s="32" t="n"/>
      <c r="E34" s="32" t="n"/>
      <c r="F34" s="195" t="n"/>
      <c r="G34" s="140" t="n"/>
      <c r="H34" s="196" t="n"/>
      <c r="I34" s="495" t="n"/>
      <c r="J34" s="496" t="n"/>
      <c r="K34" s="495" t="n"/>
      <c r="L34" s="496" t="n"/>
      <c r="M34" s="497" t="n"/>
      <c r="N34" s="496" t="n"/>
      <c r="O34" s="497" t="n"/>
      <c r="P34" s="140" t="n"/>
      <c r="Q34" s="140" t="n"/>
      <c r="R34" s="140" t="n"/>
      <c r="S34" s="140" t="n"/>
    </row>
    <row r="35" ht="15" customHeight="1" s="362">
      <c r="B35" s="31" t="n"/>
      <c r="C35" s="32" t="n"/>
      <c r="D35" s="32" t="n"/>
      <c r="E35" s="32" t="n"/>
      <c r="F35" s="195" t="n"/>
      <c r="G35" s="140" t="n"/>
      <c r="H35" s="196" t="n"/>
      <c r="I35" s="495" t="n"/>
      <c r="J35" s="496" t="n"/>
      <c r="K35" s="495" t="n"/>
      <c r="L35" s="496" t="n"/>
      <c r="M35" s="497" t="n"/>
      <c r="N35" s="496" t="n"/>
      <c r="O35" s="497" t="n"/>
      <c r="P35" s="140" t="n"/>
      <c r="Q35" s="140" t="n"/>
      <c r="R35" s="140" t="n"/>
      <c r="S35" s="140" t="n"/>
    </row>
    <row r="36" ht="15" customHeight="1" s="362">
      <c r="B36" s="31" t="n"/>
      <c r="C36" s="32" t="n"/>
      <c r="D36" s="32" t="n"/>
      <c r="E36" s="32" t="n"/>
      <c r="F36" s="195" t="n"/>
      <c r="G36" s="140" t="n"/>
      <c r="H36" s="196" t="n"/>
      <c r="I36" s="495" t="n"/>
      <c r="J36" s="496" t="n"/>
      <c r="K36" s="495" t="n"/>
      <c r="L36" s="496" t="n"/>
      <c r="M36" s="497" t="n"/>
      <c r="N36" s="496" t="n"/>
      <c r="O36" s="497" t="n"/>
      <c r="P36" s="140" t="n"/>
      <c r="Q36" s="140" t="n"/>
      <c r="R36" s="140" t="n"/>
      <c r="S36" s="140" t="n"/>
    </row>
    <row r="37" ht="15" customHeight="1" s="362">
      <c r="B37" s="31" t="n"/>
      <c r="C37" s="32" t="n"/>
      <c r="D37" s="32" t="n"/>
      <c r="E37" s="32" t="n"/>
      <c r="F37" s="195" t="n"/>
      <c r="G37" s="140" t="n"/>
      <c r="H37" s="196" t="n"/>
      <c r="I37" s="495" t="n"/>
      <c r="J37" s="496" t="n"/>
      <c r="K37" s="495" t="n"/>
      <c r="L37" s="496" t="n"/>
      <c r="M37" s="497" t="n"/>
      <c r="N37" s="496" t="n"/>
      <c r="O37" s="497" t="n"/>
      <c r="P37" s="140" t="n"/>
      <c r="Q37" s="229" t="n"/>
      <c r="R37" s="229" t="n"/>
      <c r="S37" s="140" t="n"/>
    </row>
    <row r="38" ht="15" customHeight="1" s="362">
      <c r="B38" s="31" t="n"/>
      <c r="C38" s="32" t="n"/>
      <c r="D38" s="32" t="n"/>
      <c r="E38" s="32" t="n"/>
      <c r="F38" s="195" t="n"/>
      <c r="G38" s="140" t="n"/>
      <c r="H38" s="140" t="n"/>
      <c r="I38" s="495" t="n"/>
      <c r="J38" s="496" t="n"/>
      <c r="K38" s="495" t="n"/>
      <c r="L38" s="496" t="n"/>
      <c r="M38" s="497" t="n"/>
      <c r="N38" s="496" t="n"/>
      <c r="O38" s="497" t="n"/>
      <c r="P38" s="228" t="n"/>
      <c r="Q38" s="229" t="n"/>
      <c r="R38" s="229" t="n"/>
      <c r="S38" s="229" t="n"/>
    </row>
    <row r="39" ht="15" customHeight="1" s="362">
      <c r="B39" s="31" t="n"/>
      <c r="C39" s="32" t="n"/>
      <c r="D39" s="32" t="n"/>
      <c r="E39" s="32" t="n"/>
      <c r="F39" s="195" t="n"/>
      <c r="G39" s="140" t="n"/>
      <c r="H39" s="140" t="n"/>
      <c r="I39" s="495" t="n"/>
      <c r="J39" s="496" t="n"/>
      <c r="K39" s="495" t="n"/>
      <c r="L39" s="496" t="n"/>
      <c r="M39" s="497" t="n"/>
      <c r="N39" s="496" t="n"/>
      <c r="O39" s="497" t="n"/>
      <c r="P39" s="228" t="n"/>
      <c r="Q39" s="229" t="n"/>
      <c r="R39" s="229" t="n"/>
      <c r="S39" s="229" t="n"/>
    </row>
    <row r="40" ht="15" customHeight="1" s="362">
      <c r="B40" s="31" t="n"/>
      <c r="C40" s="32" t="n"/>
      <c r="D40" s="32" t="n"/>
      <c r="E40" s="32" t="n"/>
      <c r="F40" s="195" t="n"/>
      <c r="G40" s="140" t="n"/>
      <c r="H40" s="140" t="n"/>
      <c r="I40" s="495" t="n"/>
      <c r="J40" s="496" t="n"/>
      <c r="K40" s="495" t="n"/>
      <c r="L40" s="496" t="n"/>
      <c r="M40" s="497" t="n"/>
      <c r="N40" s="496" t="n"/>
      <c r="O40" s="497" t="n"/>
      <c r="P40" s="228" t="n"/>
      <c r="Q40" s="229" t="n"/>
      <c r="R40" s="229" t="n"/>
      <c r="S40" s="229" t="n"/>
    </row>
    <row r="41" ht="15" customHeight="1" s="362">
      <c r="B41" s="31" t="n"/>
      <c r="C41" s="32" t="n"/>
      <c r="D41" s="32" t="n"/>
      <c r="E41" s="32" t="n"/>
      <c r="F41" s="195" t="n"/>
      <c r="G41" s="140" t="n"/>
      <c r="H41" s="140" t="n"/>
      <c r="I41" s="495" t="n"/>
      <c r="J41" s="496" t="n"/>
      <c r="K41" s="495" t="n"/>
      <c r="L41" s="496" t="n"/>
      <c r="M41" s="497" t="n"/>
      <c r="N41" s="496" t="n"/>
      <c r="O41" s="497" t="n"/>
      <c r="P41" s="228" t="n"/>
      <c r="Q41" s="229" t="n"/>
      <c r="R41" s="229" t="n"/>
      <c r="S41" s="229" t="n"/>
    </row>
    <row r="42" ht="15" customHeight="1" s="362">
      <c r="B42" s="31" t="n"/>
      <c r="C42" s="32" t="n"/>
      <c r="D42" s="32" t="n"/>
      <c r="E42" s="32" t="n"/>
      <c r="F42" s="195" t="n"/>
      <c r="G42" s="140" t="n"/>
      <c r="H42" s="140" t="n"/>
      <c r="I42" s="495" t="n"/>
      <c r="J42" s="496" t="n"/>
      <c r="K42" s="495" t="n"/>
      <c r="L42" s="496" t="n"/>
      <c r="M42" s="497" t="n"/>
      <c r="N42" s="496" t="n"/>
      <c r="O42" s="497" t="n"/>
      <c r="P42" s="228" t="n"/>
      <c r="Q42" s="229" t="n"/>
      <c r="R42" s="229" t="n"/>
      <c r="S42" s="229" t="n"/>
    </row>
    <row r="43" ht="15" customHeight="1" s="362">
      <c r="B43" s="31" t="n"/>
      <c r="C43" s="32" t="n"/>
      <c r="D43" s="32" t="n"/>
      <c r="E43" s="32" t="n"/>
      <c r="F43" s="195" t="n"/>
      <c r="G43" s="140" t="n"/>
      <c r="H43" s="140" t="n"/>
      <c r="I43" s="495" t="n"/>
      <c r="J43" s="496" t="n"/>
      <c r="K43" s="495" t="n"/>
      <c r="L43" s="496" t="n"/>
      <c r="M43" s="497" t="n"/>
      <c r="N43" s="496" t="n"/>
      <c r="O43" s="497" t="n"/>
      <c r="P43" s="228" t="n"/>
      <c r="Q43" s="229" t="n"/>
      <c r="R43" s="229" t="n"/>
      <c r="S43" s="229" t="n"/>
    </row>
    <row r="44" ht="15" customHeight="1" s="362">
      <c r="B44" s="31" t="n"/>
      <c r="C44" s="32" t="n"/>
      <c r="D44" s="32" t="n"/>
      <c r="E44" s="32" t="n"/>
      <c r="F44" s="195" t="n"/>
      <c r="G44" s="140" t="n"/>
      <c r="H44" s="140" t="n"/>
      <c r="I44" s="495" t="n"/>
      <c r="J44" s="496" t="n"/>
      <c r="K44" s="495" t="n"/>
      <c r="L44" s="496" t="n"/>
      <c r="M44" s="497" t="n"/>
      <c r="N44" s="496" t="n"/>
      <c r="O44" s="497" t="n"/>
      <c r="P44" s="228" t="n"/>
      <c r="Q44" s="229" t="n"/>
      <c r="R44" s="229" t="n"/>
      <c r="S44" s="229" t="n"/>
    </row>
    <row r="45" ht="15" customHeight="1" s="362">
      <c r="B45" s="31" t="n"/>
      <c r="C45" s="32" t="n"/>
      <c r="D45" s="32" t="n"/>
      <c r="E45" s="32" t="n"/>
      <c r="F45" s="195" t="n"/>
      <c r="G45" s="140" t="n"/>
      <c r="H45" s="140" t="n"/>
      <c r="I45" s="495" t="n"/>
      <c r="J45" s="496" t="n"/>
      <c r="K45" s="495" t="n"/>
      <c r="L45" s="496" t="n"/>
      <c r="M45" s="497" t="n"/>
      <c r="N45" s="496" t="n"/>
      <c r="O45" s="497" t="n"/>
      <c r="P45" s="228" t="n"/>
      <c r="Q45" s="229" t="n"/>
      <c r="R45" s="229" t="n"/>
      <c r="S45" s="229" t="n"/>
    </row>
    <row r="46" ht="15" customHeight="1" s="362">
      <c r="B46" s="31" t="n"/>
      <c r="C46" s="32" t="n"/>
      <c r="D46" s="32" t="n"/>
      <c r="E46" s="32" t="n"/>
      <c r="F46" s="195" t="n"/>
      <c r="G46" s="140" t="n"/>
      <c r="H46" s="140" t="n"/>
      <c r="I46" s="495" t="n"/>
      <c r="J46" s="496" t="n"/>
      <c r="K46" s="495" t="n"/>
      <c r="L46" s="496" t="n"/>
      <c r="M46" s="497" t="n"/>
      <c r="N46" s="496" t="n"/>
      <c r="O46" s="497" t="n"/>
      <c r="P46" s="228" t="n"/>
      <c r="Q46" s="229" t="n"/>
      <c r="R46" s="229" t="n"/>
      <c r="S46" s="229" t="n"/>
    </row>
    <row r="47" ht="15" customHeight="1" s="362">
      <c r="B47" s="31" t="n"/>
      <c r="C47" s="32" t="n"/>
      <c r="D47" s="32" t="n"/>
      <c r="E47" s="32" t="n"/>
      <c r="F47" s="195" t="n"/>
      <c r="G47" s="140" t="n"/>
      <c r="H47" s="140" t="n"/>
      <c r="I47" s="495" t="n"/>
      <c r="J47" s="496" t="n"/>
      <c r="K47" s="495" t="n"/>
      <c r="L47" s="496" t="n"/>
      <c r="M47" s="497" t="n"/>
      <c r="N47" s="496" t="n"/>
      <c r="O47" s="497" t="n"/>
      <c r="P47" s="228" t="n"/>
      <c r="Q47" s="229" t="n"/>
      <c r="R47" s="229" t="n"/>
      <c r="S47" s="229" t="n"/>
    </row>
    <row r="48" ht="15" customHeight="1" s="362">
      <c r="B48" s="31" t="n"/>
      <c r="C48" s="32" t="n"/>
      <c r="D48" s="32" t="n"/>
      <c r="E48" s="32" t="n"/>
      <c r="F48" s="195" t="n"/>
      <c r="G48" s="140" t="n"/>
      <c r="H48" s="140" t="n"/>
      <c r="I48" s="495" t="n"/>
      <c r="J48" s="496" t="n"/>
      <c r="K48" s="495" t="n"/>
      <c r="L48" s="496" t="n"/>
      <c r="M48" s="497" t="n"/>
      <c r="N48" s="496" t="n"/>
      <c r="O48" s="497" t="n"/>
      <c r="P48" s="228" t="n"/>
      <c r="Q48" s="229" t="n"/>
      <c r="R48" s="229" t="n"/>
      <c r="S48" s="229" t="n"/>
    </row>
    <row r="49" ht="15" customHeight="1" s="362">
      <c r="B49" s="31" t="n"/>
      <c r="C49" s="32" t="n"/>
      <c r="D49" s="32" t="n"/>
      <c r="E49" s="32" t="n"/>
      <c r="F49" s="195" t="n"/>
      <c r="G49" s="140" t="n"/>
      <c r="H49" s="140" t="n"/>
      <c r="I49" s="495" t="n"/>
      <c r="J49" s="496" t="n"/>
      <c r="K49" s="495" t="n"/>
      <c r="L49" s="496" t="n"/>
      <c r="M49" s="497" t="n"/>
      <c r="N49" s="496" t="n"/>
      <c r="O49" s="497" t="n"/>
      <c r="P49" s="228" t="n"/>
      <c r="Q49" s="229" t="n"/>
      <c r="R49" s="229" t="n"/>
      <c r="S49" s="229" t="n"/>
    </row>
    <row r="50" ht="15" customHeight="1" s="362">
      <c r="B50" s="31" t="n"/>
      <c r="C50" s="32" t="n"/>
      <c r="D50" s="32" t="n"/>
      <c r="E50" s="32" t="n"/>
      <c r="F50" s="195" t="n"/>
      <c r="G50" s="140" t="n"/>
      <c r="H50" s="140" t="n"/>
      <c r="I50" s="495" t="n"/>
      <c r="J50" s="496" t="n"/>
      <c r="K50" s="495" t="n"/>
      <c r="L50" s="496" t="n"/>
      <c r="M50" s="497" t="n"/>
      <c r="N50" s="496" t="n"/>
      <c r="O50" s="497" t="n"/>
      <c r="P50" s="228" t="n"/>
      <c r="Q50" s="229" t="n"/>
      <c r="R50" s="229" t="n"/>
      <c r="S50" s="229" t="n"/>
    </row>
    <row r="51" ht="15" customHeight="1" s="362">
      <c r="B51" s="31" t="n"/>
      <c r="C51" s="32" t="n"/>
      <c r="D51" s="32" t="n"/>
      <c r="E51" s="32" t="n"/>
      <c r="F51" s="195" t="n"/>
      <c r="G51" s="140" t="n"/>
      <c r="H51" s="140" t="n"/>
      <c r="I51" s="495" t="n"/>
      <c r="J51" s="496" t="n"/>
      <c r="K51" s="495" t="n"/>
      <c r="L51" s="496" t="n"/>
      <c r="M51" s="497" t="n"/>
      <c r="N51" s="496" t="n"/>
      <c r="O51" s="497" t="n"/>
      <c r="P51" s="228" t="n"/>
      <c r="Q51" s="229" t="n"/>
      <c r="R51" s="229" t="n"/>
      <c r="S51" s="229" t="n"/>
    </row>
    <row r="52" ht="15" customHeight="1" s="362">
      <c r="B52" s="31" t="n"/>
      <c r="C52" s="32" t="n"/>
      <c r="D52" s="32" t="n"/>
      <c r="E52" s="32" t="n"/>
      <c r="F52" s="195" t="n"/>
      <c r="G52" s="140" t="n"/>
      <c r="H52" s="140" t="n"/>
      <c r="I52" s="495" t="n"/>
      <c r="J52" s="496" t="n"/>
      <c r="K52" s="495" t="n"/>
      <c r="L52" s="496" t="n"/>
      <c r="M52" s="497" t="n"/>
      <c r="N52" s="496" t="n"/>
      <c r="O52" s="497" t="n"/>
      <c r="P52" s="228" t="n"/>
      <c r="Q52" s="229" t="n"/>
      <c r="R52" s="229" t="n"/>
      <c r="S52" s="229" t="n"/>
    </row>
    <row r="53" ht="15" customHeight="1" s="362">
      <c r="B53" s="31" t="n"/>
      <c r="C53" s="32" t="n"/>
      <c r="D53" s="32" t="n"/>
      <c r="E53" s="32" t="n"/>
      <c r="F53" s="140" t="n"/>
      <c r="G53" s="140" t="n"/>
      <c r="H53" s="140" t="n"/>
      <c r="I53" s="495" t="n"/>
      <c r="J53" s="496" t="n"/>
      <c r="K53" s="495" t="n"/>
      <c r="L53" s="496" t="n"/>
      <c r="M53" s="497" t="n"/>
      <c r="N53" s="496" t="n"/>
      <c r="O53" s="497" t="n"/>
      <c r="P53" s="228" t="n"/>
      <c r="Q53" s="229" t="n"/>
      <c r="R53" s="229" t="n"/>
      <c r="S53" s="229" t="n"/>
    </row>
    <row r="54" ht="15" customHeight="1" s="362">
      <c r="B54" s="31" t="n"/>
      <c r="C54" s="32" t="n"/>
      <c r="D54" s="32" t="n"/>
      <c r="E54" s="32" t="n"/>
      <c r="F54" s="140" t="n"/>
      <c r="G54" s="140" t="n"/>
      <c r="H54" s="140" t="n"/>
      <c r="I54" s="495" t="n"/>
      <c r="J54" s="496" t="n"/>
      <c r="K54" s="495" t="n"/>
      <c r="L54" s="496" t="n"/>
      <c r="M54" s="497" t="n"/>
      <c r="N54" s="496" t="n"/>
      <c r="O54" s="497" t="n"/>
      <c r="P54" s="228" t="n"/>
      <c r="Q54" s="229" t="n"/>
      <c r="R54" s="229" t="n"/>
      <c r="S54" s="229" t="n"/>
    </row>
    <row r="55" ht="15" customHeight="1" s="362">
      <c r="B55" s="31" t="n"/>
      <c r="C55" s="32" t="n"/>
      <c r="D55" s="32" t="n"/>
      <c r="E55" s="32" t="n"/>
      <c r="F55" s="140" t="n"/>
      <c r="G55" s="140" t="n"/>
      <c r="H55" s="140" t="n"/>
      <c r="I55" s="495" t="n"/>
      <c r="J55" s="496" t="n"/>
      <c r="K55" s="495" t="n"/>
      <c r="L55" s="496" t="n"/>
      <c r="M55" s="497" t="n"/>
      <c r="N55" s="496" t="n"/>
      <c r="O55" s="497" t="n"/>
      <c r="P55" s="228" t="n"/>
      <c r="Q55" s="229" t="n"/>
      <c r="R55" s="229" t="n"/>
      <c r="S55" s="229" t="n"/>
    </row>
    <row r="56" ht="15" customHeight="1" s="362">
      <c r="B56" s="31" t="n"/>
      <c r="C56" s="32" t="n"/>
      <c r="D56" s="32" t="n"/>
      <c r="E56" s="32" t="n"/>
      <c r="F56" s="140" t="n"/>
      <c r="G56" s="140" t="n"/>
      <c r="H56" s="140" t="n"/>
      <c r="I56" s="495" t="n"/>
      <c r="J56" s="496" t="n"/>
      <c r="K56" s="495" t="n"/>
      <c r="L56" s="496" t="n"/>
      <c r="M56" s="497" t="n"/>
      <c r="N56" s="496" t="n"/>
      <c r="O56" s="497" t="n"/>
      <c r="P56" s="228" t="n"/>
      <c r="Q56" s="229" t="n"/>
      <c r="R56" s="229" t="n"/>
      <c r="S56" s="229" t="n"/>
    </row>
    <row r="57" ht="15" customHeight="1" s="362">
      <c r="B57" s="31" t="n"/>
      <c r="C57" s="32" t="n"/>
      <c r="D57" s="32" t="n"/>
      <c r="E57" s="32" t="n"/>
      <c r="F57" s="140" t="n"/>
      <c r="G57" s="140" t="n"/>
      <c r="H57" s="140" t="n"/>
      <c r="I57" s="495" t="n"/>
      <c r="J57" s="496" t="n"/>
      <c r="K57" s="495" t="n"/>
      <c r="L57" s="496" t="n"/>
      <c r="M57" s="497" t="n"/>
      <c r="N57" s="496" t="n"/>
      <c r="O57" s="497" t="n"/>
      <c r="P57" s="228" t="n"/>
      <c r="Q57" s="229" t="n"/>
      <c r="R57" s="229" t="n"/>
      <c r="S57" s="229" t="n"/>
    </row>
    <row r="58" ht="15" customHeight="1" s="362">
      <c r="B58" s="31" t="n"/>
      <c r="C58" s="32" t="n"/>
      <c r="D58" s="32" t="n"/>
      <c r="E58" s="32" t="n"/>
      <c r="F58" s="140" t="n"/>
      <c r="G58" s="140" t="n"/>
      <c r="H58" s="140" t="n"/>
      <c r="I58" s="495" t="n"/>
      <c r="J58" s="496" t="n"/>
      <c r="K58" s="495" t="n"/>
      <c r="L58" s="496" t="n"/>
      <c r="M58" s="497" t="n"/>
      <c r="N58" s="496" t="n"/>
      <c r="O58" s="497" t="n"/>
      <c r="P58" s="228" t="n"/>
      <c r="Q58" s="229" t="n"/>
      <c r="R58" s="229" t="n"/>
      <c r="S58" s="229" t="n"/>
    </row>
    <row r="59" ht="15" customHeight="1" s="362">
      <c r="B59" s="31" t="n"/>
      <c r="C59" s="32" t="n"/>
      <c r="D59" s="32" t="n"/>
      <c r="E59" s="32" t="n"/>
      <c r="F59" s="140" t="n"/>
      <c r="G59" s="140" t="n"/>
      <c r="H59" s="140" t="n"/>
      <c r="I59" s="495" t="n"/>
      <c r="J59" s="496" t="n"/>
      <c r="K59" s="495" t="n"/>
      <c r="L59" s="496" t="n"/>
      <c r="M59" s="497" t="n"/>
      <c r="N59" s="496" t="n"/>
      <c r="O59" s="497" t="n"/>
      <c r="P59" s="228" t="n"/>
      <c r="Q59" s="229" t="n"/>
      <c r="R59" s="229" t="n"/>
      <c r="S59" s="229" t="n"/>
    </row>
    <row r="60" ht="15" customHeight="1" s="362">
      <c r="B60" s="31" t="n"/>
      <c r="C60" s="32" t="n"/>
      <c r="D60" s="32" t="n"/>
      <c r="E60" s="32" t="n"/>
      <c r="F60" s="140" t="n"/>
      <c r="G60" s="140" t="n"/>
      <c r="H60" s="140" t="n"/>
      <c r="I60" s="495" t="n"/>
      <c r="J60" s="496" t="n"/>
      <c r="K60" s="495" t="n"/>
      <c r="L60" s="496" t="n"/>
      <c r="M60" s="497" t="n"/>
      <c r="N60" s="496" t="n"/>
      <c r="O60" s="497" t="n"/>
      <c r="P60" s="228" t="n"/>
      <c r="Q60" s="229" t="n"/>
      <c r="R60" s="229" t="n"/>
      <c r="S60" s="229" t="n"/>
    </row>
    <row r="61" ht="15" customHeight="1" s="362">
      <c r="B61" s="31" t="n"/>
      <c r="C61" s="32" t="n"/>
      <c r="D61" s="32" t="n"/>
      <c r="E61" s="32" t="n"/>
      <c r="F61" s="140" t="n"/>
      <c r="G61" s="140" t="n"/>
      <c r="H61" s="140" t="n"/>
      <c r="I61" s="495" t="n"/>
      <c r="J61" s="496" t="n"/>
      <c r="K61" s="495" t="n"/>
      <c r="L61" s="496" t="n"/>
      <c r="M61" s="497" t="n"/>
      <c r="N61" s="496" t="n"/>
      <c r="O61" s="497" t="n"/>
      <c r="P61" s="228" t="n"/>
      <c r="Q61" s="229" t="n"/>
      <c r="R61" s="229" t="n"/>
      <c r="S61" s="229" t="n"/>
    </row>
    <row r="62" ht="15" customHeight="1" s="362">
      <c r="B62" s="31" t="n"/>
      <c r="C62" s="32" t="n"/>
      <c r="D62" s="32" t="n"/>
      <c r="E62" s="32" t="n"/>
      <c r="F62" s="140" t="n"/>
      <c r="G62" s="140" t="n"/>
      <c r="H62" s="140" t="n"/>
      <c r="I62" s="495" t="n"/>
      <c r="J62" s="496" t="n"/>
      <c r="K62" s="495" t="n"/>
      <c r="L62" s="496" t="n"/>
      <c r="M62" s="497" t="n"/>
      <c r="N62" s="496" t="n"/>
      <c r="O62" s="497" t="n"/>
      <c r="P62" s="228" t="n"/>
      <c r="Q62" s="229" t="n"/>
      <c r="R62" s="229" t="n"/>
      <c r="S62" s="229" t="n"/>
    </row>
    <row r="63" ht="15" customHeight="1" s="362">
      <c r="B63" s="31" t="n"/>
      <c r="C63" s="32" t="n"/>
      <c r="D63" s="32" t="n"/>
      <c r="E63" s="32" t="n"/>
      <c r="F63" s="140" t="n"/>
      <c r="G63" s="140" t="n"/>
      <c r="H63" s="140" t="n"/>
      <c r="I63" s="495" t="n"/>
      <c r="J63" s="496" t="n"/>
      <c r="K63" s="495" t="n"/>
      <c r="L63" s="496" t="n"/>
      <c r="M63" s="497" t="n"/>
      <c r="N63" s="496" t="n"/>
      <c r="O63" s="497" t="n"/>
      <c r="P63" s="228" t="n"/>
      <c r="Q63" s="229" t="n"/>
      <c r="R63" s="229" t="n"/>
      <c r="S63" s="229" t="n"/>
    </row>
    <row r="64" ht="15" customHeight="1" s="362">
      <c r="B64" s="31" t="n"/>
      <c r="C64" s="32" t="n"/>
      <c r="D64" s="32" t="n"/>
      <c r="E64" s="32" t="n"/>
      <c r="F64" s="140" t="n"/>
      <c r="G64" s="140" t="n"/>
      <c r="H64" s="140" t="n"/>
      <c r="I64" s="495" t="n"/>
      <c r="J64" s="496" t="n"/>
      <c r="K64" s="495" t="n"/>
      <c r="L64" s="496" t="n"/>
      <c r="M64" s="497" t="n"/>
      <c r="N64" s="496" t="n"/>
      <c r="O64" s="497" t="n"/>
      <c r="P64" s="228" t="n"/>
      <c r="Q64" s="229" t="n"/>
      <c r="R64" s="229" t="n"/>
      <c r="S64" s="229" t="n"/>
    </row>
    <row r="65" ht="15" customHeight="1" s="362">
      <c r="B65" s="31" t="n"/>
      <c r="C65" s="32" t="n"/>
      <c r="D65" s="32" t="n"/>
      <c r="E65" s="32" t="n"/>
      <c r="F65" s="140" t="n"/>
      <c r="G65" s="140" t="n"/>
      <c r="H65" s="140" t="n"/>
      <c r="I65" s="495" t="n"/>
      <c r="J65" s="496" t="n"/>
      <c r="K65" s="495" t="n"/>
      <c r="L65" s="496" t="n"/>
      <c r="M65" s="497" t="n"/>
      <c r="N65" s="496" t="n"/>
      <c r="O65" s="497" t="n"/>
      <c r="P65" s="228" t="n"/>
      <c r="Q65" s="229" t="n"/>
      <c r="R65" s="229" t="n"/>
      <c r="S65" s="229" t="n"/>
    </row>
    <row r="66" ht="15" customHeight="1" s="362">
      <c r="B66" s="31" t="n"/>
      <c r="C66" s="32" t="n"/>
      <c r="D66" s="32" t="n"/>
      <c r="E66" s="32" t="n"/>
      <c r="F66" s="140" t="n"/>
      <c r="G66" s="140" t="n"/>
      <c r="H66" s="140" t="n"/>
      <c r="I66" s="495" t="n"/>
      <c r="J66" s="496" t="n"/>
      <c r="K66" s="495" t="n"/>
      <c r="L66" s="496" t="n"/>
      <c r="M66" s="497" t="n"/>
      <c r="N66" s="496" t="n"/>
      <c r="O66" s="497" t="n"/>
      <c r="P66" s="228" t="n"/>
      <c r="Q66" s="229" t="n"/>
      <c r="R66" s="229" t="n"/>
      <c r="S66" s="229" t="n"/>
    </row>
    <row r="67" ht="15" customHeight="1" s="362">
      <c r="B67" s="31" t="n"/>
      <c r="C67" s="32" t="n"/>
      <c r="D67" s="32" t="n"/>
      <c r="E67" s="32" t="n"/>
      <c r="F67" s="140" t="n"/>
      <c r="G67" s="140" t="n"/>
      <c r="H67" s="140" t="n"/>
      <c r="I67" s="495" t="n"/>
      <c r="J67" s="496" t="n"/>
      <c r="K67" s="495" t="n"/>
      <c r="L67" s="496" t="n"/>
      <c r="M67" s="497" t="n"/>
      <c r="N67" s="496" t="n"/>
      <c r="O67" s="497" t="n"/>
      <c r="P67" s="228" t="n"/>
      <c r="Q67" s="229" t="n"/>
      <c r="R67" s="229" t="n"/>
      <c r="S67" s="229" t="n"/>
    </row>
    <row r="68" ht="15" customHeight="1" s="362">
      <c r="B68" s="31" t="n"/>
      <c r="C68" s="32" t="n"/>
      <c r="D68" s="32" t="n"/>
      <c r="E68" s="32" t="n"/>
      <c r="F68" s="140" t="n"/>
      <c r="G68" s="140" t="n"/>
      <c r="H68" s="140" t="n"/>
      <c r="I68" s="495" t="n"/>
      <c r="J68" s="496" t="n"/>
      <c r="K68" s="495" t="n"/>
      <c r="L68" s="496" t="n"/>
      <c r="M68" s="497" t="n"/>
      <c r="N68" s="496" t="n"/>
      <c r="O68" s="497" t="n"/>
      <c r="P68" s="228" t="n"/>
      <c r="Q68" s="229" t="n"/>
      <c r="R68" s="229" t="n"/>
      <c r="S68" s="229" t="n"/>
    </row>
    <row r="69" ht="15" customHeight="1" s="362">
      <c r="B69" s="31" t="n"/>
      <c r="C69" s="32" t="n"/>
      <c r="D69" s="32" t="n"/>
      <c r="E69" s="32" t="n"/>
      <c r="F69" s="140" t="n"/>
      <c r="G69" s="140" t="n"/>
      <c r="H69" s="140" t="n"/>
      <c r="I69" s="495" t="n"/>
      <c r="J69" s="496" t="n"/>
      <c r="K69" s="495" t="n"/>
      <c r="L69" s="496" t="n"/>
      <c r="M69" s="497" t="n"/>
      <c r="N69" s="496" t="n"/>
      <c r="O69" s="497" t="n"/>
      <c r="P69" s="228" t="n"/>
      <c r="Q69" s="229" t="n"/>
      <c r="R69" s="229" t="n"/>
      <c r="S69" s="229" t="n"/>
    </row>
    <row r="70" ht="15" customHeight="1" s="362">
      <c r="B70" s="31" t="n"/>
      <c r="C70" s="32" t="n"/>
      <c r="D70" s="32" t="n"/>
      <c r="E70" s="32" t="n"/>
      <c r="F70" s="140" t="n"/>
      <c r="G70" s="140" t="n"/>
      <c r="H70" s="140" t="n"/>
      <c r="I70" s="495" t="n"/>
      <c r="J70" s="496" t="n"/>
      <c r="K70" s="495" t="n"/>
      <c r="L70" s="496" t="n"/>
      <c r="M70" s="497" t="n"/>
      <c r="N70" s="496" t="n"/>
      <c r="O70" s="497" t="n"/>
      <c r="P70" s="228" t="n"/>
      <c r="Q70" s="229" t="n"/>
      <c r="R70" s="229" t="n"/>
      <c r="S70" s="229" t="n"/>
    </row>
    <row r="71" ht="15" customHeight="1" s="362">
      <c r="B71" s="31" t="n"/>
      <c r="C71" s="32" t="n"/>
      <c r="D71" s="32" t="n"/>
      <c r="E71" s="32" t="n"/>
      <c r="F71" s="140" t="n"/>
      <c r="G71" s="140" t="n"/>
      <c r="H71" s="140" t="n"/>
      <c r="I71" s="495" t="n"/>
      <c r="J71" s="496" t="n"/>
      <c r="K71" s="495" t="n"/>
      <c r="L71" s="496" t="n"/>
      <c r="M71" s="497" t="n"/>
      <c r="N71" s="496" t="n"/>
      <c r="O71" s="497" t="n"/>
      <c r="P71" s="228" t="n"/>
      <c r="Q71" s="229" t="n"/>
      <c r="R71" s="229" t="n"/>
      <c r="S71" s="229" t="n"/>
    </row>
    <row r="72" ht="15" customHeight="1" s="362">
      <c r="B72" s="31" t="n"/>
      <c r="C72" s="32" t="n"/>
      <c r="D72" s="32" t="n"/>
      <c r="E72" s="32" t="n"/>
      <c r="F72" s="140" t="n"/>
      <c r="G72" s="140" t="n"/>
      <c r="H72" s="140" t="n"/>
      <c r="I72" s="495" t="n"/>
      <c r="J72" s="496" t="n"/>
      <c r="K72" s="495" t="n"/>
      <c r="L72" s="496" t="n"/>
      <c r="M72" s="497" t="n"/>
      <c r="N72" s="496" t="n"/>
      <c r="O72" s="497" t="n"/>
      <c r="P72" s="228" t="n"/>
      <c r="Q72" s="229" t="n"/>
      <c r="R72" s="229" t="n"/>
      <c r="S72" s="229" t="n"/>
    </row>
    <row r="73" ht="15" customHeight="1" s="362">
      <c r="B73" s="31" t="n"/>
      <c r="C73" s="32" t="n"/>
      <c r="D73" s="32" t="n"/>
      <c r="E73" s="32" t="n"/>
      <c r="F73" s="140" t="n"/>
      <c r="G73" s="140" t="n"/>
      <c r="H73" s="140" t="n"/>
      <c r="I73" s="495" t="n"/>
      <c r="J73" s="496" t="n"/>
      <c r="K73" s="495" t="n"/>
      <c r="L73" s="496" t="n"/>
      <c r="M73" s="497" t="n"/>
      <c r="N73" s="496" t="n"/>
      <c r="O73" s="497" t="n"/>
      <c r="P73" s="228" t="n"/>
      <c r="Q73" s="229" t="n"/>
      <c r="R73" s="229" t="n"/>
      <c r="S73" s="229" t="n"/>
    </row>
    <row r="74" ht="15" customHeight="1" s="362">
      <c r="B74" s="31" t="n"/>
      <c r="C74" s="32" t="n"/>
      <c r="D74" s="32" t="n"/>
      <c r="E74" s="32" t="n"/>
      <c r="F74" s="140" t="n"/>
      <c r="G74" s="140" t="n"/>
      <c r="H74" s="140" t="n"/>
      <c r="I74" s="495" t="n"/>
      <c r="J74" s="496" t="n"/>
      <c r="K74" s="495" t="n"/>
      <c r="L74" s="496" t="n"/>
      <c r="M74" s="497" t="n"/>
      <c r="N74" s="496" t="n"/>
      <c r="O74" s="497" t="n"/>
      <c r="P74" s="228" t="n"/>
      <c r="Q74" s="229" t="n"/>
      <c r="R74" s="229" t="n"/>
      <c r="S74" s="229" t="n"/>
    </row>
    <row r="75" ht="15" customHeight="1" s="362">
      <c r="B75" s="31" t="n"/>
      <c r="C75" s="32" t="n"/>
      <c r="D75" s="32" t="n"/>
      <c r="E75" s="32" t="n"/>
      <c r="F75" s="140" t="n"/>
      <c r="G75" s="140" t="n"/>
      <c r="H75" s="140" t="n"/>
      <c r="I75" s="495" t="n"/>
      <c r="J75" s="496" t="n"/>
      <c r="K75" s="495" t="n"/>
      <c r="L75" s="496" t="n"/>
      <c r="M75" s="497" t="n"/>
      <c r="N75" s="496" t="n"/>
      <c r="O75" s="497" t="n"/>
      <c r="P75" s="228" t="n"/>
      <c r="Q75" s="229" t="n"/>
      <c r="R75" s="229" t="n"/>
      <c r="S75" s="229" t="n"/>
    </row>
    <row r="76" ht="15" customHeight="1" s="362">
      <c r="B76" s="31" t="n"/>
      <c r="C76" s="32" t="n"/>
      <c r="D76" s="32" t="n"/>
      <c r="E76" s="32" t="n"/>
      <c r="F76" s="140" t="n"/>
      <c r="G76" s="140" t="n"/>
      <c r="H76" s="140" t="n"/>
      <c r="I76" s="495" t="n"/>
      <c r="J76" s="496" t="n"/>
      <c r="K76" s="495" t="n"/>
      <c r="L76" s="496" t="n"/>
      <c r="M76" s="497" t="n"/>
      <c r="N76" s="496" t="n"/>
      <c r="O76" s="497" t="n"/>
      <c r="P76" s="228" t="n"/>
      <c r="Q76" s="229" t="n"/>
      <c r="R76" s="229" t="n"/>
      <c r="S76" s="229" t="n"/>
    </row>
    <row r="77" ht="15" customHeight="1" s="362">
      <c r="B77" s="31" t="n"/>
      <c r="C77" s="32" t="n"/>
      <c r="D77" s="32" t="n"/>
      <c r="E77" s="32" t="n"/>
      <c r="F77" s="140" t="n"/>
      <c r="G77" s="140" t="n"/>
      <c r="H77" s="140" t="n"/>
      <c r="I77" s="495" t="n"/>
      <c r="J77" s="496" t="n"/>
      <c r="K77" s="495" t="n"/>
      <c r="L77" s="496" t="n"/>
      <c r="M77" s="497" t="n"/>
      <c r="N77" s="496" t="n"/>
      <c r="O77" s="497" t="n"/>
      <c r="P77" s="228" t="n"/>
      <c r="Q77" s="229" t="n"/>
      <c r="R77" s="229" t="n"/>
      <c r="S77" s="229" t="n"/>
    </row>
    <row r="78" ht="15" customHeight="1" s="362">
      <c r="B78" s="31" t="n"/>
      <c r="C78" s="32" t="n"/>
      <c r="D78" s="32" t="n"/>
      <c r="E78" s="32" t="n"/>
      <c r="F78" s="140" t="n"/>
      <c r="G78" s="140" t="n"/>
      <c r="H78" s="140" t="n"/>
      <c r="I78" s="495" t="n"/>
      <c r="J78" s="496" t="n"/>
      <c r="K78" s="495" t="n"/>
      <c r="L78" s="496" t="n"/>
      <c r="M78" s="497" t="n"/>
      <c r="N78" s="496" t="n"/>
      <c r="O78" s="497" t="n"/>
      <c r="P78" s="228" t="n"/>
      <c r="Q78" s="229" t="n"/>
      <c r="R78" s="229" t="n"/>
      <c r="S78" s="229" t="n"/>
    </row>
    <row r="79" ht="15" customHeight="1" s="362">
      <c r="B79" s="31" t="n"/>
      <c r="C79" s="32" t="n"/>
      <c r="D79" s="32" t="n"/>
      <c r="E79" s="32" t="n"/>
      <c r="F79" s="140" t="n"/>
      <c r="G79" s="140" t="n"/>
      <c r="H79" s="140" t="n"/>
      <c r="I79" s="495" t="n"/>
      <c r="J79" s="496" t="n"/>
      <c r="K79" s="495" t="n"/>
      <c r="L79" s="496" t="n"/>
      <c r="M79" s="497" t="n"/>
      <c r="N79" s="496" t="n"/>
      <c r="O79" s="497" t="n"/>
      <c r="P79" s="228" t="n"/>
      <c r="Q79" s="229" t="n"/>
      <c r="R79" s="229" t="n"/>
      <c r="S79" s="229" t="n"/>
    </row>
    <row r="80" ht="15" customHeight="1" s="362">
      <c r="B80" s="31" t="n"/>
      <c r="C80" s="32" t="n"/>
      <c r="D80" s="32" t="n"/>
      <c r="E80" s="32" t="n"/>
      <c r="F80" s="140" t="n"/>
      <c r="G80" s="140" t="n"/>
      <c r="H80" s="140" t="n"/>
      <c r="I80" s="495" t="n"/>
      <c r="J80" s="496" t="n"/>
      <c r="K80" s="495" t="n"/>
      <c r="L80" s="496" t="n"/>
      <c r="M80" s="497" t="n"/>
      <c r="N80" s="496" t="n"/>
      <c r="O80" s="497" t="n"/>
      <c r="P80" s="228" t="n"/>
      <c r="Q80" s="229" t="n"/>
      <c r="R80" s="229" t="n"/>
      <c r="S80" s="229" t="n"/>
    </row>
    <row r="81" ht="15" customHeight="1" s="362">
      <c r="B81" s="31" t="n"/>
      <c r="C81" s="32" t="n"/>
      <c r="D81" s="32" t="n"/>
      <c r="E81" s="32" t="n"/>
      <c r="F81" s="140" t="n"/>
      <c r="G81" s="140" t="n"/>
      <c r="H81" s="140" t="n"/>
      <c r="I81" s="495" t="n"/>
      <c r="J81" s="496" t="n"/>
      <c r="K81" s="495" t="n"/>
      <c r="L81" s="496" t="n"/>
      <c r="M81" s="497" t="n"/>
      <c r="N81" s="496" t="n"/>
      <c r="O81" s="497" t="n"/>
      <c r="P81" s="228" t="n"/>
      <c r="Q81" s="229" t="n"/>
      <c r="R81" s="229" t="n"/>
      <c r="S81" s="229" t="n"/>
    </row>
    <row r="82" ht="15" customHeight="1" s="362">
      <c r="B82" s="31" t="n"/>
      <c r="C82" s="32" t="n"/>
      <c r="D82" s="32" t="n"/>
      <c r="E82" s="32" t="n"/>
      <c r="F82" s="140" t="n"/>
      <c r="G82" s="140" t="n"/>
      <c r="H82" s="140" t="n"/>
      <c r="I82" s="495" t="n"/>
      <c r="J82" s="496" t="n"/>
      <c r="K82" s="495" t="n"/>
      <c r="L82" s="496" t="n"/>
      <c r="M82" s="497" t="n"/>
      <c r="N82" s="496" t="n"/>
      <c r="O82" s="497" t="n"/>
      <c r="P82" s="228" t="n"/>
      <c r="Q82" s="229" t="n"/>
      <c r="R82" s="229" t="n"/>
      <c r="S82" s="229" t="n"/>
    </row>
    <row r="83" ht="15" customHeight="1" s="362">
      <c r="B83" s="31" t="n"/>
      <c r="C83" s="32" t="n"/>
      <c r="D83" s="32" t="n"/>
      <c r="E83" s="32" t="n"/>
      <c r="F83" s="140" t="n"/>
      <c r="G83" s="140" t="n"/>
      <c r="H83" s="140" t="n"/>
      <c r="I83" s="495" t="n"/>
      <c r="J83" s="496" t="n"/>
      <c r="K83" s="495" t="n"/>
      <c r="L83" s="496" t="n"/>
      <c r="M83" s="497" t="n"/>
      <c r="N83" s="496" t="n"/>
      <c r="O83" s="497" t="n"/>
      <c r="P83" s="228" t="n"/>
      <c r="Q83" s="229" t="n"/>
      <c r="R83" s="229" t="n"/>
      <c r="S83" s="229" t="n"/>
    </row>
    <row r="84" ht="15" customHeight="1" s="362" thickBot="1">
      <c r="B84" s="106" t="n"/>
      <c r="C84" s="33" t="n"/>
      <c r="D84" s="33" t="n"/>
      <c r="E84" s="33" t="n"/>
      <c r="F84" s="143" t="n"/>
      <c r="G84" s="143" t="n"/>
      <c r="H84" s="143" t="n"/>
      <c r="I84" s="498" t="n"/>
      <c r="J84" s="499" t="n"/>
      <c r="K84" s="498" t="n"/>
      <c r="L84" s="499" t="n"/>
      <c r="M84" s="500" t="n"/>
      <c r="N84" s="499" t="n"/>
      <c r="O84" s="501" t="n"/>
      <c r="P84" s="230" t="n"/>
      <c r="Q84" s="231" t="n"/>
      <c r="R84" s="231" t="n"/>
      <c r="S84" s="231" t="n"/>
    </row>
  </sheetData>
  <autoFilter ref="A4:S84"/>
  <mergeCells count="2">
    <mergeCell ref="L3:M3"/>
    <mergeCell ref="N3:O3"/>
  </mergeCells>
  <conditionalFormatting sqref="F5:F24 F26:F29 F40:H41 F42:O50 F51:H52 F53:O84 H38:O39 I7:O37 K5:O6 K40:O41 K51:O52">
    <cfRule type="expression" priority="185" dxfId="19">
      <formula>$K5&gt;0</formula>
    </cfRule>
  </conditionalFormatting>
  <conditionalFormatting sqref="P5:P37">
    <cfRule type="expression" priority="184" dxfId="19">
      <formula>$K5&gt;0</formula>
    </cfRule>
  </conditionalFormatting>
  <conditionalFormatting sqref="R5:S9 R11:S11 S10">
    <cfRule type="expression" priority="183" dxfId="19">
      <formula>$K5&gt;0</formula>
    </cfRule>
  </conditionalFormatting>
  <conditionalFormatting sqref="Q5:Q9">
    <cfRule type="expression" priority="181" dxfId="19">
      <formula>$K5&gt;0</formula>
    </cfRule>
  </conditionalFormatting>
  <conditionalFormatting sqref="F5:F6">
    <cfRule type="expression" priority="180" dxfId="19">
      <formula>$K5&gt;0</formula>
    </cfRule>
  </conditionalFormatting>
  <conditionalFormatting sqref="G5:G6">
    <cfRule type="expression" priority="179" dxfId="19">
      <formula>$K5&gt;0</formula>
    </cfRule>
  </conditionalFormatting>
  <conditionalFormatting sqref="H5:H6">
    <cfRule type="expression" priority="178" dxfId="19">
      <formula>$K5&gt;0</formula>
    </cfRule>
  </conditionalFormatting>
  <conditionalFormatting sqref="I5:I6">
    <cfRule type="expression" priority="177" dxfId="19">
      <formula>$K5&gt;0</formula>
    </cfRule>
  </conditionalFormatting>
  <conditionalFormatting sqref="J5:J6">
    <cfRule type="expression" priority="176" dxfId="19">
      <formula>$K5&gt;0</formula>
    </cfRule>
  </conditionalFormatting>
  <conditionalFormatting sqref="G7">
    <cfRule type="expression" priority="175" dxfId="19">
      <formula>$K7&gt;0</formula>
    </cfRule>
    <cfRule type="expression" priority="114" dxfId="19">
      <formula>$K7&gt;0</formula>
    </cfRule>
  </conditionalFormatting>
  <conditionalFormatting sqref="G9">
    <cfRule type="expression" priority="172" dxfId="19">
      <formula>$K9&gt;0</formula>
    </cfRule>
    <cfRule type="expression" priority="110" dxfId="19">
      <formula>$K9&gt;0</formula>
    </cfRule>
  </conditionalFormatting>
  <conditionalFormatting sqref="G8">
    <cfRule type="expression" priority="171" dxfId="19">
      <formula>$K8&gt;0</formula>
    </cfRule>
    <cfRule type="expression" priority="112" dxfId="19">
      <formula>$K8&gt;0</formula>
    </cfRule>
  </conditionalFormatting>
  <conditionalFormatting sqref="G10">
    <cfRule type="expression" priority="170" dxfId="19">
      <formula>$K10&gt;0</formula>
    </cfRule>
    <cfRule type="expression" priority="111" dxfId="19">
      <formula>$K10&gt;0</formula>
    </cfRule>
  </conditionalFormatting>
  <conditionalFormatting sqref="G12">
    <cfRule type="expression" priority="169" dxfId="19">
      <formula>$K12&gt;0</formula>
    </cfRule>
    <cfRule type="expression" priority="109" dxfId="19">
      <formula>$K12&gt;0</formula>
    </cfRule>
  </conditionalFormatting>
  <conditionalFormatting sqref="G11">
    <cfRule type="expression" priority="168" dxfId="19">
      <formula>$K11&gt;0</formula>
    </cfRule>
    <cfRule type="expression" priority="108" dxfId="19">
      <formula>$K11&gt;0</formula>
    </cfRule>
  </conditionalFormatting>
  <conditionalFormatting sqref="G14">
    <cfRule type="expression" priority="167" dxfId="19">
      <formula>$K14&gt;0</formula>
    </cfRule>
    <cfRule type="expression" priority="106" dxfId="19">
      <formula>$K14&gt;0</formula>
    </cfRule>
  </conditionalFormatting>
  <conditionalFormatting sqref="G13">
    <cfRule type="expression" priority="165" dxfId="19">
      <formula>$K13&gt;0</formula>
    </cfRule>
    <cfRule type="expression" priority="107" dxfId="19">
      <formula>$K13&gt;0</formula>
    </cfRule>
  </conditionalFormatting>
  <conditionalFormatting sqref="G15">
    <cfRule type="expression" priority="164" dxfId="19">
      <formula>$K15&gt;0</formula>
    </cfRule>
    <cfRule type="expression" priority="104" dxfId="19">
      <formula>$K15&gt;0</formula>
    </cfRule>
  </conditionalFormatting>
  <conditionalFormatting sqref="G16">
    <cfRule type="expression" priority="163" dxfId="19">
      <formula>$K16&gt;0</formula>
    </cfRule>
    <cfRule type="expression" priority="105" dxfId="19">
      <formula>$K16&gt;0</formula>
    </cfRule>
  </conditionalFormatting>
  <conditionalFormatting sqref="G18">
    <cfRule type="expression" priority="162" dxfId="19">
      <formula>$K18&gt;0</formula>
    </cfRule>
    <cfRule type="expression" priority="96" dxfId="19">
      <formula>$K18&gt;0</formula>
    </cfRule>
  </conditionalFormatting>
  <conditionalFormatting sqref="G17">
    <cfRule type="expression" priority="161" dxfId="19">
      <formula>$K17&gt;0</formula>
    </cfRule>
    <cfRule type="expression" priority="103" dxfId="19">
      <formula>$K17&gt;0</formula>
    </cfRule>
  </conditionalFormatting>
  <conditionalFormatting sqref="G19">
    <cfRule type="expression" priority="160" dxfId="19">
      <formula>$K19&gt;0</formula>
    </cfRule>
    <cfRule type="expression" priority="95" dxfId="19">
      <formula>$K19&gt;0</formula>
    </cfRule>
  </conditionalFormatting>
  <conditionalFormatting sqref="F28:F38">
    <cfRule type="expression" priority="150" dxfId="19">
      <formula>$K28&gt;0</formula>
    </cfRule>
  </conditionalFormatting>
  <conditionalFormatting sqref="G30">
    <cfRule type="expression" priority="149" dxfId="19">
      <formula>$K30&gt;0</formula>
    </cfRule>
    <cfRule type="expression" priority="129" dxfId="19">
      <formula>$K30&gt;0</formula>
    </cfRule>
    <cfRule type="expression" priority="100" dxfId="19">
      <formula>$K30&gt;0</formula>
    </cfRule>
    <cfRule type="expression" priority="84" dxfId="19">
      <formula>$K30&gt;0</formula>
    </cfRule>
  </conditionalFormatting>
  <conditionalFormatting sqref="G31">
    <cfRule type="expression" priority="148" dxfId="19">
      <formula>$K31&gt;0</formula>
    </cfRule>
    <cfRule type="expression" priority="128" dxfId="19">
      <formula>$K31&gt;0</formula>
    </cfRule>
    <cfRule type="expression" priority="99" dxfId="19">
      <formula>$K31&gt;0</formula>
    </cfRule>
    <cfRule type="expression" priority="83" dxfId="19">
      <formula>$K31&gt;0</formula>
    </cfRule>
  </conditionalFormatting>
  <conditionalFormatting sqref="G32">
    <cfRule type="expression" priority="147" dxfId="19">
      <formula>$K32&gt;0</formula>
    </cfRule>
    <cfRule type="expression" priority="127" dxfId="19">
      <formula>$K32&gt;0</formula>
    </cfRule>
    <cfRule type="expression" priority="98" dxfId="19">
      <formula>$K32&gt;0</formula>
    </cfRule>
    <cfRule type="expression" priority="82" dxfId="19">
      <formula>$K32&gt;0</formula>
    </cfRule>
  </conditionalFormatting>
  <conditionalFormatting sqref="G33">
    <cfRule type="expression" priority="146" dxfId="19">
      <formula>$K33&gt;0</formula>
    </cfRule>
    <cfRule type="expression" priority="126" dxfId="19">
      <formula>$K33&gt;0</formula>
    </cfRule>
    <cfRule type="expression" priority="97" dxfId="19">
      <formula>$K33&gt;0</formula>
    </cfRule>
    <cfRule type="expression" priority="81" dxfId="19">
      <formula>$K33&gt;0</formula>
    </cfRule>
  </conditionalFormatting>
  <conditionalFormatting sqref="G34">
    <cfRule type="expression" priority="145" dxfId="19">
      <formula>$K34&gt;0</formula>
    </cfRule>
    <cfRule type="expression" priority="125" dxfId="19">
      <formula>$K34&gt;0</formula>
    </cfRule>
    <cfRule type="expression" priority="80" dxfId="19">
      <formula>$K34&gt;0</formula>
    </cfRule>
  </conditionalFormatting>
  <conditionalFormatting sqref="G35">
    <cfRule type="expression" priority="144" dxfId="19">
      <formula>$K35&gt;0</formula>
    </cfRule>
    <cfRule type="expression" priority="124" dxfId="19">
      <formula>$K35&gt;0</formula>
    </cfRule>
    <cfRule type="expression" priority="79" dxfId="19">
      <formula>$K35&gt;0</formula>
    </cfRule>
    <cfRule type="expression" priority="78" dxfId="19">
      <formula>$K35&gt;0</formula>
    </cfRule>
  </conditionalFormatting>
  <conditionalFormatting sqref="G20">
    <cfRule type="expression" priority="140" dxfId="19">
      <formula>$K20&gt;0</formula>
    </cfRule>
    <cfRule type="expression" priority="94" dxfId="19">
      <formula>$K20&gt;0</formula>
    </cfRule>
  </conditionalFormatting>
  <conditionalFormatting sqref="G21">
    <cfRule type="expression" priority="139" dxfId="19">
      <formula>$K21&gt;0</formula>
    </cfRule>
    <cfRule type="expression" priority="93" dxfId="19">
      <formula>$K21&gt;0</formula>
    </cfRule>
  </conditionalFormatting>
  <conditionalFormatting sqref="G22">
    <cfRule type="expression" priority="138" dxfId="19">
      <formula>$K22&gt;0</formula>
    </cfRule>
    <cfRule type="expression" priority="92" dxfId="19">
      <formula>$K22&gt;0</formula>
    </cfRule>
  </conditionalFormatting>
  <conditionalFormatting sqref="G23">
    <cfRule type="expression" priority="137" dxfId="19">
      <formula>$K23&gt;0</formula>
    </cfRule>
    <cfRule type="expression" priority="91" dxfId="19">
      <formula>$K23&gt;0</formula>
    </cfRule>
  </conditionalFormatting>
  <conditionalFormatting sqref="G24">
    <cfRule type="expression" priority="136" dxfId="19">
      <formula>$K24&gt;0</formula>
    </cfRule>
    <cfRule type="expression" priority="90" dxfId="19">
      <formula>$K24&gt;0</formula>
    </cfRule>
  </conditionalFormatting>
  <conditionalFormatting sqref="F23:F27">
    <cfRule type="expression" priority="135" dxfId="19">
      <formula>$K23&gt;0</formula>
    </cfRule>
  </conditionalFormatting>
  <conditionalFormatting sqref="G25">
    <cfRule type="expression" priority="134" dxfId="19">
      <formula>$K25&gt;0</formula>
    </cfRule>
    <cfRule type="expression" priority="89" dxfId="19">
      <formula>$K25&gt;0</formula>
    </cfRule>
  </conditionalFormatting>
  <conditionalFormatting sqref="G26">
    <cfRule type="expression" priority="133" dxfId="19">
      <formula>$K26&gt;0</formula>
    </cfRule>
    <cfRule type="expression" priority="88" dxfId="19">
      <formula>$K26&gt;0</formula>
    </cfRule>
  </conditionalFormatting>
  <conditionalFormatting sqref="G27">
    <cfRule type="expression" priority="132" dxfId="19">
      <formula>$K27&gt;0</formula>
    </cfRule>
    <cfRule type="expression" priority="87" dxfId="19">
      <formula>$K27&gt;0</formula>
    </cfRule>
  </conditionalFormatting>
  <conditionalFormatting sqref="G28">
    <cfRule type="expression" priority="131" dxfId="19">
      <formula>$K28&gt;0</formula>
    </cfRule>
    <cfRule type="expression" priority="102" dxfId="19">
      <formula>$K28&gt;0</formula>
    </cfRule>
    <cfRule type="expression" priority="86" dxfId="19">
      <formula>$K28&gt;0</formula>
    </cfRule>
  </conditionalFormatting>
  <conditionalFormatting sqref="G29">
    <cfRule type="expression" priority="130" dxfId="19">
      <formula>$K29&gt;0</formula>
    </cfRule>
    <cfRule type="expression" priority="101" dxfId="19">
      <formula>$K29&gt;0</formula>
    </cfRule>
    <cfRule type="expression" priority="85" dxfId="19">
      <formula>$K29&gt;0</formula>
    </cfRule>
  </conditionalFormatting>
  <conditionalFormatting sqref="G36">
    <cfRule type="expression" priority="123" dxfId="19">
      <formula>$K36&gt;0</formula>
    </cfRule>
    <cfRule type="expression" priority="77" dxfId="19">
      <formula>$K36&gt;0</formula>
    </cfRule>
    <cfRule type="expression" priority="76" dxfId="19">
      <formula>$K36&gt;0</formula>
    </cfRule>
  </conditionalFormatting>
  <conditionalFormatting sqref="G37">
    <cfRule type="expression" priority="122" dxfId="19">
      <formula>$K37&gt;0</formula>
    </cfRule>
    <cfRule type="expression" priority="121" dxfId="19">
      <formula>$K37&gt;0</formula>
    </cfRule>
    <cfRule type="expression" priority="75" dxfId="19">
      <formula>$K37&gt;0</formula>
    </cfRule>
    <cfRule type="expression" priority="74" dxfId="19">
      <formula>$K37&gt;0</formula>
    </cfRule>
  </conditionalFormatting>
  <conditionalFormatting sqref="G38">
    <cfRule type="expression" priority="120" dxfId="19">
      <formula>$K38&gt;0</formula>
    </cfRule>
    <cfRule type="expression" priority="119" dxfId="19">
      <formula>$K38&gt;0</formula>
    </cfRule>
  </conditionalFormatting>
  <conditionalFormatting sqref="G39">
    <cfRule type="expression" priority="118" dxfId="19">
      <formula>$K39&gt;0</formula>
    </cfRule>
    <cfRule type="expression" priority="117" dxfId="19">
      <formula>$K39&gt;0</formula>
    </cfRule>
  </conditionalFormatting>
  <conditionalFormatting sqref="F39">
    <cfRule type="expression" priority="116" dxfId="19">
      <formula>$K39&gt;0</formula>
    </cfRule>
  </conditionalFormatting>
  <conditionalFormatting sqref="G5">
    <cfRule type="expression" priority="115" dxfId="19">
      <formula>$K5&gt;0</formula>
    </cfRule>
  </conditionalFormatting>
  <conditionalFormatting sqref="G6">
    <cfRule type="expression" priority="113" dxfId="19">
      <formula>$K6&gt;0</formula>
    </cfRule>
  </conditionalFormatting>
  <conditionalFormatting sqref="F37">
    <cfRule type="expression" priority="73" dxfId="19">
      <formula>$K37&gt;0</formula>
    </cfRule>
  </conditionalFormatting>
  <conditionalFormatting sqref="H7:H37">
    <cfRule type="expression" priority="72" dxfId="19">
      <formula>$K7&gt;0</formula>
    </cfRule>
  </conditionalFormatting>
  <conditionalFormatting sqref="S13">
    <cfRule type="expression" priority="71" dxfId="19">
      <formula>$K13&gt;0</formula>
    </cfRule>
  </conditionalFormatting>
  <conditionalFormatting sqref="S14">
    <cfRule type="expression" priority="70" dxfId="19">
      <formula>$K14&gt;0</formula>
    </cfRule>
  </conditionalFormatting>
  <conditionalFormatting sqref="S15">
    <cfRule type="expression" priority="69" dxfId="19">
      <formula>$K15&gt;0</formula>
    </cfRule>
  </conditionalFormatting>
  <conditionalFormatting sqref="S18">
    <cfRule type="expression" priority="68" dxfId="19">
      <formula>$K18&gt;0</formula>
    </cfRule>
  </conditionalFormatting>
  <conditionalFormatting sqref="S19">
    <cfRule type="expression" priority="67" dxfId="19">
      <formula>$K19&gt;0</formula>
    </cfRule>
  </conditionalFormatting>
  <conditionalFormatting sqref="S24">
    <cfRule type="expression" priority="66" dxfId="19">
      <formula>$K24&gt;0</formula>
    </cfRule>
  </conditionalFormatting>
  <conditionalFormatting sqref="S23">
    <cfRule type="expression" priority="65" dxfId="19">
      <formula>$K23&gt;0</formula>
    </cfRule>
  </conditionalFormatting>
  <conditionalFormatting sqref="S26">
    <cfRule type="expression" priority="64" dxfId="19">
      <formula>$K26&gt;0</formula>
    </cfRule>
  </conditionalFormatting>
  <conditionalFormatting sqref="S30">
    <cfRule type="expression" priority="63" dxfId="19">
      <formula>$K30&gt;0</formula>
    </cfRule>
  </conditionalFormatting>
  <conditionalFormatting sqref="S32">
    <cfRule type="expression" priority="62" dxfId="19">
      <formula>$K32&gt;0</formula>
    </cfRule>
  </conditionalFormatting>
  <conditionalFormatting sqref="S34">
    <cfRule type="expression" priority="61" dxfId="19">
      <formula>$K34&gt;0</formula>
    </cfRule>
  </conditionalFormatting>
  <conditionalFormatting sqref="S35">
    <cfRule type="expression" priority="60" dxfId="19">
      <formula>$K35&gt;0</formula>
    </cfRule>
  </conditionalFormatting>
  <conditionalFormatting sqref="S20">
    <cfRule type="expression" priority="59" dxfId="19">
      <formula>$K20&gt;0</formula>
    </cfRule>
  </conditionalFormatting>
  <conditionalFormatting sqref="S16">
    <cfRule type="expression" priority="58" dxfId="19">
      <formula>$K16&gt;0</formula>
    </cfRule>
  </conditionalFormatting>
  <conditionalFormatting sqref="S21">
    <cfRule type="expression" priority="57" dxfId="19">
      <formula>$K21&gt;0</formula>
    </cfRule>
  </conditionalFormatting>
  <conditionalFormatting sqref="S25">
    <cfRule type="expression" priority="56" dxfId="19">
      <formula>$K25&gt;0</formula>
    </cfRule>
  </conditionalFormatting>
  <conditionalFormatting sqref="S27">
    <cfRule type="expression" priority="55" dxfId="19">
      <formula>$K27&gt;0</formula>
    </cfRule>
  </conditionalFormatting>
  <conditionalFormatting sqref="S29">
    <cfRule type="expression" priority="54" dxfId="19">
      <formula>$K29&gt;0</formula>
    </cfRule>
  </conditionalFormatting>
  <conditionalFormatting sqref="S36">
    <cfRule type="expression" priority="53" dxfId="19">
      <formula>$K36&gt;0</formula>
    </cfRule>
  </conditionalFormatting>
  <conditionalFormatting sqref="S12">
    <cfRule type="expression" priority="52" dxfId="19">
      <formula>$K12&gt;0</formula>
    </cfRule>
  </conditionalFormatting>
  <conditionalFormatting sqref="S17">
    <cfRule type="expression" priority="51" dxfId="19">
      <formula>$K17&gt;0</formula>
    </cfRule>
  </conditionalFormatting>
  <conditionalFormatting sqref="S22">
    <cfRule type="expression" priority="50" dxfId="19">
      <formula>$K22&gt;0</formula>
    </cfRule>
  </conditionalFormatting>
  <conditionalFormatting sqref="S28">
    <cfRule type="expression" priority="49" dxfId="19">
      <formula>$K28&gt;0</formula>
    </cfRule>
  </conditionalFormatting>
  <conditionalFormatting sqref="S31">
    <cfRule type="expression" priority="48" dxfId="19">
      <formula>$K31&gt;0</formula>
    </cfRule>
  </conditionalFormatting>
  <conditionalFormatting sqref="S33">
    <cfRule type="expression" priority="47" dxfId="19">
      <formula>$K33&gt;0</formula>
    </cfRule>
  </conditionalFormatting>
  <conditionalFormatting sqref="S37">
    <cfRule type="expression" priority="46" dxfId="19">
      <formula>$K37&gt;0</formula>
    </cfRule>
  </conditionalFormatting>
  <conditionalFormatting sqref="Q11">
    <cfRule type="expression" priority="45" dxfId="19">
      <formula>$K11&gt;0</formula>
    </cfRule>
  </conditionalFormatting>
  <conditionalFormatting sqref="Q13">
    <cfRule type="expression" priority="44" dxfId="19">
      <formula>$K13&gt;0</formula>
    </cfRule>
  </conditionalFormatting>
  <conditionalFormatting sqref="Q14">
    <cfRule type="expression" priority="43" dxfId="19">
      <formula>$K14&gt;0</formula>
    </cfRule>
  </conditionalFormatting>
  <conditionalFormatting sqref="Q15">
    <cfRule type="expression" priority="42" dxfId="19">
      <formula>$K15&gt;0</formula>
    </cfRule>
  </conditionalFormatting>
  <conditionalFormatting sqref="Q18">
    <cfRule type="expression" priority="41" dxfId="19">
      <formula>$K18&gt;0</formula>
    </cfRule>
  </conditionalFormatting>
  <conditionalFormatting sqref="Q19">
    <cfRule type="expression" priority="40" dxfId="19">
      <formula>$K19&gt;0</formula>
    </cfRule>
  </conditionalFormatting>
  <conditionalFormatting sqref="Q20">
    <cfRule type="expression" priority="39" dxfId="19">
      <formula>$K20&gt;0</formula>
    </cfRule>
  </conditionalFormatting>
  <conditionalFormatting sqref="Q23">
    <cfRule type="expression" priority="38" dxfId="19">
      <formula>$K23&gt;0</formula>
    </cfRule>
  </conditionalFormatting>
  <conditionalFormatting sqref="Q24">
    <cfRule type="expression" priority="37" dxfId="19">
      <formula>$K24&gt;0</formula>
    </cfRule>
  </conditionalFormatting>
  <conditionalFormatting sqref="Q26">
    <cfRule type="expression" priority="36" dxfId="19">
      <formula>$K26&gt;0</formula>
    </cfRule>
  </conditionalFormatting>
  <conditionalFormatting sqref="Q32">
    <cfRule type="expression" priority="35" dxfId="19">
      <formula>$K32&gt;0</formula>
    </cfRule>
  </conditionalFormatting>
  <conditionalFormatting sqref="Q30">
    <cfRule type="expression" priority="34" dxfId="19">
      <formula>$K30&gt;0</formula>
    </cfRule>
  </conditionalFormatting>
  <conditionalFormatting sqref="Q34">
    <cfRule type="expression" priority="33" dxfId="19">
      <formula>$K34&gt;0</formula>
    </cfRule>
  </conditionalFormatting>
  <conditionalFormatting sqref="Q35">
    <cfRule type="expression" priority="32" dxfId="19">
      <formula>$K35&gt;0</formula>
    </cfRule>
  </conditionalFormatting>
  <conditionalFormatting sqref="R13">
    <cfRule type="expression" priority="31" dxfId="19">
      <formula>$K13&gt;0</formula>
    </cfRule>
  </conditionalFormatting>
  <conditionalFormatting sqref="R14">
    <cfRule type="expression" priority="30" dxfId="19">
      <formula>$K14&gt;0</formula>
    </cfRule>
  </conditionalFormatting>
  <conditionalFormatting sqref="R15">
    <cfRule type="expression" priority="29" dxfId="19">
      <formula>$K15&gt;0</formula>
    </cfRule>
  </conditionalFormatting>
  <conditionalFormatting sqref="R19">
    <cfRule type="expression" priority="28" dxfId="19">
      <formula>$K19&gt;0</formula>
    </cfRule>
  </conditionalFormatting>
  <conditionalFormatting sqref="R18">
    <cfRule type="expression" priority="27" dxfId="19">
      <formula>$K18&gt;0</formula>
    </cfRule>
  </conditionalFormatting>
  <conditionalFormatting sqref="R20">
    <cfRule type="expression" priority="26" dxfId="19">
      <formula>$K20&gt;0</formula>
    </cfRule>
  </conditionalFormatting>
  <conditionalFormatting sqref="R23">
    <cfRule type="expression" priority="25" dxfId="19">
      <formula>$K23&gt;0</formula>
    </cfRule>
  </conditionalFormatting>
  <conditionalFormatting sqref="R24">
    <cfRule type="expression" priority="24" dxfId="19">
      <formula>$K24&gt;0</formula>
    </cfRule>
  </conditionalFormatting>
  <conditionalFormatting sqref="R26">
    <cfRule type="expression" priority="23" dxfId="19">
      <formula>$K26&gt;0</formula>
    </cfRule>
  </conditionalFormatting>
  <conditionalFormatting sqref="R30">
    <cfRule type="expression" priority="22" dxfId="19">
      <formula>$K30&gt;0</formula>
    </cfRule>
  </conditionalFormatting>
  <conditionalFormatting sqref="R32">
    <cfRule type="expression" priority="21" dxfId="19">
      <formula>$K32&gt;0</formula>
    </cfRule>
  </conditionalFormatting>
  <conditionalFormatting sqref="R34">
    <cfRule type="expression" priority="20" dxfId="19">
      <formula>$K34&gt;0</formula>
    </cfRule>
  </conditionalFormatting>
  <conditionalFormatting sqref="R35">
    <cfRule type="expression" priority="19" dxfId="19">
      <formula>$K35&gt;0</formula>
    </cfRule>
  </conditionalFormatting>
  <conditionalFormatting sqref="R10">
    <cfRule type="expression" priority="18" dxfId="19">
      <formula>$K10&gt;0</formula>
    </cfRule>
  </conditionalFormatting>
  <conditionalFormatting sqref="Q10">
    <cfRule type="expression" priority="17" dxfId="19">
      <formula>$K10&gt;0</formula>
    </cfRule>
  </conditionalFormatting>
  <conditionalFormatting sqref="R16">
    <cfRule type="expression" priority="16" dxfId="19">
      <formula>$K16&gt;0</formula>
    </cfRule>
  </conditionalFormatting>
  <conditionalFormatting sqref="Q16">
    <cfRule type="expression" priority="15" dxfId="19">
      <formula>$K16&gt;0</formula>
    </cfRule>
  </conditionalFormatting>
  <conditionalFormatting sqref="R21">
    <cfRule type="expression" priority="14" dxfId="19">
      <formula>$K21&gt;0</formula>
    </cfRule>
  </conditionalFormatting>
  <conditionalFormatting sqref="Q21">
    <cfRule type="expression" priority="13" dxfId="19">
      <formula>$K21&gt;0</formula>
    </cfRule>
  </conditionalFormatting>
  <conditionalFormatting sqref="R25">
    <cfRule type="expression" priority="12" dxfId="19">
      <formula>$K25&gt;0</formula>
    </cfRule>
  </conditionalFormatting>
  <conditionalFormatting sqref="Q25">
    <cfRule type="expression" priority="11" dxfId="19">
      <formula>$K25&gt;0</formula>
    </cfRule>
  </conditionalFormatting>
  <conditionalFormatting sqref="R27">
    <cfRule type="expression" priority="10" dxfId="19">
      <formula>$K27&gt;0</formula>
    </cfRule>
  </conditionalFormatting>
  <conditionalFormatting sqref="Q27">
    <cfRule type="expression" priority="9" dxfId="19">
      <formula>$K27&gt;0</formula>
    </cfRule>
  </conditionalFormatting>
  <conditionalFormatting sqref="R29">
    <cfRule type="expression" priority="8" dxfId="19">
      <formula>$K29&gt;0</formula>
    </cfRule>
  </conditionalFormatting>
  <conditionalFormatting sqref="Q29">
    <cfRule type="expression" priority="7" dxfId="19">
      <formula>$K29&gt;0</formula>
    </cfRule>
  </conditionalFormatting>
  <conditionalFormatting sqref="R36">
    <cfRule type="expression" priority="6" dxfId="19">
      <formula>$K36&gt;0</formula>
    </cfRule>
  </conditionalFormatting>
  <conditionalFormatting sqref="Q36">
    <cfRule type="expression" priority="5" dxfId="19">
      <formula>$K36&gt;0</formula>
    </cfRule>
  </conditionalFormatting>
  <conditionalFormatting sqref="I51:I52">
    <cfRule type="expression" priority="4" dxfId="19">
      <formula>$K51&gt;0</formula>
    </cfRule>
  </conditionalFormatting>
  <conditionalFormatting sqref="J51:J52">
    <cfRule type="expression" priority="3" dxfId="19">
      <formula>$K51&gt;0</formula>
    </cfRule>
  </conditionalFormatting>
  <conditionalFormatting sqref="I40:I41">
    <cfRule type="expression" priority="2" dxfId="19">
      <formula>$K40&gt;0</formula>
    </cfRule>
  </conditionalFormatting>
  <conditionalFormatting sqref="J40:J41">
    <cfRule type="expression" priority="1" dxfId="19">
      <formula>$K40&gt;0</formula>
    </cfRule>
  </conditionalFormatting>
  <pageMargins left="0.7" right="0.7" top="0.75" bottom="0.75" header="0.3" footer="0.3"/>
  <pageSetup orientation="portrait" paperSize="9" scale="36" fitToHeight="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B1:Q22"/>
  <sheetViews>
    <sheetView zoomScale="55" zoomScaleNormal="55" workbookViewId="0">
      <selection activeCell="I4" sqref="I4:M4"/>
    </sheetView>
  </sheetViews>
  <sheetFormatPr baseColWidth="8" defaultRowHeight="16.5"/>
  <cols>
    <col width="4" customWidth="1" style="362" min="1" max="1"/>
    <col width="17.75" customWidth="1" style="362" min="2" max="13"/>
    <col width="8" customWidth="1" style="362" min="14" max="14"/>
    <col hidden="1" width="9" customWidth="1" style="362" min="15" max="15"/>
    <col hidden="1" width="8.75" customWidth="1" style="362" min="16" max="16"/>
    <col width="4" customWidth="1" style="362" min="18" max="18"/>
    <col width="8.375" customWidth="1" style="362" min="20" max="20"/>
    <col width="3" customWidth="1" style="362" min="21" max="21"/>
    <col width="9.5" customWidth="1" style="362" min="22" max="22"/>
  </cols>
  <sheetData>
    <row r="1" ht="18" customHeight="1" s="362" thickBot="1">
      <c r="B1" s="77" t="n"/>
      <c r="C1" s="77" t="n"/>
      <c r="D1" s="77" t="n"/>
      <c r="E1" s="77" t="n"/>
      <c r="F1" s="77" t="n"/>
      <c r="G1" s="77" t="n"/>
      <c r="H1" s="77" t="n"/>
      <c r="I1" s="77" t="n"/>
      <c r="J1" s="77" t="n"/>
      <c r="K1" s="77" t="n"/>
      <c r="L1" s="77" t="n"/>
      <c r="M1" s="77" t="n"/>
      <c r="N1" s="77" t="n"/>
    </row>
    <row r="2" ht="108" customHeight="1" s="362">
      <c r="B2" s="502" t="inlineStr">
        <is>
          <t>5. 사진 대지</t>
        </is>
      </c>
      <c r="C2" s="503" t="n"/>
      <c r="D2" s="503" t="n"/>
      <c r="E2" s="503" t="n"/>
      <c r="F2" s="503" t="n"/>
      <c r="G2" s="503" t="n"/>
      <c r="H2" s="503" t="n"/>
      <c r="I2" s="503" t="n"/>
      <c r="J2" s="503" t="n"/>
      <c r="K2" s="503" t="n"/>
      <c r="L2" s="503" t="n"/>
      <c r="M2" s="504" t="n"/>
      <c r="N2" s="77" t="n"/>
    </row>
    <row r="3" ht="16.5" customHeight="1" s="362">
      <c r="B3" s="78" t="inlineStr">
        <is>
          <t>PROJECT</t>
        </is>
      </c>
      <c r="C3" s="107" t="inlineStr">
        <is>
          <t>M15X PH4</t>
        </is>
      </c>
      <c r="D3" s="108" t="n"/>
      <c r="E3" s="108" t="n"/>
      <c r="F3" s="108" t="n"/>
      <c r="G3" s="108" t="n"/>
      <c r="H3" s="79" t="n"/>
      <c r="I3" s="79" t="n"/>
      <c r="J3" s="79" t="n"/>
      <c r="K3" s="79" t="n"/>
      <c r="L3" s="79" t="n"/>
      <c r="M3" s="80" t="n"/>
      <c r="N3" s="77" t="n"/>
    </row>
    <row r="4" ht="16.5" customHeight="1" s="362" thickBot="1">
      <c r="B4" s="109">
        <f>Cover!E16</f>
        <v/>
      </c>
      <c r="C4" s="110">
        <f>Cover!E20</f>
        <v/>
      </c>
      <c r="D4" s="111" t="n"/>
      <c r="E4" s="111" t="n"/>
      <c r="F4" s="111" t="n"/>
      <c r="G4" s="111" t="n"/>
      <c r="H4" s="112" t="n"/>
      <c r="I4" s="505">
        <f>'4.물량'!B2</f>
        <v/>
      </c>
      <c r="J4" s="506" t="n"/>
      <c r="K4" s="506" t="n"/>
      <c r="L4" s="506" t="n"/>
      <c r="M4" s="507" t="n"/>
      <c r="N4" s="77" t="n"/>
    </row>
    <row r="5" ht="13.5" customHeight="1" s="362"/>
    <row r="6" ht="142.5" customHeight="1" s="362">
      <c r="B6" s="508" t="n"/>
      <c r="C6" s="509" t="n"/>
      <c r="D6" s="509" t="n"/>
      <c r="E6" s="509" t="n"/>
      <c r="F6" s="509" t="n"/>
      <c r="G6" s="510" t="n"/>
      <c r="H6" s="508" t="n"/>
      <c r="I6" s="509" t="n"/>
      <c r="J6" s="509" t="n"/>
      <c r="K6" s="509" t="n"/>
      <c r="L6" s="509" t="n"/>
      <c r="M6" s="510" t="n"/>
      <c r="N6" s="77" t="n"/>
    </row>
    <row r="7" ht="142.5" customHeight="1" s="362">
      <c r="B7" s="511" t="n"/>
      <c r="G7" s="512" t="n"/>
      <c r="H7" s="511" t="n"/>
      <c r="M7" s="512" t="n"/>
      <c r="N7" s="77" t="n"/>
    </row>
    <row r="8" ht="142.5" customHeight="1" s="362">
      <c r="B8" s="511" t="n"/>
      <c r="G8" s="512" t="n"/>
      <c r="H8" s="511" t="n"/>
      <c r="M8" s="512" t="n"/>
      <c r="N8" s="77" t="n"/>
    </row>
    <row r="9" ht="29.25" customHeight="1" s="362">
      <c r="B9" s="193" t="inlineStr">
        <is>
          <t>일 자</t>
        </is>
      </c>
      <c r="C9" s="115">
        <f>Cover!$E$15</f>
        <v/>
      </c>
      <c r="D9" s="193" t="inlineStr">
        <is>
          <t>공 종</t>
        </is>
      </c>
      <c r="E9" s="81">
        <f>Cover!$E$18</f>
        <v/>
      </c>
      <c r="F9" s="193" t="inlineStr">
        <is>
          <t>위 치</t>
        </is>
      </c>
      <c r="G9" s="81" t="inlineStr">
        <is>
          <t xml:space="preserve">6F AIR PLENUM </t>
        </is>
      </c>
      <c r="H9" s="193" t="inlineStr">
        <is>
          <t>일 자</t>
        </is>
      </c>
      <c r="I9" s="115">
        <f>Cover!$E$15</f>
        <v/>
      </c>
      <c r="J9" s="193" t="inlineStr">
        <is>
          <t>공 종</t>
        </is>
      </c>
      <c r="K9" s="81">
        <f>Cover!$E$18</f>
        <v/>
      </c>
      <c r="L9" s="193" t="inlineStr">
        <is>
          <t>위 치</t>
        </is>
      </c>
      <c r="M9" s="81" t="inlineStr">
        <is>
          <t xml:space="preserve">6F AIR PLENUM </t>
        </is>
      </c>
      <c r="N9" s="79" t="n"/>
      <c r="O9" s="79" t="n"/>
      <c r="P9" s="79" t="n"/>
      <c r="Q9" s="79" t="n"/>
    </row>
    <row r="10" ht="27.75" customHeight="1" s="362">
      <c r="B10" s="193" t="inlineStr">
        <is>
          <t>작업 내용</t>
        </is>
      </c>
      <c r="C10" s="513" t="inlineStr">
        <is>
          <t>6F AIR PLENUM PCW20 배관 양중</t>
        </is>
      </c>
      <c r="D10" s="407" t="n"/>
      <c r="E10" s="407" t="n"/>
      <c r="F10" s="407" t="n"/>
      <c r="G10" s="408" t="n"/>
      <c r="H10" s="194" t="inlineStr">
        <is>
          <t>작업 내용</t>
        </is>
      </c>
      <c r="I10" s="513" t="inlineStr">
        <is>
          <t>6F AIR PLENUM PCW20 배관 양중</t>
        </is>
      </c>
      <c r="J10" s="407" t="n"/>
      <c r="K10" s="407" t="n"/>
      <c r="L10" s="407" t="n"/>
      <c r="M10" s="408" t="n"/>
      <c r="N10" s="77" t="n"/>
    </row>
    <row r="11" ht="22.5" customHeight="1" s="362"/>
    <row r="12" ht="142.5" customHeight="1" s="362">
      <c r="B12" s="508" t="n"/>
      <c r="C12" s="509" t="n"/>
      <c r="D12" s="509" t="n"/>
      <c r="E12" s="509" t="n"/>
      <c r="F12" s="509" t="n"/>
      <c r="G12" s="510" t="n"/>
      <c r="H12" s="508" t="n"/>
      <c r="I12" s="509" t="n"/>
      <c r="J12" s="509" t="n"/>
      <c r="K12" s="509" t="n"/>
      <c r="L12" s="509" t="n"/>
      <c r="M12" s="510" t="n"/>
      <c r="N12" s="77" t="n"/>
    </row>
    <row r="13" ht="142.5" customHeight="1" s="362">
      <c r="B13" s="511" t="n"/>
      <c r="G13" s="512" t="n"/>
      <c r="H13" s="511" t="n"/>
      <c r="M13" s="512" t="n"/>
      <c r="N13" s="77" t="n"/>
    </row>
    <row r="14" ht="142.5" customHeight="1" s="362">
      <c r="B14" s="511" t="n"/>
      <c r="G14" s="512" t="n"/>
      <c r="H14" s="511" t="n"/>
      <c r="M14" s="512" t="n"/>
      <c r="N14" s="77" t="n"/>
    </row>
    <row r="15" ht="29.25" customHeight="1" s="362">
      <c r="B15" s="193" t="inlineStr">
        <is>
          <t>일 자</t>
        </is>
      </c>
      <c r="C15" s="115">
        <f>Cover!$E$15</f>
        <v/>
      </c>
      <c r="D15" s="193" t="inlineStr">
        <is>
          <t>공 종</t>
        </is>
      </c>
      <c r="E15" s="81">
        <f>Cover!$E$18</f>
        <v/>
      </c>
      <c r="F15" s="193" t="inlineStr">
        <is>
          <t>위 치</t>
        </is>
      </c>
      <c r="G15" s="81" t="inlineStr">
        <is>
          <t>6F CMP</t>
        </is>
      </c>
      <c r="H15" s="193" t="inlineStr">
        <is>
          <t>일 자</t>
        </is>
      </c>
      <c r="I15" s="115">
        <f>Cover!$E$15</f>
        <v/>
      </c>
      <c r="J15" s="193" t="inlineStr">
        <is>
          <t>공 종</t>
        </is>
      </c>
      <c r="K15" s="81">
        <f>Cover!$E$18</f>
        <v/>
      </c>
      <c r="L15" s="193" t="inlineStr">
        <is>
          <t>위 치</t>
        </is>
      </c>
      <c r="M15" s="81" t="inlineStr">
        <is>
          <t>7F GANTRY</t>
        </is>
      </c>
      <c r="N15" s="79" t="n"/>
      <c r="O15" s="79" t="n"/>
      <c r="P15" s="79" t="n"/>
      <c r="Q15" s="79" t="n"/>
    </row>
    <row r="16" ht="27.75" customHeight="1" s="362">
      <c r="B16" s="193" t="inlineStr">
        <is>
          <t>작업 내용</t>
        </is>
      </c>
      <c r="C16" s="513" t="inlineStr">
        <is>
          <t>6F CMP PCW20 배관 설치중</t>
        </is>
      </c>
      <c r="D16" s="407" t="n"/>
      <c r="E16" s="407" t="n"/>
      <c r="F16" s="407" t="n"/>
      <c r="G16" s="408" t="n"/>
      <c r="H16" s="194" t="inlineStr">
        <is>
          <t>작업 내용</t>
        </is>
      </c>
      <c r="I16" s="513" t="inlineStr">
        <is>
          <t>7F GANTRY 비계설치 작업</t>
        </is>
      </c>
      <c r="J16" s="407" t="n"/>
      <c r="K16" s="407" t="n"/>
      <c r="L16" s="407" t="n"/>
      <c r="M16" s="408" t="n"/>
      <c r="N16" s="77" t="n"/>
    </row>
    <row r="18" ht="142.5" customHeight="1" s="362">
      <c r="B18" s="508" t="n"/>
      <c r="C18" s="509" t="n"/>
      <c r="D18" s="509" t="n"/>
      <c r="E18" s="509" t="n"/>
      <c r="F18" s="509" t="n"/>
      <c r="G18" s="510" t="n"/>
      <c r="H18" s="508" t="n"/>
      <c r="I18" s="509" t="n"/>
      <c r="J18" s="509" t="n"/>
      <c r="K18" s="509" t="n"/>
      <c r="L18" s="509" t="n"/>
      <c r="M18" s="510" t="n"/>
      <c r="N18" s="77" t="n"/>
    </row>
    <row r="19" ht="142.5" customHeight="1" s="362">
      <c r="B19" s="511" t="n"/>
      <c r="G19" s="512" t="n"/>
      <c r="H19" s="511" t="n"/>
      <c r="M19" s="512" t="n"/>
      <c r="N19" s="77" t="n"/>
    </row>
    <row r="20" ht="142.5" customHeight="1" s="362">
      <c r="B20" s="511" t="n"/>
      <c r="G20" s="512" t="n"/>
      <c r="H20" s="511" t="n"/>
      <c r="M20" s="512" t="n"/>
      <c r="N20" s="77" t="n"/>
    </row>
    <row r="21" ht="29.25" customHeight="1" s="362">
      <c r="B21" s="193" t="inlineStr">
        <is>
          <t>일 자</t>
        </is>
      </c>
      <c r="C21" s="81">
        <f>Cover!$E$18</f>
        <v/>
      </c>
      <c r="D21" s="193" t="inlineStr">
        <is>
          <t>공 종</t>
        </is>
      </c>
      <c r="E21" s="81">
        <f>Cover!$E$18</f>
        <v/>
      </c>
      <c r="F21" s="193" t="inlineStr">
        <is>
          <t>위 치</t>
        </is>
      </c>
      <c r="G21" s="81" t="inlineStr">
        <is>
          <t>3F~4F</t>
        </is>
      </c>
      <c r="H21" s="193" t="inlineStr">
        <is>
          <t>일 자</t>
        </is>
      </c>
      <c r="I21" s="81">
        <f>Cover!$E$18</f>
        <v/>
      </c>
      <c r="J21" s="193" t="inlineStr">
        <is>
          <t>공 종</t>
        </is>
      </c>
      <c r="K21" s="81">
        <f>Cover!$E$18</f>
        <v/>
      </c>
      <c r="L21" s="193" t="inlineStr">
        <is>
          <t>위 치</t>
        </is>
      </c>
      <c r="M21" s="81" t="inlineStr">
        <is>
          <t>3F~4F</t>
        </is>
      </c>
      <c r="N21" s="79" t="n"/>
      <c r="O21" s="79" t="n"/>
      <c r="P21" s="79" t="n"/>
      <c r="Q21" s="79" t="n"/>
    </row>
    <row r="22" ht="27.75" customHeight="1" s="362">
      <c r="B22" s="193" t="inlineStr">
        <is>
          <t>작업 내용</t>
        </is>
      </c>
      <c r="C22" s="513" t="n"/>
      <c r="D22" s="407" t="n"/>
      <c r="E22" s="407" t="n"/>
      <c r="F22" s="407" t="n"/>
      <c r="G22" s="408" t="n"/>
      <c r="H22" s="194" t="inlineStr">
        <is>
          <t>작업 내용</t>
        </is>
      </c>
      <c r="I22" s="513" t="n"/>
      <c r="J22" s="407" t="n"/>
      <c r="K22" s="407" t="n"/>
      <c r="L22" s="407" t="n"/>
      <c r="M22" s="408" t="n"/>
      <c r="N22" s="77" t="n"/>
    </row>
    <row r="23" ht="27.75" customHeight="1" s="362"/>
    <row r="25" ht="13.5" customHeight="1" s="362"/>
    <row r="26" ht="13.5" customHeight="1" s="362"/>
    <row r="27" ht="13.5" customHeight="1" s="362"/>
    <row r="28" ht="13.5" customHeight="1" s="362"/>
    <row r="29" ht="13.5" customHeight="1" s="362"/>
    <row r="30" ht="13.5" customHeight="1" s="362"/>
    <row r="31" ht="13.5" customHeight="1" s="362"/>
    <row r="32" ht="13.5" customHeight="1" s="362"/>
    <row r="33" ht="13.5" customHeight="1" s="362"/>
    <row r="34" ht="13.5" customHeight="1" s="362"/>
    <row r="35" ht="13.5" customHeight="1" s="362"/>
    <row r="36" ht="13.5" customHeight="1" s="362"/>
    <row r="37" ht="13.5" customHeight="1" s="362"/>
    <row r="38" ht="13.5" customHeight="1" s="362"/>
    <row r="39" ht="13.5" customHeight="1" s="362"/>
    <row r="40" ht="13.5" customHeight="1" s="362"/>
    <row r="41" ht="29.25" customHeight="1" s="362"/>
    <row r="42" ht="27.75" customHeight="1" s="362"/>
    <row r="44" ht="13.5" customHeight="1" s="362"/>
    <row r="45" ht="13.5" customHeight="1" s="362"/>
    <row r="46" ht="13.5" customHeight="1" s="362"/>
    <row r="47" ht="13.5" customHeight="1" s="362"/>
    <row r="48" ht="13.5" customHeight="1" s="362"/>
    <row r="49" ht="13.5" customHeight="1" s="362"/>
    <row r="50" ht="13.5" customHeight="1" s="362"/>
    <row r="51" ht="13.5" customHeight="1" s="362"/>
    <row r="52" ht="13.5" customHeight="1" s="362"/>
    <row r="53" ht="13.5" customHeight="1" s="362"/>
    <row r="54" ht="13.5" customHeight="1" s="362"/>
    <row r="55" ht="13.5" customHeight="1" s="362"/>
    <row r="56" ht="13.5" customHeight="1" s="362"/>
    <row r="57" ht="13.5" customHeight="1" s="362"/>
    <row r="58" ht="13.5" customHeight="1" s="362"/>
    <row r="59" ht="13.5" customHeight="1" s="362"/>
    <row r="60" ht="29.25" customHeight="1" s="362"/>
    <row r="61" ht="27.75" customHeight="1" s="362"/>
  </sheetData>
  <mergeCells count="14">
    <mergeCell ref="I4:M4"/>
    <mergeCell ref="B2:M2"/>
    <mergeCell ref="C10:G10"/>
    <mergeCell ref="C16:G16"/>
    <mergeCell ref="B18:G20"/>
    <mergeCell ref="I16:M16"/>
    <mergeCell ref="B6:G8"/>
    <mergeCell ref="I10:M10"/>
    <mergeCell ref="H18:M20"/>
    <mergeCell ref="H12:M14"/>
    <mergeCell ref="B12:G14"/>
    <mergeCell ref="I22:M22"/>
    <mergeCell ref="C22:G22"/>
    <mergeCell ref="H6:M8"/>
  </mergeCells>
  <pageMargins left="0.7" right="0.7" top="0.75" bottom="0.75" header="0.3" footer="0.3"/>
  <pageSetup orientation="portrait" paperSize="9"/>
</worksheet>
</file>

<file path=xl/worksheets/sheet7.xml><?xml version="1.0" encoding="utf-8"?>
<worksheet xmlns="http://schemas.openxmlformats.org/spreadsheetml/2006/main">
  <sheetPr>
    <tabColor rgb="FFFF0000"/>
    <outlinePr summaryBelow="1" summaryRight="1"/>
    <pageSetUpPr fitToPage="1"/>
  </sheetPr>
  <dimension ref="A2:W166"/>
  <sheetViews>
    <sheetView zoomScale="85" zoomScaleNormal="85" workbookViewId="0">
      <pane ySplit="3" topLeftCell="A4" activePane="bottomLeft" state="frozen"/>
      <selection activeCell="AB22" sqref="AB22"/>
      <selection pane="bottomLeft" activeCell="D22" sqref="D22"/>
    </sheetView>
  </sheetViews>
  <sheetFormatPr baseColWidth="8" defaultColWidth="4.625" defaultRowHeight="20.1" customHeight="1"/>
  <cols>
    <col width="5" customWidth="1" style="197" min="1" max="1"/>
    <col width="10.625" customWidth="1" style="198" min="2" max="2"/>
    <col width="8.375" bestFit="1" customWidth="1" style="198" min="3" max="3"/>
    <col width="16.75" bestFit="1" customWidth="1" style="198" min="4" max="4"/>
    <col width="18.5" bestFit="1" customWidth="1" style="198" min="5" max="5"/>
    <col width="30.875" customWidth="1" style="198" min="6" max="6"/>
    <col width="30.25" bestFit="1" customWidth="1" style="197" min="7" max="7"/>
    <col width="50.875" customWidth="1" style="197" min="8" max="8"/>
    <col width="6.5" customWidth="1" style="197" min="9" max="14"/>
    <col width="4.625" customWidth="1" style="197" min="15" max="16"/>
    <col width="17.875" bestFit="1" customWidth="1" style="197" min="17" max="17"/>
    <col width="7" customWidth="1" style="197" min="18" max="23"/>
    <col width="4.625" customWidth="1" style="197" min="24" max="16384"/>
  </cols>
  <sheetData>
    <row r="1" ht="8.25" customHeight="1" s="362"/>
    <row r="2" ht="30" customHeight="1" s="362">
      <c r="A2" s="199">
        <f>REPLACE(CELL("filename",A1),1,FIND("]",CELL("filename",A1)),"")</f>
        <v/>
      </c>
      <c r="C2" s="200" t="inlineStr">
        <is>
          <t>일자 :</t>
        </is>
      </c>
      <c r="D2" s="201">
        <f>[1]Cover!E15</f>
        <v/>
      </c>
      <c r="F2" s="202" t="n"/>
    </row>
    <row r="3" ht="30" customFormat="1" customHeight="1" s="198">
      <c r="A3" s="203" t="inlineStr">
        <is>
          <t>NO</t>
        </is>
      </c>
      <c r="B3" s="204" t="inlineStr">
        <is>
          <t>작업자 성함</t>
        </is>
      </c>
      <c r="C3" s="204" t="inlineStr">
        <is>
          <t>직종구분</t>
        </is>
      </c>
      <c r="D3" s="204" t="inlineStr">
        <is>
          <t>중공종명 (WBS 중공종)</t>
        </is>
      </c>
      <c r="E3" s="204" t="inlineStr">
        <is>
          <t>소공종명 (WBS 소공종)2</t>
        </is>
      </c>
      <c r="F3" s="204" t="inlineStr">
        <is>
          <t>세공종명 (WBS 세공종)</t>
        </is>
      </c>
      <c r="G3" s="205" t="inlineStr">
        <is>
          <t>작업 위치_코드</t>
        </is>
      </c>
      <c r="H3" s="204" t="inlineStr">
        <is>
          <t>금일 작업 사항</t>
        </is>
      </c>
      <c r="I3" s="204" t="inlineStr">
        <is>
          <t>조출</t>
        </is>
      </c>
      <c r="J3" s="204" t="inlineStr">
        <is>
          <t>주간</t>
        </is>
      </c>
      <c r="K3" s="204" t="inlineStr">
        <is>
          <t>연장</t>
        </is>
      </c>
      <c r="L3" s="204" t="inlineStr">
        <is>
          <t>야간</t>
        </is>
      </c>
      <c r="M3" s="204" t="inlineStr">
        <is>
          <t>철야</t>
        </is>
      </c>
      <c r="N3" s="206" t="inlineStr">
        <is>
          <t>비고</t>
        </is>
      </c>
      <c r="Q3" s="339" t="inlineStr">
        <is>
          <t>직종</t>
        </is>
      </c>
      <c r="R3" s="341">
        <f>CONCATENATE("금일투입 [", TEXT(Cover!$E$15, "mm/dd"), "]")</f>
        <v/>
      </c>
      <c r="S3" s="407" t="n"/>
      <c r="T3" s="407" t="n"/>
      <c r="U3" s="407" t="n"/>
      <c r="V3" s="407" t="n"/>
      <c r="W3" s="514" t="n"/>
    </row>
    <row r="4" ht="20.1" customHeight="1" s="362">
      <c r="A4" s="207" t="n">
        <v>1</v>
      </c>
      <c r="B4" s="283" t="inlineStr">
        <is>
          <t>정래혁</t>
        </is>
      </c>
      <c r="C4" s="208" t="inlineStr">
        <is>
          <t>BP소장</t>
        </is>
      </c>
      <c r="D4" s="212" t="inlineStr">
        <is>
          <t>공통업무</t>
        </is>
      </c>
      <c r="E4" s="212" t="inlineStr">
        <is>
          <t>공통업무</t>
        </is>
      </c>
      <c r="F4" s="212" t="inlineStr">
        <is>
          <t>공통업무</t>
        </is>
      </c>
      <c r="G4" s="208" t="inlineStr">
        <is>
          <t xml:space="preserve">F02 5F/PCW 20 배관 </t>
        </is>
      </c>
      <c r="H4" s="209" t="inlineStr">
        <is>
          <t>현장 관리 감독</t>
        </is>
      </c>
      <c r="I4" s="209" t="n">
        <v>1</v>
      </c>
      <c r="J4" s="209" t="n">
        <v>1</v>
      </c>
      <c r="K4" s="209" t="n"/>
      <c r="L4" s="209" t="n"/>
      <c r="M4" s="209" t="n"/>
      <c r="N4" s="210" t="n"/>
      <c r="Q4" s="17" t="inlineStr">
        <is>
          <t>[기능공]</t>
        </is>
      </c>
      <c r="R4" s="119" t="inlineStr">
        <is>
          <t>조출</t>
        </is>
      </c>
      <c r="S4" s="18" t="inlineStr">
        <is>
          <t>주간</t>
        </is>
      </c>
      <c r="T4" s="18" t="inlineStr">
        <is>
          <t>연장</t>
        </is>
      </c>
      <c r="U4" s="18" t="inlineStr">
        <is>
          <t>야간</t>
        </is>
      </c>
      <c r="V4" s="19" t="inlineStr">
        <is>
          <t>철야</t>
        </is>
      </c>
      <c r="W4" s="120" t="inlineStr">
        <is>
          <t>Incr. T</t>
        </is>
      </c>
    </row>
    <row r="5" ht="20.1" customHeight="1" s="362">
      <c r="A5" s="211">
        <f>A4+1</f>
        <v/>
      </c>
      <c r="B5" s="284" t="inlineStr">
        <is>
          <t>김덕범</t>
        </is>
      </c>
      <c r="C5" s="212" t="inlineStr">
        <is>
          <t>공사관리자</t>
        </is>
      </c>
      <c r="D5" s="212" t="inlineStr">
        <is>
          <t>공통업무</t>
        </is>
      </c>
      <c r="E5" s="212" t="inlineStr">
        <is>
          <t>공통업무</t>
        </is>
      </c>
      <c r="F5" s="212" t="inlineStr">
        <is>
          <t>공통업무</t>
        </is>
      </c>
      <c r="G5" s="208" t="inlineStr">
        <is>
          <t xml:space="preserve">F02 5F/PCW 20 배관 </t>
        </is>
      </c>
      <c r="H5" s="209" t="inlineStr">
        <is>
          <t>현장 공사 관리 감독</t>
        </is>
      </c>
      <c r="I5" s="213" t="n"/>
      <c r="J5" s="213" t="n">
        <v>1</v>
      </c>
      <c r="K5" s="213" t="n"/>
      <c r="L5" s="213" t="n"/>
      <c r="M5" s="213" t="n"/>
      <c r="N5" s="214" t="n"/>
      <c r="Q5" s="280">
        <f>'2.직종별 인원현황'!F6</f>
        <v/>
      </c>
      <c r="R5" s="213">
        <f>SUMIF(표2[[직종구분]:[작업 위치_코드]],$Q5,표2[조출])</f>
        <v/>
      </c>
      <c r="S5" s="213">
        <f>SUMIF(표2[[직종구분]:[작업 위치_코드]],$Q5,표2[주간])</f>
        <v/>
      </c>
      <c r="T5" s="213">
        <f>SUMIF(표2[[직종구분]:[작업 위치_코드]],$Q5,표2[연장])</f>
        <v/>
      </c>
      <c r="U5" s="213">
        <f>SUMIF(표2[[직종구분]:[작업 위치_코드]],$Q5,표2[야간])</f>
        <v/>
      </c>
      <c r="V5" s="213">
        <f>SUMIF(표2[[직종구분]:[작업 위치_코드]],$Q5,표2[철야])</f>
        <v/>
      </c>
      <c r="W5" s="213">
        <f>SUM(R5:V5)</f>
        <v/>
      </c>
    </row>
    <row r="6" ht="20.1" customHeight="1" s="362">
      <c r="A6" s="211">
        <f>A5+1</f>
        <v/>
      </c>
      <c r="B6" s="284" t="inlineStr">
        <is>
          <t>김성덕</t>
        </is>
      </c>
      <c r="C6" s="212" t="inlineStr">
        <is>
          <t>공사관리자</t>
        </is>
      </c>
      <c r="D6" s="212" t="inlineStr">
        <is>
          <t>공통업무</t>
        </is>
      </c>
      <c r="E6" s="212" t="inlineStr">
        <is>
          <t>공통업무</t>
        </is>
      </c>
      <c r="F6" s="212" t="inlineStr">
        <is>
          <t>공통업무</t>
        </is>
      </c>
      <c r="G6" s="208" t="inlineStr">
        <is>
          <t xml:space="preserve">F02 5F/PCW 20 배관 </t>
        </is>
      </c>
      <c r="H6" s="209" t="inlineStr">
        <is>
          <t>현장 공사 관리 감독</t>
        </is>
      </c>
      <c r="I6" s="213" t="n"/>
      <c r="J6" s="213" t="n">
        <v>1</v>
      </c>
      <c r="K6" s="213" t="n"/>
      <c r="L6" s="213" t="n"/>
      <c r="M6" s="213" t="n"/>
      <c r="N6" s="214" t="n"/>
      <c r="Q6" s="280">
        <f>'2.직종별 인원현황'!F7</f>
        <v/>
      </c>
      <c r="R6" s="213">
        <f>SUMIF(표2[[직종구분]:[작업 위치_코드]],$Q6,표2[조출])</f>
        <v/>
      </c>
      <c r="S6" s="213">
        <f>SUMIF(표2[[직종구분]:[작업 위치_코드]],$Q6,표2[주간])</f>
        <v/>
      </c>
      <c r="T6" s="213">
        <f>SUMIF(표2[[직종구분]:[작업 위치_코드]],$Q6,표2[연장])</f>
        <v/>
      </c>
      <c r="U6" s="213">
        <f>SUMIF(표2[[직종구분]:[작업 위치_코드]],$Q6,표2[야간])</f>
        <v/>
      </c>
      <c r="V6" s="213">
        <f>SUMIF(표2[[직종구분]:[작업 위치_코드]],$Q6,표2[철야])</f>
        <v/>
      </c>
      <c r="W6" s="213">
        <f>SUM(R6:V6)</f>
        <v/>
      </c>
    </row>
    <row r="7" ht="20.1" customHeight="1" s="362">
      <c r="A7" s="211">
        <f>A6+1</f>
        <v/>
      </c>
      <c r="B7" s="284" t="inlineStr">
        <is>
          <t>권영우</t>
        </is>
      </c>
      <c r="C7" s="212" t="inlineStr">
        <is>
          <t>공사관리자</t>
        </is>
      </c>
      <c r="D7" s="212" t="inlineStr">
        <is>
          <t>공통업무</t>
        </is>
      </c>
      <c r="E7" s="212" t="inlineStr">
        <is>
          <t>공통업무</t>
        </is>
      </c>
      <c r="F7" s="212" t="inlineStr">
        <is>
          <t>공통업무</t>
        </is>
      </c>
      <c r="G7" s="208" t="inlineStr">
        <is>
          <t xml:space="preserve">F02 5F/PCW 20 배관 </t>
        </is>
      </c>
      <c r="H7" s="209" t="inlineStr">
        <is>
          <t>현장 공사 관리 감독</t>
        </is>
      </c>
      <c r="I7" s="213" t="n"/>
      <c r="J7" s="213" t="n">
        <v>1</v>
      </c>
      <c r="K7" s="213" t="n"/>
      <c r="L7" s="213" t="n"/>
      <c r="M7" s="213" t="n"/>
      <c r="N7" s="214" t="n"/>
      <c r="Q7" s="280">
        <f>'2.직종별 인원현황'!F8</f>
        <v/>
      </c>
      <c r="R7" s="213">
        <f>SUMIF(표2[[직종구분]:[작업 위치_코드]],$Q7,표2[조출])</f>
        <v/>
      </c>
      <c r="S7" s="213">
        <f>SUMIF(표2[[직종구분]:[작업 위치_코드]],$Q7,표2[주간])</f>
        <v/>
      </c>
      <c r="T7" s="213">
        <f>SUMIF(표2[[직종구분]:[작업 위치_코드]],$Q7,표2[연장])</f>
        <v/>
      </c>
      <c r="U7" s="213">
        <f>SUMIF(표2[[직종구분]:[작업 위치_코드]],$Q7,표2[야간])</f>
        <v/>
      </c>
      <c r="V7" s="213">
        <f>SUMIF(표2[[직종구분]:[작업 위치_코드]],$Q7,표2[철야])</f>
        <v/>
      </c>
      <c r="W7" s="213">
        <f>SUM(R7:V7)</f>
        <v/>
      </c>
    </row>
    <row r="8" ht="20.1" customHeight="1" s="362">
      <c r="A8" s="211">
        <f>A7+1</f>
        <v/>
      </c>
      <c r="B8" s="284" t="inlineStr">
        <is>
          <t>김동한</t>
        </is>
      </c>
      <c r="C8" s="212" t="inlineStr">
        <is>
          <t>공사관리자</t>
        </is>
      </c>
      <c r="D8" s="212" t="inlineStr">
        <is>
          <t>공통업무</t>
        </is>
      </c>
      <c r="E8" s="212" t="inlineStr">
        <is>
          <t>공통업무</t>
        </is>
      </c>
      <c r="F8" s="212" t="inlineStr">
        <is>
          <t>공통업무</t>
        </is>
      </c>
      <c r="G8" s="208" t="inlineStr">
        <is>
          <t xml:space="preserve">F02 5F/PCW 20 배관 </t>
        </is>
      </c>
      <c r="H8" s="209" t="inlineStr">
        <is>
          <t>현장 공사 관리 감독</t>
        </is>
      </c>
      <c r="I8" s="213" t="n"/>
      <c r="J8" s="213" t="n">
        <v>1</v>
      </c>
      <c r="K8" s="213" t="n"/>
      <c r="L8" s="213" t="n"/>
      <c r="M8" s="213" t="n"/>
      <c r="N8" s="214" t="n"/>
      <c r="Q8" s="280">
        <f>'2.직종별 인원현황'!F9</f>
        <v/>
      </c>
      <c r="R8" s="213">
        <f>SUMIF(표2[[직종구분]:[작업 위치_코드]],$Q8,표2[조출])</f>
        <v/>
      </c>
      <c r="S8" s="213">
        <f>SUMIF(표2[[직종구분]:[작업 위치_코드]],$Q8,표2[주간])</f>
        <v/>
      </c>
      <c r="T8" s="213">
        <f>SUMIF(표2[[직종구분]:[작업 위치_코드]],$Q8,표2[연장])</f>
        <v/>
      </c>
      <c r="U8" s="213">
        <f>SUMIF(표2[[직종구분]:[작업 위치_코드]],$Q8,표2[야간])</f>
        <v/>
      </c>
      <c r="V8" s="213">
        <f>SUMIF(표2[[직종구분]:[작업 위치_코드]],$Q8,표2[철야])</f>
        <v/>
      </c>
      <c r="W8" s="213">
        <f>SUM(R8:V8)</f>
        <v/>
      </c>
    </row>
    <row r="9" ht="20.1" customHeight="1" s="362">
      <c r="A9" s="211">
        <f>A8+1</f>
        <v/>
      </c>
      <c r="B9" s="284" t="inlineStr">
        <is>
          <t>김상대</t>
        </is>
      </c>
      <c r="C9" s="212" t="inlineStr">
        <is>
          <t>공사관리자</t>
        </is>
      </c>
      <c r="D9" s="212" t="inlineStr">
        <is>
          <t>공통업무</t>
        </is>
      </c>
      <c r="E9" s="212" t="inlineStr">
        <is>
          <t>공통업무</t>
        </is>
      </c>
      <c r="F9" s="212" t="inlineStr">
        <is>
          <t>공통업무</t>
        </is>
      </c>
      <c r="G9" s="212" t="inlineStr">
        <is>
          <t xml:space="preserve">F03 6F/PCW 20 배관 </t>
        </is>
      </c>
      <c r="H9" s="209" t="inlineStr">
        <is>
          <t>현장 공사 관리 감독</t>
        </is>
      </c>
      <c r="I9" s="213" t="n">
        <v>1</v>
      </c>
      <c r="J9" s="213" t="n">
        <v>1</v>
      </c>
      <c r="K9" s="213" t="n"/>
      <c r="L9" s="213" t="n"/>
      <c r="M9" s="213" t="n"/>
      <c r="N9" s="214" t="n"/>
      <c r="Q9" s="280">
        <f>'2.직종별 인원현황'!F10</f>
        <v/>
      </c>
      <c r="R9" s="213">
        <f>SUMIF(표2[[직종구분]:[작업 위치_코드]],$Q9,표2[조출])</f>
        <v/>
      </c>
      <c r="S9" s="213">
        <f>SUMIF(표2[[직종구분]:[작업 위치_코드]],$Q9,표2[주간])</f>
        <v/>
      </c>
      <c r="T9" s="213">
        <f>SUMIF(표2[[직종구분]:[작업 위치_코드]],$Q9,표2[연장])</f>
        <v/>
      </c>
      <c r="U9" s="213">
        <f>SUMIF(표2[[직종구분]:[작업 위치_코드]],$Q9,표2[야간])</f>
        <v/>
      </c>
      <c r="V9" s="213">
        <f>SUMIF(표2[[직종구분]:[작업 위치_코드]],$Q9,표2[철야])</f>
        <v/>
      </c>
      <c r="W9" s="213">
        <f>SUM(R9:V9)</f>
        <v/>
      </c>
    </row>
    <row r="10" ht="20.1" customHeight="1" s="362">
      <c r="A10" s="211">
        <f>A9+1</f>
        <v/>
      </c>
      <c r="B10" s="284" t="inlineStr">
        <is>
          <t>허상봉</t>
        </is>
      </c>
      <c r="C10" s="212" t="inlineStr">
        <is>
          <t>안전관리자</t>
        </is>
      </c>
      <c r="D10" s="212" t="inlineStr">
        <is>
          <t>공통업무</t>
        </is>
      </c>
      <c r="E10" s="212" t="inlineStr">
        <is>
          <t>공통업무</t>
        </is>
      </c>
      <c r="F10" s="212" t="inlineStr">
        <is>
          <t>공통업무</t>
        </is>
      </c>
      <c r="G10" s="208" t="inlineStr">
        <is>
          <t xml:space="preserve">F02 5F/PCW 20 배관 </t>
        </is>
      </c>
      <c r="H10" s="209" t="inlineStr">
        <is>
          <t>현장 안전 관리 감독</t>
        </is>
      </c>
      <c r="I10" s="213" t="n"/>
      <c r="J10" s="213" t="n">
        <v>1</v>
      </c>
      <c r="K10" s="213" t="n"/>
      <c r="L10" s="213" t="n"/>
      <c r="M10" s="213" t="n"/>
      <c r="N10" s="214" t="n"/>
      <c r="Q10" s="280">
        <f>'2.직종별 인원현황'!F11</f>
        <v/>
      </c>
      <c r="R10" s="213">
        <f>SUMIF(표2[[직종구분]:[작업 위치_코드]],$Q10,표2[조출])</f>
        <v/>
      </c>
      <c r="S10" s="213">
        <f>SUMIF(표2[[직종구분]:[작업 위치_코드]],$Q10,표2[주간])</f>
        <v/>
      </c>
      <c r="T10" s="213">
        <f>SUMIF(표2[[직종구분]:[작업 위치_코드]],$Q10,표2[연장])</f>
        <v/>
      </c>
      <c r="U10" s="213">
        <f>SUMIF(표2[[직종구분]:[작업 위치_코드]],$Q10,표2[야간])</f>
        <v/>
      </c>
      <c r="V10" s="213">
        <f>SUMIF(표2[[직종구분]:[작업 위치_코드]],$Q10,표2[철야])</f>
        <v/>
      </c>
      <c r="W10" s="213">
        <f>SUM(R10:V10)</f>
        <v/>
      </c>
    </row>
    <row r="11" ht="20.1" customHeight="1" s="362">
      <c r="A11" s="211">
        <f>A10+1</f>
        <v/>
      </c>
      <c r="B11" s="284" t="inlineStr">
        <is>
          <t>곽경록</t>
        </is>
      </c>
      <c r="C11" s="212" t="inlineStr">
        <is>
          <t>안전관리자</t>
        </is>
      </c>
      <c r="D11" s="212" t="inlineStr">
        <is>
          <t>공통업무</t>
        </is>
      </c>
      <c r="E11" s="212" t="inlineStr">
        <is>
          <t>공통업무</t>
        </is>
      </c>
      <c r="F11" s="212" t="inlineStr">
        <is>
          <t>공통업무</t>
        </is>
      </c>
      <c r="G11" s="208" t="inlineStr">
        <is>
          <t xml:space="preserve">F02 5F/PCW 20 배관 </t>
        </is>
      </c>
      <c r="H11" s="209" t="inlineStr">
        <is>
          <t>현장 안전 관리 감독</t>
        </is>
      </c>
      <c r="I11" s="213" t="n"/>
      <c r="J11" s="213" t="n">
        <v>1</v>
      </c>
      <c r="K11" s="213" t="n"/>
      <c r="L11" s="213" t="n"/>
      <c r="M11" s="213" t="n"/>
      <c r="N11" s="214" t="n"/>
      <c r="Q11" s="280">
        <f>'2.직종별 인원현황'!F12</f>
        <v/>
      </c>
      <c r="R11" s="213">
        <f>SUMIF(표2[[직종구분]:[작업 위치_코드]],$Q11,표2[조출])</f>
        <v/>
      </c>
      <c r="S11" s="213">
        <f>SUMIF(표2[[직종구분]:[작업 위치_코드]],$Q11,표2[주간])</f>
        <v/>
      </c>
      <c r="T11" s="213">
        <f>SUMIF(표2[[직종구분]:[작업 위치_코드]],$Q11,표2[연장])</f>
        <v/>
      </c>
      <c r="U11" s="213">
        <f>SUMIF(표2[[직종구분]:[작업 위치_코드]],$Q11,표2[야간])</f>
        <v/>
      </c>
      <c r="V11" s="213">
        <f>SUMIF(표2[[직종구분]:[작업 위치_코드]],$Q11,표2[철야])</f>
        <v/>
      </c>
      <c r="W11" s="213">
        <f>SUM(R11:V11)</f>
        <v/>
      </c>
    </row>
    <row r="12" ht="20.1" customHeight="1" s="362">
      <c r="A12" s="211">
        <f>A11+1</f>
        <v/>
      </c>
      <c r="B12" s="284" t="inlineStr">
        <is>
          <t>장덕길</t>
        </is>
      </c>
      <c r="C12" s="212" t="inlineStr">
        <is>
          <t>안전관리자</t>
        </is>
      </c>
      <c r="D12" s="212" t="inlineStr">
        <is>
          <t>공통업무</t>
        </is>
      </c>
      <c r="E12" s="212" t="inlineStr">
        <is>
          <t>공통업무</t>
        </is>
      </c>
      <c r="F12" s="212" t="inlineStr">
        <is>
          <t>공통업무</t>
        </is>
      </c>
      <c r="G12" s="208" t="inlineStr">
        <is>
          <t xml:space="preserve">F02 5F/PCW 20 배관 </t>
        </is>
      </c>
      <c r="H12" s="209" t="inlineStr">
        <is>
          <t>현장 안전 관리 감독</t>
        </is>
      </c>
      <c r="I12" s="213" t="n"/>
      <c r="J12" s="213" t="n">
        <v>1</v>
      </c>
      <c r="K12" s="213" t="n"/>
      <c r="L12" s="213" t="n"/>
      <c r="M12" s="213" t="n"/>
      <c r="N12" s="214" t="n"/>
      <c r="Q12" s="280">
        <f>'2.직종별 인원현황'!F13</f>
        <v/>
      </c>
      <c r="R12" s="213">
        <f>SUMIF(표2[[직종구분]:[작업 위치_코드]],$Q12,표2[조출])</f>
        <v/>
      </c>
      <c r="S12" s="213">
        <f>SUMIF(표2[[직종구분]:[작업 위치_코드]],$Q12,표2[주간])</f>
        <v/>
      </c>
      <c r="T12" s="213">
        <f>SUMIF(표2[[직종구분]:[작업 위치_코드]],$Q12,표2[연장])</f>
        <v/>
      </c>
      <c r="U12" s="213">
        <f>SUMIF(표2[[직종구분]:[작업 위치_코드]],$Q12,표2[야간])</f>
        <v/>
      </c>
      <c r="V12" s="213">
        <f>SUMIF(표2[[직종구분]:[작업 위치_코드]],$Q12,표2[철야])</f>
        <v/>
      </c>
      <c r="W12" s="213">
        <f>SUM(R12:V12)</f>
        <v/>
      </c>
    </row>
    <row r="13" ht="20.1" customHeight="1" s="362">
      <c r="A13" s="211">
        <f>A12+1</f>
        <v/>
      </c>
      <c r="B13" s="284" t="inlineStr">
        <is>
          <t>김연희</t>
        </is>
      </c>
      <c r="C13" s="212" t="inlineStr">
        <is>
          <t>안전관리자</t>
        </is>
      </c>
      <c r="D13" s="212" t="inlineStr">
        <is>
          <t>공통업무</t>
        </is>
      </c>
      <c r="E13" s="212" t="inlineStr">
        <is>
          <t>공통업무</t>
        </is>
      </c>
      <c r="F13" s="212" t="inlineStr">
        <is>
          <t>공통업무</t>
        </is>
      </c>
      <c r="G13" s="208" t="inlineStr">
        <is>
          <t xml:space="preserve">F02 5F/PCW 20 배관 </t>
        </is>
      </c>
      <c r="H13" s="209" t="inlineStr">
        <is>
          <t>현장 안전 관리 감독</t>
        </is>
      </c>
      <c r="I13" s="213" t="n"/>
      <c r="J13" s="213" t="n">
        <v>1</v>
      </c>
      <c r="K13" s="213" t="n"/>
      <c r="L13" s="213" t="n"/>
      <c r="M13" s="213" t="n"/>
      <c r="N13" s="214" t="n"/>
      <c r="Q13" s="280">
        <f>'2.직종별 인원현황'!F14</f>
        <v/>
      </c>
      <c r="R13" s="213">
        <f>SUMIF(표2[[직종구분]:[작업 위치_코드]],$Q13,표2[조출])</f>
        <v/>
      </c>
      <c r="S13" s="213">
        <f>SUMIF(표2[[직종구분]:[작업 위치_코드]],$Q13,표2[주간])</f>
        <v/>
      </c>
      <c r="T13" s="213">
        <f>SUMIF(표2[[직종구분]:[작업 위치_코드]],$Q13,표2[연장])</f>
        <v/>
      </c>
      <c r="U13" s="213">
        <f>SUMIF(표2[[직종구분]:[작업 위치_코드]],$Q13,표2[야간])</f>
        <v/>
      </c>
      <c r="V13" s="213">
        <f>SUMIF(표2[[직종구분]:[작업 위치_코드]],$Q13,표2[철야])</f>
        <v/>
      </c>
      <c r="W13" s="213">
        <f>SUM(R13:V13)</f>
        <v/>
      </c>
    </row>
    <row r="14" ht="20.1" customHeight="1" s="362">
      <c r="A14" s="211">
        <f>A13+1</f>
        <v/>
      </c>
      <c r="B14" s="284" t="inlineStr">
        <is>
          <t>김헌</t>
        </is>
      </c>
      <c r="C14" s="212" t="inlineStr">
        <is>
          <t>안전관리자</t>
        </is>
      </c>
      <c r="D14" s="212" t="inlineStr">
        <is>
          <t>공통업무</t>
        </is>
      </c>
      <c r="E14" s="212" t="inlineStr">
        <is>
          <t>공통업무</t>
        </is>
      </c>
      <c r="F14" s="212" t="inlineStr">
        <is>
          <t>공통업무</t>
        </is>
      </c>
      <c r="G14" s="208" t="inlineStr">
        <is>
          <t xml:space="preserve">F02 5F/PCW 20 배관 </t>
        </is>
      </c>
      <c r="H14" s="209" t="inlineStr">
        <is>
          <t>현장 안전 관리 감독</t>
        </is>
      </c>
      <c r="I14" s="213" t="n"/>
      <c r="J14" s="213" t="n">
        <v>1</v>
      </c>
      <c r="K14" s="213" t="n"/>
      <c r="L14" s="213" t="n"/>
      <c r="M14" s="213" t="n"/>
      <c r="N14" s="214" t="n"/>
      <c r="Q14" s="287">
        <f>'2.직종별 인원현황'!F15</f>
        <v/>
      </c>
      <c r="R14" s="213">
        <f>SUMIF(표2[[직종구분]:[작업 위치_코드]],$Q14,표2[조출])</f>
        <v/>
      </c>
      <c r="S14" s="213">
        <f>SUMIF(표2[[직종구분]:[작업 위치_코드]],$Q14,표2[주간])</f>
        <v/>
      </c>
      <c r="T14" s="213">
        <f>SUMIF(표2[[직종구분]:[작업 위치_코드]],$Q14,표2[연장])</f>
        <v/>
      </c>
      <c r="U14" s="213">
        <f>SUMIF(표2[[직종구분]:[작업 위치_코드]],$Q14,표2[야간])</f>
        <v/>
      </c>
      <c r="V14" s="213">
        <f>SUMIF(표2[[직종구분]:[작업 위치_코드]],$Q14,표2[철야])</f>
        <v/>
      </c>
      <c r="W14" s="213">
        <f>SUM(R14:V14)</f>
        <v/>
      </c>
    </row>
    <row r="15" ht="20.1" customHeight="1" s="362">
      <c r="A15" s="211">
        <f>A14+1</f>
        <v/>
      </c>
      <c r="B15" s="284" t="inlineStr">
        <is>
          <t>조성진</t>
        </is>
      </c>
      <c r="C15" s="212" t="inlineStr">
        <is>
          <t>안전관리자</t>
        </is>
      </c>
      <c r="D15" s="212" t="inlineStr">
        <is>
          <t>공통업무</t>
        </is>
      </c>
      <c r="E15" s="212" t="inlineStr">
        <is>
          <t>공통업무</t>
        </is>
      </c>
      <c r="F15" s="212" t="inlineStr">
        <is>
          <t>공통업무</t>
        </is>
      </c>
      <c r="G15" s="212" t="inlineStr">
        <is>
          <t xml:space="preserve">F03 6F/PCW 20 배관 </t>
        </is>
      </c>
      <c r="H15" s="209" t="inlineStr">
        <is>
          <t>현장 안전 관리 감독</t>
        </is>
      </c>
      <c r="I15" s="213" t="n">
        <v>1</v>
      </c>
      <c r="J15" s="213" t="n">
        <v>1</v>
      </c>
      <c r="K15" s="213" t="n"/>
      <c r="L15" s="213" t="n"/>
      <c r="M15" s="213" t="n"/>
      <c r="N15" s="214" t="n"/>
      <c r="Q15" s="280">
        <f>'2.직종별 인원현황'!F16</f>
        <v/>
      </c>
      <c r="R15" s="213">
        <f>SUMIF(표2[[직종구분]:[작업 위치_코드]],$Q15,표2[조출])</f>
        <v/>
      </c>
      <c r="S15" s="213">
        <f>SUMIF(표2[[직종구분]:[작업 위치_코드]],$Q15,표2[주간])</f>
        <v/>
      </c>
      <c r="T15" s="213">
        <f>SUMIF(표2[[직종구분]:[작업 위치_코드]],$Q15,표2[연장])</f>
        <v/>
      </c>
      <c r="U15" s="213">
        <f>SUMIF(표2[[직종구분]:[작업 위치_코드]],$Q15,표2[야간])</f>
        <v/>
      </c>
      <c r="V15" s="213">
        <f>SUMIF(표2[[직종구분]:[작업 위치_코드]],$Q15,표2[철야])</f>
        <v/>
      </c>
      <c r="W15" s="213">
        <f>SUM(R15:V15)</f>
        <v/>
      </c>
    </row>
    <row r="16" ht="20.1" customHeight="1" s="362">
      <c r="A16" s="211">
        <f>A15+1</f>
        <v/>
      </c>
      <c r="B16" s="284" t="inlineStr">
        <is>
          <t>최윤석</t>
        </is>
      </c>
      <c r="C16" s="212" t="inlineStr">
        <is>
          <t>안전관리자</t>
        </is>
      </c>
      <c r="D16" s="212" t="inlineStr">
        <is>
          <t>공통업무</t>
        </is>
      </c>
      <c r="E16" s="212" t="inlineStr">
        <is>
          <t>공통업무</t>
        </is>
      </c>
      <c r="F16" s="212" t="inlineStr">
        <is>
          <t>공통업무</t>
        </is>
      </c>
      <c r="G16" s="212" t="inlineStr">
        <is>
          <t xml:space="preserve">F03 6F/PCW 20 배관 </t>
        </is>
      </c>
      <c r="H16" s="209" t="inlineStr">
        <is>
          <t>현장 안전 관리 감독</t>
        </is>
      </c>
      <c r="I16" s="213" t="n">
        <v>1</v>
      </c>
      <c r="J16" s="213" t="n">
        <v>1</v>
      </c>
      <c r="K16" s="213" t="n"/>
      <c r="L16" s="213" t="n"/>
      <c r="M16" s="213" t="n"/>
      <c r="N16" s="214" t="n"/>
      <c r="Q16" s="280">
        <f>'2.직종별 인원현황'!F17</f>
        <v/>
      </c>
      <c r="R16" s="213">
        <f>SUMIF(표2[[직종구분]:[작업 위치_코드]],$Q16,표2[조출])</f>
        <v/>
      </c>
      <c r="S16" s="213">
        <f>SUMIF(표2[[직종구분]:[작업 위치_코드]],$Q16,표2[주간])</f>
        <v/>
      </c>
      <c r="T16" s="213">
        <f>SUMIF(표2[[직종구분]:[작업 위치_코드]],$Q16,표2[연장])</f>
        <v/>
      </c>
      <c r="U16" s="213">
        <f>SUMIF(표2[[직종구분]:[작업 위치_코드]],$Q16,표2[야간])</f>
        <v/>
      </c>
      <c r="V16" s="213">
        <f>SUMIF(표2[[직종구분]:[작업 위치_코드]],$Q16,표2[철야])</f>
        <v/>
      </c>
      <c r="W16" s="213">
        <f>SUM(R16:V16)</f>
        <v/>
      </c>
    </row>
    <row r="17" ht="20.1" customHeight="1" s="362">
      <c r="A17" s="211">
        <f>A16+1</f>
        <v/>
      </c>
      <c r="B17" s="215" t="inlineStr">
        <is>
          <t>최윤성</t>
        </is>
      </c>
      <c r="C17" s="212" t="inlineStr">
        <is>
          <t>품질관리자</t>
        </is>
      </c>
      <c r="D17" s="212" t="inlineStr">
        <is>
          <t>공통업무</t>
        </is>
      </c>
      <c r="E17" s="212" t="inlineStr">
        <is>
          <t>공통업무</t>
        </is>
      </c>
      <c r="F17" s="212" t="inlineStr">
        <is>
          <t>공통업무</t>
        </is>
      </c>
      <c r="G17" s="208" t="inlineStr">
        <is>
          <t xml:space="preserve">F02 5F/PCW 20 배관 </t>
        </is>
      </c>
      <c r="H17" s="209" t="inlineStr">
        <is>
          <t>현장 품질 관리 감독</t>
        </is>
      </c>
      <c r="I17" s="213" t="n"/>
      <c r="J17" s="213" t="n">
        <v>1</v>
      </c>
      <c r="K17" s="213" t="n"/>
      <c r="L17" s="213" t="n"/>
      <c r="M17" s="213" t="n"/>
      <c r="N17" s="214" t="n"/>
      <c r="Q17" s="280">
        <f>'2.직종별 인원현황'!F18</f>
        <v/>
      </c>
      <c r="R17" s="213">
        <f>SUMIF(표2[[직종구분]:[작업 위치_코드]],$Q17,표2[조출])</f>
        <v/>
      </c>
      <c r="S17" s="213">
        <f>SUMIF(표2[[직종구분]:[작업 위치_코드]],$Q17,표2[주간])</f>
        <v/>
      </c>
      <c r="T17" s="213">
        <f>SUMIF(표2[[직종구분]:[작업 위치_코드]],$Q17,표2[연장])</f>
        <v/>
      </c>
      <c r="U17" s="213">
        <f>SUMIF(표2[[직종구분]:[작업 위치_코드]],$Q17,표2[야간])</f>
        <v/>
      </c>
      <c r="V17" s="213">
        <f>SUMIF(표2[[직종구분]:[작업 위치_코드]],$Q17,표2[철야])</f>
        <v/>
      </c>
      <c r="W17" s="213">
        <f>SUM(R17:V17)</f>
        <v/>
      </c>
    </row>
    <row r="18" ht="20.1" customHeight="1" s="362">
      <c r="A18" s="211">
        <f>A17+1</f>
        <v/>
      </c>
      <c r="B18" s="215" t="inlineStr">
        <is>
          <t>윤재철</t>
        </is>
      </c>
      <c r="C18" s="212" t="inlineStr">
        <is>
          <t>품질관리자</t>
        </is>
      </c>
      <c r="D18" s="212" t="inlineStr">
        <is>
          <t>공통업무</t>
        </is>
      </c>
      <c r="E18" s="212" t="inlineStr">
        <is>
          <t>공통업무</t>
        </is>
      </c>
      <c r="F18" s="212" t="inlineStr">
        <is>
          <t>공통업무</t>
        </is>
      </c>
      <c r="G18" s="208" t="inlineStr">
        <is>
          <t xml:space="preserve">F02 5F/PCW 20 배관 </t>
        </is>
      </c>
      <c r="H18" s="209" t="inlineStr">
        <is>
          <t>현장 품질 관리 감독</t>
        </is>
      </c>
      <c r="I18" s="213" t="n"/>
      <c r="J18" s="213" t="n">
        <v>1</v>
      </c>
      <c r="K18" s="213" t="n"/>
      <c r="L18" s="213" t="n"/>
      <c r="M18" s="213" t="n"/>
      <c r="N18" s="214" t="n"/>
      <c r="Q18" s="280">
        <f>'2.직종별 인원현황'!F19</f>
        <v/>
      </c>
      <c r="R18" s="213">
        <f>SUMIF(표2[[직종구분]:[작업 위치_코드]],$Q18,표2[조출])</f>
        <v/>
      </c>
      <c r="S18" s="213">
        <f>SUMIF(표2[[직종구분]:[작업 위치_코드]],$Q18,표2[주간])</f>
        <v/>
      </c>
      <c r="T18" s="213">
        <f>SUMIF(표2[[직종구분]:[작업 위치_코드]],$Q18,표2[연장])</f>
        <v/>
      </c>
      <c r="U18" s="213">
        <f>SUMIF(표2[[직종구분]:[작업 위치_코드]],$Q18,표2[야간])</f>
        <v/>
      </c>
      <c r="V18" s="213">
        <f>SUMIF(표2[[직종구분]:[작업 위치_코드]],$Q18,표2[철야])</f>
        <v/>
      </c>
      <c r="W18" s="213">
        <f>SUM(R18:V18)</f>
        <v/>
      </c>
    </row>
    <row r="19" ht="20.1" customHeight="1" s="362">
      <c r="A19" s="211">
        <f>A18+1</f>
        <v/>
      </c>
      <c r="B19" s="215" t="inlineStr">
        <is>
          <t>서준호</t>
        </is>
      </c>
      <c r="C19" s="212" t="inlineStr">
        <is>
          <t>품질관리자</t>
        </is>
      </c>
      <c r="D19" s="212" t="inlineStr">
        <is>
          <t>공통업무</t>
        </is>
      </c>
      <c r="E19" s="212" t="inlineStr">
        <is>
          <t>공통업무</t>
        </is>
      </c>
      <c r="F19" s="212" t="inlineStr">
        <is>
          <t>공통업무</t>
        </is>
      </c>
      <c r="G19" s="212" t="inlineStr">
        <is>
          <t xml:space="preserve">F03 6F/PCW 20 배관 </t>
        </is>
      </c>
      <c r="H19" s="209" t="inlineStr">
        <is>
          <t>현장 품질 관리 감독</t>
        </is>
      </c>
      <c r="I19" s="213" t="n"/>
      <c r="J19" s="213" t="n">
        <v>1</v>
      </c>
      <c r="K19" s="213" t="n"/>
      <c r="L19" s="213" t="n"/>
      <c r="M19" s="213" t="n"/>
      <c r="N19" s="214" t="n"/>
      <c r="Q19" s="280">
        <f>'2.직종별 인원현황'!F20</f>
        <v/>
      </c>
      <c r="R19" s="213">
        <f>SUMIF(표2[[직종구분]:[작업 위치_코드]],$Q19,표2[조출])</f>
        <v/>
      </c>
      <c r="S19" s="213">
        <f>SUMIF(표2[[직종구분]:[작업 위치_코드]],$Q19,표2[주간])</f>
        <v/>
      </c>
      <c r="T19" s="213">
        <f>SUMIF(표2[[직종구분]:[작업 위치_코드]],$Q19,표2[연장])</f>
        <v/>
      </c>
      <c r="U19" s="213">
        <f>SUMIF(표2[[직종구분]:[작업 위치_코드]],$Q19,표2[야간])</f>
        <v/>
      </c>
      <c r="V19" s="213">
        <f>SUMIF(표2[[직종구분]:[작업 위치_코드]],$Q19,표2[철야])</f>
        <v/>
      </c>
      <c r="W19" s="213">
        <f>SUM(R19:V19)</f>
        <v/>
      </c>
    </row>
    <row r="20" ht="20.1" customHeight="1" s="362">
      <c r="A20" s="211">
        <f>A19+1</f>
        <v/>
      </c>
      <c r="B20" s="215" t="inlineStr">
        <is>
          <t>민영광</t>
        </is>
      </c>
      <c r="C20" s="212" t="inlineStr">
        <is>
          <t>품질관리자</t>
        </is>
      </c>
      <c r="D20" s="212" t="inlineStr">
        <is>
          <t>공통업무</t>
        </is>
      </c>
      <c r="E20" s="212" t="inlineStr">
        <is>
          <t>공통업무</t>
        </is>
      </c>
      <c r="F20" s="212" t="inlineStr">
        <is>
          <t>공통업무</t>
        </is>
      </c>
      <c r="G20" s="212" t="inlineStr">
        <is>
          <t xml:space="preserve">F03 6F/PCW 20 배관 </t>
        </is>
      </c>
      <c r="H20" s="209" t="inlineStr">
        <is>
          <t>현장 품질 관리 감독</t>
        </is>
      </c>
      <c r="I20" s="213" t="n"/>
      <c r="J20" s="213" t="n">
        <v>1</v>
      </c>
      <c r="K20" s="213" t="n"/>
      <c r="L20" s="213" t="n"/>
      <c r="M20" s="213" t="n"/>
      <c r="N20" s="214" t="n"/>
      <c r="Q20" s="280">
        <f>'2.직종별 인원현황'!F21</f>
        <v/>
      </c>
      <c r="R20" s="213">
        <f>SUMIF(표2[[직종구분]:[작업 위치_코드]],$Q20,표2[조출])</f>
        <v/>
      </c>
      <c r="S20" s="213">
        <f>SUMIF(표2[[직종구분]:[작업 위치_코드]],$Q20,표2[주간])</f>
        <v/>
      </c>
      <c r="T20" s="213">
        <f>SUMIF(표2[[직종구분]:[작업 위치_코드]],$Q20,표2[연장])</f>
        <v/>
      </c>
      <c r="U20" s="213">
        <f>SUMIF(표2[[직종구분]:[작업 위치_코드]],$Q20,표2[야간])</f>
        <v/>
      </c>
      <c r="V20" s="213">
        <f>SUMIF(표2[[직종구분]:[작업 위치_코드]],$Q20,표2[철야])</f>
        <v/>
      </c>
      <c r="W20" s="213">
        <f>SUM(R20:V20)</f>
        <v/>
      </c>
    </row>
    <row r="21" ht="20.1" customHeight="1" s="362">
      <c r="A21" s="211">
        <f>A20+1</f>
        <v/>
      </c>
      <c r="B21" s="215" t="inlineStr">
        <is>
          <t>임남수</t>
        </is>
      </c>
      <c r="C21" s="212" t="inlineStr">
        <is>
          <t>배관공</t>
        </is>
      </c>
      <c r="D21" s="212" t="inlineStr">
        <is>
          <t>공통업무</t>
        </is>
      </c>
      <c r="E21" s="212" t="inlineStr">
        <is>
          <t>공통업무</t>
        </is>
      </c>
      <c r="F21" s="212" t="inlineStr">
        <is>
          <t>공통업무</t>
        </is>
      </c>
      <c r="G21" s="212" t="inlineStr">
        <is>
          <t xml:space="preserve">F03 6F/PCW 20 배관 </t>
        </is>
      </c>
      <c r="H21" s="209" t="inlineStr">
        <is>
          <t>현장 공사 관리 감독</t>
        </is>
      </c>
      <c r="I21" s="213" t="n">
        <v>1</v>
      </c>
      <c r="J21" s="213" t="n">
        <v>1</v>
      </c>
      <c r="K21" s="213" t="n"/>
      <c r="L21" s="213" t="n"/>
      <c r="M21" s="213" t="n"/>
      <c r="N21" s="214" t="n"/>
      <c r="Q21" s="280">
        <f>'2.직종별 인원현황'!F22</f>
        <v/>
      </c>
      <c r="R21" s="213">
        <f>SUMIF(표2[[직종구분]:[작업 위치_코드]],$Q21,표2[조출])</f>
        <v/>
      </c>
      <c r="S21" s="213">
        <f>SUMIF(표2[[직종구분]:[작업 위치_코드]],$Q21,표2[주간])</f>
        <v/>
      </c>
      <c r="T21" s="213">
        <f>SUMIF(표2[[직종구분]:[작업 위치_코드]],$Q21,표2[연장])</f>
        <v/>
      </c>
      <c r="U21" s="213">
        <f>SUMIF(표2[[직종구분]:[작업 위치_코드]],$Q21,표2[야간])</f>
        <v/>
      </c>
      <c r="V21" s="213">
        <f>SUMIF(표2[[직종구분]:[작업 위치_코드]],$Q21,표2[철야])</f>
        <v/>
      </c>
      <c r="W21" s="213">
        <f>SUM(R21:V21)</f>
        <v/>
      </c>
    </row>
    <row r="22" ht="20.1" customHeight="1" s="362">
      <c r="A22" s="211">
        <f>A21+1</f>
        <v/>
      </c>
      <c r="B22" s="215" t="inlineStr">
        <is>
          <t>이지훈</t>
        </is>
      </c>
      <c r="C22" s="212" t="inlineStr">
        <is>
          <t>배관공</t>
        </is>
      </c>
      <c r="D22" s="212" t="inlineStr">
        <is>
          <t>공통업무</t>
        </is>
      </c>
      <c r="E22" s="212" t="inlineStr">
        <is>
          <t>공통업무</t>
        </is>
      </c>
      <c r="F22" s="212" t="inlineStr">
        <is>
          <t>공통업무</t>
        </is>
      </c>
      <c r="G22" s="212" t="inlineStr">
        <is>
          <t xml:space="preserve">F03 6F/PCW 20 배관 </t>
        </is>
      </c>
      <c r="H22" s="209" t="inlineStr">
        <is>
          <t>현장 공사 관리 감독</t>
        </is>
      </c>
      <c r="I22" s="213" t="n">
        <v>1</v>
      </c>
      <c r="J22" s="213" t="n">
        <v>1</v>
      </c>
      <c r="K22" s="213" t="n"/>
      <c r="L22" s="213" t="n"/>
      <c r="M22" s="213" t="n"/>
      <c r="N22" s="214" t="n"/>
      <c r="Q22" s="280">
        <f>'2.직종별 인원현황'!F23</f>
        <v/>
      </c>
      <c r="R22" s="213">
        <f>SUMIF(표2[[직종구분]:[작업 위치_코드]],$Q22,표2[조출])</f>
        <v/>
      </c>
      <c r="S22" s="213">
        <f>SUMIF(표2[[직종구분]:[작업 위치_코드]],$Q22,표2[주간])</f>
        <v/>
      </c>
      <c r="T22" s="213">
        <f>SUMIF(표2[[직종구분]:[작업 위치_코드]],$Q22,표2[연장])</f>
        <v/>
      </c>
      <c r="U22" s="213">
        <f>SUMIF(표2[[직종구분]:[작업 위치_코드]],$Q22,표2[야간])</f>
        <v/>
      </c>
      <c r="V22" s="213">
        <f>SUMIF(표2[[직종구분]:[작업 위치_코드]],$Q22,표2[철야])</f>
        <v/>
      </c>
      <c r="W22" s="213">
        <f>SUM(R22:V22)</f>
        <v/>
      </c>
    </row>
    <row r="23" ht="20.1" customHeight="1" s="362">
      <c r="A23" s="211">
        <f>A22+1</f>
        <v/>
      </c>
      <c r="B23" s="215" t="inlineStr">
        <is>
          <t>옹민우</t>
        </is>
      </c>
      <c r="C23" s="212" t="inlineStr">
        <is>
          <t>배관공</t>
        </is>
      </c>
      <c r="D23" s="212" t="inlineStr">
        <is>
          <t>공통업무</t>
        </is>
      </c>
      <c r="E23" s="212" t="inlineStr">
        <is>
          <t>공통업무</t>
        </is>
      </c>
      <c r="F23" s="212" t="inlineStr">
        <is>
          <t>공통업무</t>
        </is>
      </c>
      <c r="G23" s="212" t="inlineStr">
        <is>
          <t xml:space="preserve">F03 6F/PCW 20 배관 </t>
        </is>
      </c>
      <c r="H23" s="209" t="inlineStr">
        <is>
          <t>현장 공사 관리 감독</t>
        </is>
      </c>
      <c r="I23" s="213" t="n">
        <v>1</v>
      </c>
      <c r="J23" s="213" t="n">
        <v>1</v>
      </c>
      <c r="K23" s="213" t="n"/>
      <c r="L23" s="213" t="n"/>
      <c r="M23" s="213" t="n"/>
      <c r="N23" s="214" t="n"/>
      <c r="Q23" s="280">
        <f>'2.직종별 인원현황'!F24</f>
        <v/>
      </c>
      <c r="R23" s="213">
        <f>SUMIF(표2[[직종구분]:[작업 위치_코드]],$Q23,표2[조출])</f>
        <v/>
      </c>
      <c r="S23" s="213">
        <f>SUMIF(표2[[직종구분]:[작업 위치_코드]],$Q23,표2[주간])</f>
        <v/>
      </c>
      <c r="T23" s="213">
        <f>SUMIF(표2[[직종구분]:[작업 위치_코드]],$Q23,표2[연장])</f>
        <v/>
      </c>
      <c r="U23" s="213">
        <f>SUMIF(표2[[직종구분]:[작업 위치_코드]],$Q23,표2[야간])</f>
        <v/>
      </c>
      <c r="V23" s="213">
        <f>SUMIF(표2[[직종구분]:[작업 위치_코드]],$Q23,표2[철야])</f>
        <v/>
      </c>
      <c r="W23" s="213">
        <f>SUM(R23:V23)</f>
        <v/>
      </c>
    </row>
    <row r="24" ht="20.1" customHeight="1" s="362">
      <c r="A24" s="211">
        <f>A23+1</f>
        <v/>
      </c>
      <c r="B24" s="215" t="inlineStr">
        <is>
          <t>성기현</t>
        </is>
      </c>
      <c r="C24" s="212" t="inlineStr">
        <is>
          <t>배관공</t>
        </is>
      </c>
      <c r="D24" s="212" t="inlineStr">
        <is>
          <t>공통업무</t>
        </is>
      </c>
      <c r="E24" s="212" t="inlineStr">
        <is>
          <t>공통업무</t>
        </is>
      </c>
      <c r="F24" s="212" t="inlineStr">
        <is>
          <t>공통업무</t>
        </is>
      </c>
      <c r="G24" s="212" t="inlineStr">
        <is>
          <t xml:space="preserve">F03 6F/PCW 20 배관 </t>
        </is>
      </c>
      <c r="H24" s="209" t="inlineStr">
        <is>
          <t>현장 공사 관리 감독</t>
        </is>
      </c>
      <c r="I24" s="213" t="n">
        <v>1</v>
      </c>
      <c r="J24" s="213" t="n">
        <v>1</v>
      </c>
      <c r="K24" s="213" t="n"/>
      <c r="L24" s="213" t="n"/>
      <c r="M24" s="213" t="n"/>
      <c r="N24" s="214" t="n"/>
      <c r="Q24" s="280">
        <f>'2.직종별 인원현황'!F25</f>
        <v/>
      </c>
      <c r="R24" s="213">
        <f>SUMIF(표2[[직종구분]:[작업 위치_코드]],$Q24,표2[조출])</f>
        <v/>
      </c>
      <c r="S24" s="213">
        <f>SUMIF(표2[[직종구분]:[작업 위치_코드]],$Q24,표2[주간])</f>
        <v/>
      </c>
      <c r="T24" s="213">
        <f>SUMIF(표2[[직종구분]:[작업 위치_코드]],$Q24,표2[연장])</f>
        <v/>
      </c>
      <c r="U24" s="213">
        <f>SUMIF(표2[[직종구분]:[작업 위치_코드]],$Q24,표2[야간])</f>
        <v/>
      </c>
      <c r="V24" s="213">
        <f>SUMIF(표2[[직종구분]:[작업 위치_코드]],$Q24,표2[철야])</f>
        <v/>
      </c>
      <c r="W24" s="213">
        <f>SUM(R24:V24)</f>
        <v/>
      </c>
    </row>
    <row r="25" ht="20.1" customHeight="1" s="362">
      <c r="A25" s="211">
        <f>A24+1</f>
        <v/>
      </c>
      <c r="B25" s="215" t="inlineStr">
        <is>
          <t>김영섭</t>
        </is>
      </c>
      <c r="C25" s="212" t="inlineStr">
        <is>
          <t>보통인부</t>
        </is>
      </c>
      <c r="D25" s="212" t="inlineStr">
        <is>
          <t>공통업무</t>
        </is>
      </c>
      <c r="E25" s="212" t="inlineStr">
        <is>
          <t>공통업무</t>
        </is>
      </c>
      <c r="F25" s="212" t="inlineStr">
        <is>
          <t>공통업무</t>
        </is>
      </c>
      <c r="G25" s="212" t="inlineStr">
        <is>
          <t xml:space="preserve">F03 6F/PCW 20 배관 </t>
        </is>
      </c>
      <c r="H25" s="209" t="inlineStr">
        <is>
          <t>현장 공사 관리 감독</t>
        </is>
      </c>
      <c r="I25" s="213" t="n">
        <v>1</v>
      </c>
      <c r="J25" s="213" t="n">
        <v>1</v>
      </c>
      <c r="K25" s="213" t="n"/>
      <c r="L25" s="213" t="n"/>
      <c r="M25" s="213" t="n"/>
      <c r="N25" s="214" t="n"/>
      <c r="Q25" s="280">
        <f>'2.직종별 인원현황'!F26</f>
        <v/>
      </c>
      <c r="R25" s="213">
        <f>SUMIF(표2[[직종구분]:[작업 위치_코드]],$Q25,표2[조출])</f>
        <v/>
      </c>
      <c r="S25" s="213">
        <f>SUMIF(표2[[직종구분]:[작업 위치_코드]],$Q25,표2[주간])</f>
        <v/>
      </c>
      <c r="T25" s="213">
        <f>SUMIF(표2[[직종구분]:[작업 위치_코드]],$Q25,표2[연장])</f>
        <v/>
      </c>
      <c r="U25" s="213">
        <f>SUMIF(표2[[직종구분]:[작업 위치_코드]],$Q25,표2[야간])</f>
        <v/>
      </c>
      <c r="V25" s="213">
        <f>SUMIF(표2[[직종구분]:[작업 위치_코드]],$Q25,표2[철야])</f>
        <v/>
      </c>
      <c r="W25" s="213">
        <f>SUM(R25:V25)</f>
        <v/>
      </c>
    </row>
    <row r="26" ht="20.1" customHeight="1" s="362">
      <c r="A26" s="211">
        <f>A25+1</f>
        <v/>
      </c>
      <c r="B26" s="215" t="inlineStr">
        <is>
          <t>박이노</t>
        </is>
      </c>
      <c r="C26" s="212" t="inlineStr">
        <is>
          <t>배관공</t>
        </is>
      </c>
      <c r="D26" s="212" t="inlineStr">
        <is>
          <t>PCW배관공사</t>
        </is>
      </c>
      <c r="E26" s="212" t="inlineStr">
        <is>
          <t>PCW배관공사</t>
        </is>
      </c>
      <c r="F26" s="212" t="inlineStr">
        <is>
          <t>A2-2. STS304 10S PIPING FOR 20℃ PCW</t>
        </is>
      </c>
      <c r="G26" s="212" t="inlineStr">
        <is>
          <t xml:space="preserve">F03 7F/PCW 20 배관 </t>
        </is>
      </c>
      <c r="H26" s="213" t="inlineStr">
        <is>
          <t>상부 PIPE 배열 및 용접,크롤라크레인 양중</t>
        </is>
      </c>
      <c r="I26" s="213" t="n">
        <v>1</v>
      </c>
      <c r="J26" s="213" t="n">
        <v>1</v>
      </c>
      <c r="K26" s="213" t="n"/>
      <c r="L26" s="213" t="n"/>
      <c r="M26" s="213" t="n"/>
      <c r="N26" s="214" t="n"/>
      <c r="Q26" s="280">
        <f>'2.직종별 인원현황'!F27</f>
        <v/>
      </c>
      <c r="R26" s="213">
        <f>SUMIF(표2[[직종구분]:[작업 위치_코드]],$Q26,표2[조출])</f>
        <v/>
      </c>
      <c r="S26" s="213">
        <f>SUMIF(표2[[직종구분]:[작업 위치_코드]],$Q26,표2[주간])</f>
        <v/>
      </c>
      <c r="T26" s="213">
        <f>SUMIF(표2[[직종구분]:[작업 위치_코드]],$Q26,표2[연장])</f>
        <v/>
      </c>
      <c r="U26" s="213">
        <f>SUMIF(표2[[직종구분]:[작업 위치_코드]],$Q26,표2[야간])</f>
        <v/>
      </c>
      <c r="V26" s="213">
        <f>SUMIF(표2[[직종구분]:[작업 위치_코드]],$Q26,표2[철야])</f>
        <v/>
      </c>
      <c r="W26" s="213">
        <f>SUM(R26:V26)</f>
        <v/>
      </c>
    </row>
    <row r="27" ht="20.1" customHeight="1" s="362">
      <c r="A27" s="211">
        <f>A26+1</f>
        <v/>
      </c>
      <c r="B27" s="215" t="inlineStr">
        <is>
          <t>서준호</t>
        </is>
      </c>
      <c r="C27" s="212" t="inlineStr">
        <is>
          <t>배관공</t>
        </is>
      </c>
      <c r="D27" s="212" t="inlineStr">
        <is>
          <t>PCW배관공사</t>
        </is>
      </c>
      <c r="E27" s="212" t="inlineStr">
        <is>
          <t>PCW배관공사</t>
        </is>
      </c>
      <c r="F27" s="212" t="inlineStr">
        <is>
          <t>A2-2. STS304 10S PIPING FOR 20℃ PCW</t>
        </is>
      </c>
      <c r="G27" s="212" t="inlineStr">
        <is>
          <t xml:space="preserve">F03 7F/PCW 20 배관 </t>
        </is>
      </c>
      <c r="H27" s="213" t="inlineStr">
        <is>
          <t>상부 PIPE 배열 및 용접,크롤라크레인 양중</t>
        </is>
      </c>
      <c r="I27" s="213" t="n">
        <v>1</v>
      </c>
      <c r="J27" s="213" t="n">
        <v>1</v>
      </c>
      <c r="K27" s="213" t="n"/>
      <c r="L27" s="213" t="n"/>
      <c r="M27" s="213" t="n"/>
      <c r="N27" s="214" t="n"/>
      <c r="Q27" s="280">
        <f>'2.직종별 인원현황'!F28</f>
        <v/>
      </c>
      <c r="R27" s="213">
        <f>SUMIF(표2[[직종구분]:[작업 위치_코드]],$Q27,표2[조출])</f>
        <v/>
      </c>
      <c r="S27" s="213">
        <f>SUMIF(표2[[직종구분]:[작업 위치_코드]],$Q27,표2[주간])</f>
        <v/>
      </c>
      <c r="T27" s="213">
        <f>SUMIF(표2[[직종구분]:[작업 위치_코드]],$Q27,표2[연장])</f>
        <v/>
      </c>
      <c r="U27" s="213">
        <f>SUMIF(표2[[직종구분]:[작업 위치_코드]],$Q27,표2[야간])</f>
        <v/>
      </c>
      <c r="V27" s="213">
        <f>SUMIF(표2[[직종구분]:[작업 위치_코드]],$Q27,표2[철야])</f>
        <v/>
      </c>
      <c r="W27" s="213">
        <f>SUM(R27:V27)</f>
        <v/>
      </c>
    </row>
    <row r="28" ht="20.1" customHeight="1" s="362">
      <c r="A28" s="211">
        <f>A27+1</f>
        <v/>
      </c>
      <c r="B28" s="215" t="inlineStr">
        <is>
          <t>정선혁</t>
        </is>
      </c>
      <c r="C28" s="212" t="inlineStr">
        <is>
          <t>용접공</t>
        </is>
      </c>
      <c r="D28" s="212" t="inlineStr">
        <is>
          <t>PCW배관공사</t>
        </is>
      </c>
      <c r="E28" s="212" t="inlineStr">
        <is>
          <t>PCW배관공사</t>
        </is>
      </c>
      <c r="F28" s="212" t="inlineStr">
        <is>
          <t>A2-2. STS304 10S PIPING FOR 20℃ PCW</t>
        </is>
      </c>
      <c r="G28" s="212" t="inlineStr">
        <is>
          <t xml:space="preserve">F03 7F/PCW 20 배관 </t>
        </is>
      </c>
      <c r="H28" s="213" t="inlineStr">
        <is>
          <t>상부 PIPE 배열 및 용접,크롤라크레인 양중</t>
        </is>
      </c>
      <c r="I28" s="213" t="n">
        <v>1</v>
      </c>
      <c r="J28" s="213" t="n">
        <v>1</v>
      </c>
      <c r="K28" s="213" t="n"/>
      <c r="L28" s="213" t="n"/>
      <c r="M28" s="213" t="n"/>
      <c r="N28" s="214" t="n"/>
      <c r="Q28" s="280">
        <f>'2.직종별 인원현황'!F29</f>
        <v/>
      </c>
      <c r="R28" s="213">
        <f>SUMIF(표2[[직종구분]:[작업 위치_코드]],$Q28,표2[조출])</f>
        <v/>
      </c>
      <c r="S28" s="213">
        <f>SUMIF(표2[[직종구분]:[작업 위치_코드]],$Q28,표2[주간])</f>
        <v/>
      </c>
      <c r="T28" s="213">
        <f>SUMIF(표2[[직종구분]:[작업 위치_코드]],$Q28,표2[연장])</f>
        <v/>
      </c>
      <c r="U28" s="213">
        <f>SUMIF(표2[[직종구분]:[작업 위치_코드]],$Q28,표2[야간])</f>
        <v/>
      </c>
      <c r="V28" s="213">
        <f>SUMIF(표2[[직종구분]:[작업 위치_코드]],$Q28,표2[철야])</f>
        <v/>
      </c>
      <c r="W28" s="213">
        <f>SUM(R28:V28)</f>
        <v/>
      </c>
    </row>
    <row r="29" ht="20.1" customHeight="1" s="362">
      <c r="A29" s="211">
        <f>A28+1</f>
        <v/>
      </c>
      <c r="B29" s="215" t="inlineStr">
        <is>
          <t>한기용</t>
        </is>
      </c>
      <c r="C29" s="212" t="inlineStr">
        <is>
          <t>용접공</t>
        </is>
      </c>
      <c r="D29" s="212" t="inlineStr">
        <is>
          <t>PCW배관공사</t>
        </is>
      </c>
      <c r="E29" s="212" t="inlineStr">
        <is>
          <t>PCW배관공사</t>
        </is>
      </c>
      <c r="F29" s="212" t="inlineStr">
        <is>
          <t>A2-2. STS304 10S PIPING FOR 20℃ PCW</t>
        </is>
      </c>
      <c r="G29" s="212" t="inlineStr">
        <is>
          <t xml:space="preserve">F03 7F/PCW 20 배관 </t>
        </is>
      </c>
      <c r="H29" s="213" t="inlineStr">
        <is>
          <t>상부 PIPE 배열 및 용접,크롤라크레인 양중</t>
        </is>
      </c>
      <c r="I29" s="213" t="n">
        <v>1</v>
      </c>
      <c r="J29" s="213" t="n">
        <v>1</v>
      </c>
      <c r="K29" s="213" t="n"/>
      <c r="L29" s="213" t="n"/>
      <c r="M29" s="213" t="n"/>
      <c r="N29" s="214" t="n"/>
      <c r="Q29" s="280">
        <f>'2.직종별 인원현황'!F30</f>
        <v/>
      </c>
      <c r="R29" s="213">
        <f>SUMIF(표2[[직종구분]:[작업 위치_코드]],$Q29,표2[조출])</f>
        <v/>
      </c>
      <c r="S29" s="213">
        <f>SUMIF(표2[[직종구분]:[작업 위치_코드]],$Q29,표2[주간])</f>
        <v/>
      </c>
      <c r="T29" s="213">
        <f>SUMIF(표2[[직종구분]:[작업 위치_코드]],$Q29,표2[연장])</f>
        <v/>
      </c>
      <c r="U29" s="213">
        <f>SUMIF(표2[[직종구분]:[작업 위치_코드]],$Q29,표2[야간])</f>
        <v/>
      </c>
      <c r="V29" s="213">
        <f>SUMIF(표2[[직종구분]:[작업 위치_코드]],$Q29,표2[철야])</f>
        <v/>
      </c>
      <c r="W29" s="213">
        <f>SUM(R29:V29)</f>
        <v/>
      </c>
    </row>
    <row r="30" ht="20.1" customHeight="1" s="362">
      <c r="A30" s="211">
        <f>A29+1</f>
        <v/>
      </c>
      <c r="B30" s="215" t="inlineStr">
        <is>
          <t>송민</t>
        </is>
      </c>
      <c r="C30" s="212" t="inlineStr">
        <is>
          <t>보통인부</t>
        </is>
      </c>
      <c r="D30" s="212" t="inlineStr">
        <is>
          <t>PCW배관공사</t>
        </is>
      </c>
      <c r="E30" s="212" t="inlineStr">
        <is>
          <t>PCW배관공사</t>
        </is>
      </c>
      <c r="F30" s="212" t="inlineStr">
        <is>
          <t>A2-2. STS304 10S PIPING FOR 20℃ PCW</t>
        </is>
      </c>
      <c r="G30" s="212" t="inlineStr">
        <is>
          <t xml:space="preserve">F03 7F/PCW 20 배관 </t>
        </is>
      </c>
      <c r="H30" s="213" t="inlineStr">
        <is>
          <t>상부 PIPE 배열 및 용접,크롤라크레인 양중</t>
        </is>
      </c>
      <c r="I30" s="213" t="n">
        <v>1</v>
      </c>
      <c r="J30" s="213" t="n">
        <v>1</v>
      </c>
      <c r="K30" s="213" t="n"/>
      <c r="L30" s="213" t="n"/>
      <c r="M30" s="213" t="n"/>
      <c r="N30" s="214" t="n"/>
      <c r="Q30" s="280">
        <f>'2.직종별 인원현황'!F31</f>
        <v/>
      </c>
      <c r="R30" s="213">
        <f>SUMIF(표2[[직종구분]:[작업 위치_코드]],$Q30,표2[조출])</f>
        <v/>
      </c>
      <c r="S30" s="213">
        <f>SUMIF(표2[[직종구분]:[작업 위치_코드]],$Q30,표2[주간])</f>
        <v/>
      </c>
      <c r="T30" s="213">
        <f>SUMIF(표2[[직종구분]:[작업 위치_코드]],$Q30,표2[연장])</f>
        <v/>
      </c>
      <c r="U30" s="213">
        <f>SUMIF(표2[[직종구분]:[작업 위치_코드]],$Q30,표2[야간])</f>
        <v/>
      </c>
      <c r="V30" s="213">
        <f>SUMIF(표2[[직종구분]:[작업 위치_코드]],$Q30,표2[철야])</f>
        <v/>
      </c>
      <c r="W30" s="213">
        <f>SUM(R30:V30)</f>
        <v/>
      </c>
    </row>
    <row r="31" ht="20.1" customHeight="1" s="362">
      <c r="A31" s="211">
        <f>A30+1</f>
        <v/>
      </c>
      <c r="B31" s="215" t="inlineStr">
        <is>
          <t>박강훈</t>
        </is>
      </c>
      <c r="C31" s="212" t="inlineStr">
        <is>
          <t>보통인부</t>
        </is>
      </c>
      <c r="D31" s="212" t="inlineStr">
        <is>
          <t>PCW배관공사</t>
        </is>
      </c>
      <c r="E31" s="212" t="inlineStr">
        <is>
          <t>PCW배관공사</t>
        </is>
      </c>
      <c r="F31" s="212" t="inlineStr">
        <is>
          <t>A2-2. STS304 10S PIPING FOR 20℃ PCW</t>
        </is>
      </c>
      <c r="G31" s="212" t="inlineStr">
        <is>
          <t xml:space="preserve">F03 7F/PCW 20 배관 </t>
        </is>
      </c>
      <c r="H31" s="213" t="inlineStr">
        <is>
          <t>상부 PIPE 배열 및 용접,크롤라크레인 양중</t>
        </is>
      </c>
      <c r="I31" s="213" t="n">
        <v>1</v>
      </c>
      <c r="J31" s="213" t="n">
        <v>1</v>
      </c>
      <c r="K31" s="213" t="n"/>
      <c r="L31" s="213" t="n"/>
      <c r="M31" s="213" t="n"/>
      <c r="N31" s="214" t="n"/>
      <c r="Q31" s="280">
        <f>'2.직종별 인원현황'!F32</f>
        <v/>
      </c>
      <c r="R31" s="213">
        <f>SUMIF(표2[[직종구분]:[작업 위치_코드]],$Q31,표2[조출])</f>
        <v/>
      </c>
      <c r="S31" s="213">
        <f>SUMIF(표2[[직종구분]:[작업 위치_코드]],$Q31,표2[주간])</f>
        <v/>
      </c>
      <c r="T31" s="213">
        <f>SUMIF(표2[[직종구분]:[작업 위치_코드]],$Q31,표2[연장])</f>
        <v/>
      </c>
      <c r="U31" s="213">
        <f>SUMIF(표2[[직종구분]:[작업 위치_코드]],$Q31,표2[야간])</f>
        <v/>
      </c>
      <c r="V31" s="213">
        <f>SUMIF(표2[[직종구분]:[작업 위치_코드]],$Q31,표2[철야])</f>
        <v/>
      </c>
      <c r="W31" s="213">
        <f>SUM(R31:V31)</f>
        <v/>
      </c>
    </row>
    <row r="32" ht="20.1" customHeight="1" s="362">
      <c r="A32" s="211">
        <f>A31+1</f>
        <v/>
      </c>
      <c r="B32" s="215" t="inlineStr">
        <is>
          <t>이혜선</t>
        </is>
      </c>
      <c r="C32" s="212" t="inlineStr">
        <is>
          <t>화기감시자</t>
        </is>
      </c>
      <c r="D32" s="212" t="inlineStr">
        <is>
          <t>PCW배관공사</t>
        </is>
      </c>
      <c r="E32" s="212" t="inlineStr">
        <is>
          <t>PCW배관공사</t>
        </is>
      </c>
      <c r="F32" s="212" t="inlineStr">
        <is>
          <t>A2-2. STS304 10S PIPING FOR 20℃ PCW</t>
        </is>
      </c>
      <c r="G32" s="212" t="inlineStr">
        <is>
          <t xml:space="preserve">F03 7F/PCW 20 배관 </t>
        </is>
      </c>
      <c r="H32" s="213" t="inlineStr">
        <is>
          <t>상부 PIPE 배열 및 용접,크롤라크레인 양중</t>
        </is>
      </c>
      <c r="I32" s="213" t="n">
        <v>1</v>
      </c>
      <c r="J32" s="213" t="n">
        <v>1</v>
      </c>
      <c r="K32" s="213" t="n"/>
      <c r="L32" s="213" t="n"/>
      <c r="M32" s="213" t="n"/>
      <c r="N32" s="214" t="n"/>
      <c r="Q32" s="280">
        <f>'2.직종별 인원현황'!F33</f>
        <v/>
      </c>
      <c r="R32" s="213">
        <f>SUMIF(표2[[직종구분]:[작업 위치_코드]],$Q32,표2[조출])</f>
        <v/>
      </c>
      <c r="S32" s="213">
        <f>SUMIF(표2[[직종구분]:[작업 위치_코드]],$Q32,표2[주간])</f>
        <v/>
      </c>
      <c r="T32" s="213">
        <f>SUMIF(표2[[직종구분]:[작업 위치_코드]],$Q32,표2[연장])</f>
        <v/>
      </c>
      <c r="U32" s="213">
        <f>SUMIF(표2[[직종구분]:[작업 위치_코드]],$Q32,표2[야간])</f>
        <v/>
      </c>
      <c r="V32" s="213">
        <f>SUMIF(표2[[직종구분]:[작업 위치_코드]],$Q32,표2[철야])</f>
        <v/>
      </c>
      <c r="W32" s="213">
        <f>SUM(R32:V32)</f>
        <v/>
      </c>
    </row>
    <row r="33" ht="20.1" customHeight="1" s="362">
      <c r="A33" s="211">
        <f>A32+1</f>
        <v/>
      </c>
      <c r="B33" s="215" t="inlineStr">
        <is>
          <t>신재호</t>
        </is>
      </c>
      <c r="C33" s="212" t="inlineStr">
        <is>
          <t>보통인부</t>
        </is>
      </c>
      <c r="D33" s="212" t="inlineStr">
        <is>
          <t>PCW배관공사</t>
        </is>
      </c>
      <c r="E33" s="212" t="inlineStr">
        <is>
          <t>PCW배관공사</t>
        </is>
      </c>
      <c r="F33" s="212" t="inlineStr">
        <is>
          <t>A2-2. STS304 10S PIPING FOR 20℃ PCW</t>
        </is>
      </c>
      <c r="G33" s="212" t="inlineStr">
        <is>
          <t xml:space="preserve">F03 7F/PCW 20 배관 </t>
        </is>
      </c>
      <c r="H33" s="213" t="inlineStr">
        <is>
          <t>상부 PIPE 배열 및 용접,크롤라크레인 양중</t>
        </is>
      </c>
      <c r="I33" s="213" t="n">
        <v>1</v>
      </c>
      <c r="J33" s="213" t="n">
        <v>1</v>
      </c>
      <c r="K33" s="213" t="n"/>
      <c r="L33" s="213" t="n"/>
      <c r="M33" s="213" t="n"/>
      <c r="N33" s="214" t="n"/>
      <c r="Q33" s="280">
        <f>'2.직종별 인원현황'!F34</f>
        <v/>
      </c>
      <c r="R33" s="213">
        <f>SUMIF(표2[[직종구분]:[작업 위치_코드]],$Q33,표2[조출])</f>
        <v/>
      </c>
      <c r="S33" s="213">
        <f>SUMIF(표2[[직종구분]:[작업 위치_코드]],$Q33,표2[주간])</f>
        <v/>
      </c>
      <c r="T33" s="213">
        <f>SUMIF(표2[[직종구분]:[작업 위치_코드]],$Q33,표2[연장])</f>
        <v/>
      </c>
      <c r="U33" s="213">
        <f>SUMIF(표2[[직종구분]:[작업 위치_코드]],$Q33,표2[야간])</f>
        <v/>
      </c>
      <c r="V33" s="213">
        <f>SUMIF(표2[[직종구분]:[작업 위치_코드]],$Q33,표2[철야])</f>
        <v/>
      </c>
      <c r="W33" s="213">
        <f>SUM(R33:V33)</f>
        <v/>
      </c>
    </row>
    <row r="34" ht="20.1" customHeight="1" s="362">
      <c r="A34" s="211">
        <f>A33+1</f>
        <v/>
      </c>
      <c r="B34" s="215" t="inlineStr">
        <is>
          <t>김병현</t>
        </is>
      </c>
      <c r="C34" s="212" t="inlineStr">
        <is>
          <t>보통인부</t>
        </is>
      </c>
      <c r="D34" s="212" t="inlineStr">
        <is>
          <t>PCW배관공사</t>
        </is>
      </c>
      <c r="E34" s="212" t="inlineStr">
        <is>
          <t>PCW배관공사</t>
        </is>
      </c>
      <c r="F34" s="212" t="inlineStr">
        <is>
          <t>A2-2. STS304 10S PIPING FOR 20℃ PCW</t>
        </is>
      </c>
      <c r="G34" s="212" t="inlineStr">
        <is>
          <t xml:space="preserve">F03 7F/PCW 20 배관 </t>
        </is>
      </c>
      <c r="H34" s="213" t="inlineStr">
        <is>
          <t>상부 PIPE 배열 및 용접,크롤라크레인 양중</t>
        </is>
      </c>
      <c r="I34" s="213" t="n">
        <v>1</v>
      </c>
      <c r="J34" s="213" t="n">
        <v>1</v>
      </c>
      <c r="K34" s="213" t="n"/>
      <c r="L34" s="213" t="n"/>
      <c r="M34" s="213" t="n"/>
      <c r="N34" s="214" t="n"/>
      <c r="Q34" s="280">
        <f>'2.직종별 인원현황'!F35</f>
        <v/>
      </c>
      <c r="R34" s="213">
        <f>SUMIF(표2[[직종구분]:[작업 위치_코드]],$Q34,표2[조출])</f>
        <v/>
      </c>
      <c r="S34" s="213">
        <f>SUMIF(표2[[직종구분]:[작업 위치_코드]],$Q34,표2[주간])</f>
        <v/>
      </c>
      <c r="T34" s="213">
        <f>SUMIF(표2[[직종구분]:[작업 위치_코드]],$Q34,표2[연장])</f>
        <v/>
      </c>
      <c r="U34" s="213">
        <f>SUMIF(표2[[직종구분]:[작업 위치_코드]],$Q34,표2[야간])</f>
        <v/>
      </c>
      <c r="V34" s="213">
        <f>SUMIF(표2[[직종구분]:[작업 위치_코드]],$Q34,표2[철야])</f>
        <v/>
      </c>
      <c r="W34" s="213">
        <f>SUM(R34:V34)</f>
        <v/>
      </c>
    </row>
    <row r="35" ht="20.1" customHeight="1" s="362">
      <c r="A35" s="211">
        <f>A34+1</f>
        <v/>
      </c>
      <c r="B35" s="215" t="inlineStr">
        <is>
          <t>윤종익</t>
        </is>
      </c>
      <c r="C35" s="212" t="inlineStr">
        <is>
          <t>보통인부</t>
        </is>
      </c>
      <c r="D35" s="212" t="inlineStr">
        <is>
          <t>PCW배관공사</t>
        </is>
      </c>
      <c r="E35" s="212" t="inlineStr">
        <is>
          <t>PCW배관공사</t>
        </is>
      </c>
      <c r="F35" s="212" t="inlineStr">
        <is>
          <t>A2-2. STS304 10S PIPING FOR 20℃ PCW</t>
        </is>
      </c>
      <c r="G35" s="212" t="inlineStr">
        <is>
          <t xml:space="preserve">F03 7F/PCW 20 배관 </t>
        </is>
      </c>
      <c r="H35" s="213" t="inlineStr">
        <is>
          <t>상부 PIPE 배열 및 용접,크롤라크레인 양중</t>
        </is>
      </c>
      <c r="I35" s="213" t="n">
        <v>1</v>
      </c>
      <c r="J35" s="213" t="n">
        <v>1</v>
      </c>
      <c r="K35" s="213" t="n"/>
      <c r="L35" s="213" t="n"/>
      <c r="M35" s="213" t="n"/>
      <c r="N35" s="214" t="n"/>
      <c r="Q35" s="280">
        <f>'2.직종별 인원현황'!F36</f>
        <v/>
      </c>
      <c r="R35" s="213">
        <f>SUMIF(표2[[직종구분]:[작업 위치_코드]],$Q35,표2[조출])</f>
        <v/>
      </c>
      <c r="S35" s="213">
        <f>SUMIF(표2[[직종구분]:[작업 위치_코드]],$Q35,표2[주간])</f>
        <v/>
      </c>
      <c r="T35" s="213">
        <f>SUMIF(표2[[직종구분]:[작업 위치_코드]],$Q35,표2[연장])</f>
        <v/>
      </c>
      <c r="U35" s="213">
        <f>SUMIF(표2[[직종구분]:[작업 위치_코드]],$Q35,표2[야간])</f>
        <v/>
      </c>
      <c r="V35" s="213">
        <f>SUMIF(표2[[직종구분]:[작업 위치_코드]],$Q35,표2[철야])</f>
        <v/>
      </c>
      <c r="W35" s="213">
        <f>SUM(R35:V35)</f>
        <v/>
      </c>
    </row>
    <row r="36" ht="20.1" customHeight="1" s="362">
      <c r="A36" s="211">
        <f>A35+1</f>
        <v/>
      </c>
      <c r="B36" s="215" t="inlineStr">
        <is>
          <t>김한준</t>
        </is>
      </c>
      <c r="C36" s="212" t="inlineStr">
        <is>
          <t>보통인부</t>
        </is>
      </c>
      <c r="D36" s="212" t="inlineStr">
        <is>
          <t>PCW배관공사</t>
        </is>
      </c>
      <c r="E36" s="212" t="inlineStr">
        <is>
          <t>PCW배관공사</t>
        </is>
      </c>
      <c r="F36" s="212" t="inlineStr">
        <is>
          <t>A2-2. STS304 10S PIPING FOR 20℃ PCW</t>
        </is>
      </c>
      <c r="G36" s="212" t="inlineStr">
        <is>
          <t xml:space="preserve">F03 7F/PCW 20 배관 </t>
        </is>
      </c>
      <c r="H36" s="213" t="inlineStr">
        <is>
          <t>상부 PIPE 배열 및 용접,크롤라크레인 양중</t>
        </is>
      </c>
      <c r="I36" s="213" t="n">
        <v>1</v>
      </c>
      <c r="J36" s="213" t="n">
        <v>1</v>
      </c>
      <c r="K36" s="213" t="n"/>
      <c r="L36" s="213" t="n"/>
      <c r="M36" s="213" t="n"/>
      <c r="N36" s="214" t="n"/>
      <c r="Q36" s="280">
        <f>'2.직종별 인원현황'!F37</f>
        <v/>
      </c>
      <c r="R36" s="213">
        <f>SUMIF(표2[[직종구분]:[작업 위치_코드]],$Q36,표2[조출])</f>
        <v/>
      </c>
      <c r="S36" s="213">
        <f>SUMIF(표2[[직종구분]:[작업 위치_코드]],$Q36,표2[주간])</f>
        <v/>
      </c>
      <c r="T36" s="213">
        <f>SUMIF(표2[[직종구분]:[작업 위치_코드]],$Q36,표2[연장])</f>
        <v/>
      </c>
      <c r="U36" s="213">
        <f>SUMIF(표2[[직종구분]:[작업 위치_코드]],$Q36,표2[야간])</f>
        <v/>
      </c>
      <c r="V36" s="213">
        <f>SUMIF(표2[[직종구분]:[작업 위치_코드]],$Q36,표2[철야])</f>
        <v/>
      </c>
      <c r="W36" s="213">
        <f>SUM(R36:V36)</f>
        <v/>
      </c>
    </row>
    <row r="37" ht="20.1" customHeight="1" s="362">
      <c r="A37" s="211">
        <f>A36+1</f>
        <v/>
      </c>
      <c r="B37" s="215" t="inlineStr">
        <is>
          <t>황성희</t>
        </is>
      </c>
      <c r="C37" s="212" t="inlineStr">
        <is>
          <t>유도원</t>
        </is>
      </c>
      <c r="D37" s="212" t="inlineStr">
        <is>
          <t>PCW배관공사</t>
        </is>
      </c>
      <c r="E37" s="212" t="inlineStr">
        <is>
          <t>PCW배관공사</t>
        </is>
      </c>
      <c r="F37" s="212" t="inlineStr">
        <is>
          <t>A2-2. STS304 10S PIPING FOR 20℃ PCW</t>
        </is>
      </c>
      <c r="G37" s="212" t="inlineStr">
        <is>
          <t xml:space="preserve">F03 7F/PCW 20 배관 </t>
        </is>
      </c>
      <c r="H37" s="213" t="inlineStr">
        <is>
          <t>상부 PIPE 배열 및 용접,크롤라크레인 양중</t>
        </is>
      </c>
      <c r="I37" s="213" t="n">
        <v>1</v>
      </c>
      <c r="J37" s="213" t="n">
        <v>1</v>
      </c>
      <c r="K37" s="213" t="n"/>
      <c r="L37" s="213" t="n"/>
      <c r="M37" s="213" t="n"/>
      <c r="N37" s="214" t="n"/>
      <c r="Q37" s="280">
        <f>'2.직종별 인원현황'!F38</f>
        <v/>
      </c>
      <c r="R37" s="213">
        <f>SUMIF(표2[[직종구분]:[작업 위치_코드]],$Q37,표2[조출])</f>
        <v/>
      </c>
      <c r="S37" s="213">
        <f>SUMIF(표2[[직종구분]:[작업 위치_코드]],$Q37,표2[주간])</f>
        <v/>
      </c>
      <c r="T37" s="213">
        <f>SUMIF(표2[[직종구분]:[작업 위치_코드]],$Q37,표2[연장])</f>
        <v/>
      </c>
      <c r="U37" s="213">
        <f>SUMIF(표2[[직종구분]:[작업 위치_코드]],$Q37,표2[야간])</f>
        <v/>
      </c>
      <c r="V37" s="213">
        <f>SUMIF(표2[[직종구분]:[작업 위치_코드]],$Q37,표2[철야])</f>
        <v/>
      </c>
      <c r="W37" s="213">
        <f>SUM(R37:V37)</f>
        <v/>
      </c>
    </row>
    <row r="38" ht="20.1" customHeight="1" s="362">
      <c r="A38" s="211">
        <f>A37+1</f>
        <v/>
      </c>
      <c r="B38" s="215" t="inlineStr">
        <is>
          <t>안병교</t>
        </is>
      </c>
      <c r="C38" s="212" t="inlineStr">
        <is>
          <t>배관공</t>
        </is>
      </c>
      <c r="D38" s="212" t="inlineStr">
        <is>
          <t>PCW배관공사</t>
        </is>
      </c>
      <c r="E38" s="212" t="inlineStr">
        <is>
          <t>PCW배관공사</t>
        </is>
      </c>
      <c r="F38" s="212" t="inlineStr">
        <is>
          <t>A2-1. STS304 10S PIPING FOR 13℃ PCW</t>
        </is>
      </c>
      <c r="G38" s="212" t="inlineStr">
        <is>
          <t xml:space="preserve">F03 5F/PCW 13 배관 </t>
        </is>
      </c>
      <c r="H38" s="213" t="inlineStr">
        <is>
          <t>SUPT 및 PIPE 라인 마킹작업</t>
        </is>
      </c>
      <c r="I38" s="213" t="n">
        <v>1</v>
      </c>
      <c r="J38" s="213" t="n">
        <v>1</v>
      </c>
      <c r="K38" s="213" t="n"/>
      <c r="L38" s="213" t="n"/>
      <c r="M38" s="213" t="n"/>
      <c r="N38" s="214" t="n"/>
      <c r="Q38" s="280">
        <f>'2.직종별 인원현황'!F39</f>
        <v/>
      </c>
      <c r="R38" s="213">
        <f>SUMIF(표2[[직종구분]:[작업 위치_코드]],$Q38,표2[조출])</f>
        <v/>
      </c>
      <c r="S38" s="213">
        <f>SUMIF(표2[[직종구분]:[작업 위치_코드]],$Q38,표2[주간])</f>
        <v/>
      </c>
      <c r="T38" s="213">
        <f>SUMIF(표2[[직종구분]:[작업 위치_코드]],$Q38,표2[연장])</f>
        <v/>
      </c>
      <c r="U38" s="213">
        <f>SUMIF(표2[[직종구분]:[작업 위치_코드]],$Q38,표2[야간])</f>
        <v/>
      </c>
      <c r="V38" s="213">
        <f>SUMIF(표2[[직종구분]:[작업 위치_코드]],$Q38,표2[철야])</f>
        <v/>
      </c>
      <c r="W38" s="213">
        <f>SUM(R38:V38)</f>
        <v/>
      </c>
    </row>
    <row r="39" ht="20.1" customHeight="1" s="362">
      <c r="A39" s="211">
        <f>A38+1</f>
        <v/>
      </c>
      <c r="B39" s="215" t="inlineStr">
        <is>
          <t>박시홍</t>
        </is>
      </c>
      <c r="C39" s="212" t="inlineStr">
        <is>
          <t>보통인부</t>
        </is>
      </c>
      <c r="D39" s="212" t="inlineStr">
        <is>
          <t>PCW배관공사</t>
        </is>
      </c>
      <c r="E39" s="212" t="inlineStr">
        <is>
          <t>PCW배관공사</t>
        </is>
      </c>
      <c r="F39" s="212" t="inlineStr">
        <is>
          <t>A2-1. STS304 10S PIPING FOR 13℃ PCW</t>
        </is>
      </c>
      <c r="G39" s="212" t="inlineStr">
        <is>
          <t xml:space="preserve">F03 5F/PCW 13 배관 </t>
        </is>
      </c>
      <c r="H39" s="213" t="inlineStr">
        <is>
          <t>SUPT 및 PIPE 라인 마킹작업</t>
        </is>
      </c>
      <c r="I39" s="213" t="n">
        <v>1</v>
      </c>
      <c r="J39" s="213" t="n">
        <v>1</v>
      </c>
      <c r="K39" s="213" t="n"/>
      <c r="L39" s="213" t="n"/>
      <c r="M39" s="213" t="n"/>
      <c r="N39" s="214" t="n"/>
      <c r="Q39" s="280">
        <f>'2.직종별 인원현황'!F40</f>
        <v/>
      </c>
      <c r="R39" s="213">
        <f>SUMIF(표2[[직종구분]:[작업 위치_코드]],$Q39,표2[조출])</f>
        <v/>
      </c>
      <c r="S39" s="213">
        <f>SUMIF(표2[[직종구분]:[작업 위치_코드]],$Q39,표2[주간])</f>
        <v/>
      </c>
      <c r="T39" s="213">
        <f>SUMIF(표2[[직종구분]:[작업 위치_코드]],$Q39,표2[연장])</f>
        <v/>
      </c>
      <c r="U39" s="213">
        <f>SUMIF(표2[[직종구분]:[작업 위치_코드]],$Q39,표2[야간])</f>
        <v/>
      </c>
      <c r="V39" s="213">
        <f>SUMIF(표2[[직종구분]:[작업 위치_코드]],$Q39,표2[철야])</f>
        <v/>
      </c>
      <c r="W39" s="213">
        <f>SUM(R39:V39)</f>
        <v/>
      </c>
    </row>
    <row r="40" ht="20.1" customHeight="1" s="362">
      <c r="A40" s="211">
        <f>A39+1</f>
        <v/>
      </c>
      <c r="B40" s="215" t="inlineStr">
        <is>
          <t>윤준호</t>
        </is>
      </c>
      <c r="C40" s="212" t="inlineStr">
        <is>
          <t>보통인부</t>
        </is>
      </c>
      <c r="D40" s="212" t="inlineStr">
        <is>
          <t>PCW배관공사</t>
        </is>
      </c>
      <c r="E40" s="212" t="inlineStr">
        <is>
          <t>PCW배관공사</t>
        </is>
      </c>
      <c r="F40" s="212" t="inlineStr">
        <is>
          <t>A2-1. STS304 10S PIPING FOR 13℃ PCW</t>
        </is>
      </c>
      <c r="G40" s="212" t="inlineStr">
        <is>
          <t xml:space="preserve">F03 5F/PCW 13 배관 </t>
        </is>
      </c>
      <c r="H40" s="213" t="inlineStr">
        <is>
          <t>SUPT 및 PIPE 라인 마킹작업</t>
        </is>
      </c>
      <c r="I40" s="213" t="n">
        <v>1</v>
      </c>
      <c r="J40" s="213" t="n">
        <v>1</v>
      </c>
      <c r="K40" s="213" t="n"/>
      <c r="L40" s="213" t="n"/>
      <c r="M40" s="213" t="n"/>
      <c r="N40" s="214" t="n"/>
      <c r="Q40" s="280">
        <f>'2.직종별 인원현황'!F41</f>
        <v/>
      </c>
      <c r="R40" s="213">
        <f>SUMIF(표2[[직종구분]:[작업 위치_코드]],$Q40,표2[조출])</f>
        <v/>
      </c>
      <c r="S40" s="213">
        <f>SUMIF(표2[[직종구분]:[작업 위치_코드]],$Q40,표2[주간])</f>
        <v/>
      </c>
      <c r="T40" s="213">
        <f>SUMIF(표2[[직종구분]:[작업 위치_코드]],$Q40,표2[연장])</f>
        <v/>
      </c>
      <c r="U40" s="213">
        <f>SUMIF(표2[[직종구분]:[작업 위치_코드]],$Q40,표2[야간])</f>
        <v/>
      </c>
      <c r="V40" s="213">
        <f>SUMIF(표2[[직종구분]:[작업 위치_코드]],$Q40,표2[철야])</f>
        <v/>
      </c>
      <c r="W40" s="213">
        <f>SUM(R40:V40)</f>
        <v/>
      </c>
    </row>
    <row r="41" ht="20.1" customHeight="1" s="362">
      <c r="A41" s="211">
        <f>A40+1</f>
        <v/>
      </c>
      <c r="B41" s="215" t="inlineStr">
        <is>
          <t>이효섭</t>
        </is>
      </c>
      <c r="C41" s="212" t="inlineStr">
        <is>
          <t>배관공</t>
        </is>
      </c>
      <c r="D41" s="212" t="inlineStr">
        <is>
          <t>PCW배관공사</t>
        </is>
      </c>
      <c r="E41" s="212" t="inlineStr">
        <is>
          <t>PCW배관공사</t>
        </is>
      </c>
      <c r="F41" s="212" t="inlineStr">
        <is>
          <t>A2-1. STS304 10S PIPING FOR 13℃ PCW</t>
        </is>
      </c>
      <c r="G41" s="212" t="inlineStr">
        <is>
          <t xml:space="preserve">F03 D/S/PCW 13 배관 </t>
        </is>
      </c>
      <c r="H41" s="213" t="inlineStr">
        <is>
          <t>DS구간 SUPT 마킹 및 타공,케미칼앙카 인입검사 지원</t>
        </is>
      </c>
      <c r="I41" s="213" t="n">
        <v>1</v>
      </c>
      <c r="J41" s="213" t="n">
        <v>1</v>
      </c>
      <c r="K41" s="213" t="n"/>
      <c r="L41" s="213" t="n"/>
      <c r="M41" s="213" t="n"/>
      <c r="N41" s="214" t="n"/>
      <c r="Q41" s="280">
        <f>'2.직종별 인원현황'!F42</f>
        <v/>
      </c>
      <c r="R41" s="213">
        <f>SUMIF(표2[[직종구분]:[작업 위치_코드]],$Q41,표2[조출])</f>
        <v/>
      </c>
      <c r="S41" s="213">
        <f>SUMIF(표2[[직종구분]:[작업 위치_코드]],$Q41,표2[주간])</f>
        <v/>
      </c>
      <c r="T41" s="213">
        <f>SUMIF(표2[[직종구분]:[작업 위치_코드]],$Q41,표2[연장])</f>
        <v/>
      </c>
      <c r="U41" s="213">
        <f>SUMIF(표2[[직종구분]:[작업 위치_코드]],$Q41,표2[야간])</f>
        <v/>
      </c>
      <c r="V41" s="213">
        <f>SUMIF(표2[[직종구분]:[작업 위치_코드]],$Q41,표2[철야])</f>
        <v/>
      </c>
      <c r="W41" s="213">
        <f>SUM(R41:V41)</f>
        <v/>
      </c>
    </row>
    <row r="42" ht="20.1" customHeight="1" s="362">
      <c r="A42" s="211">
        <f>A41+1</f>
        <v/>
      </c>
      <c r="B42" s="215" t="inlineStr">
        <is>
          <t>김강혁</t>
        </is>
      </c>
      <c r="C42" s="212" t="inlineStr">
        <is>
          <t>배관공</t>
        </is>
      </c>
      <c r="D42" s="212" t="inlineStr">
        <is>
          <t>PCW배관공사</t>
        </is>
      </c>
      <c r="E42" s="212" t="inlineStr">
        <is>
          <t>PCW배관공사</t>
        </is>
      </c>
      <c r="F42" s="212" t="inlineStr">
        <is>
          <t>A2-1. STS304 10S PIPING FOR 13℃ PCW</t>
        </is>
      </c>
      <c r="G42" s="212" t="inlineStr">
        <is>
          <t xml:space="preserve">F03 D/S/PCW 13 배관 </t>
        </is>
      </c>
      <c r="H42" s="213" t="inlineStr">
        <is>
          <t>DS구간 SUPT 마킹 및 타공,케미칼앙카 인입검사 지원</t>
        </is>
      </c>
      <c r="I42" s="213" t="n">
        <v>1</v>
      </c>
      <c r="J42" s="213" t="n">
        <v>1</v>
      </c>
      <c r="K42" s="213" t="n"/>
      <c r="L42" s="213" t="n"/>
      <c r="M42" s="213" t="n"/>
      <c r="N42" s="214" t="n"/>
      <c r="Q42" s="280">
        <f>'2.직종별 인원현황'!F43</f>
        <v/>
      </c>
      <c r="R42" s="213">
        <f>SUMIF(표2[[직종구분]:[작업 위치_코드]],$Q42,표2[조출])</f>
        <v/>
      </c>
      <c r="S42" s="213">
        <f>SUMIF(표2[[직종구분]:[작업 위치_코드]],$Q42,표2[주간])</f>
        <v/>
      </c>
      <c r="T42" s="213">
        <f>SUMIF(표2[[직종구분]:[작업 위치_코드]],$Q42,표2[연장])</f>
        <v/>
      </c>
      <c r="U42" s="213">
        <f>SUMIF(표2[[직종구분]:[작업 위치_코드]],$Q42,표2[야간])</f>
        <v/>
      </c>
      <c r="V42" s="213">
        <f>SUMIF(표2[[직종구분]:[작업 위치_코드]],$Q42,표2[철야])</f>
        <v/>
      </c>
      <c r="W42" s="213">
        <f>SUM(R42:V42)</f>
        <v/>
      </c>
    </row>
    <row r="43" ht="20.1" customHeight="1" s="362">
      <c r="A43" s="211">
        <f>A42+1</f>
        <v/>
      </c>
      <c r="B43" s="215" t="inlineStr">
        <is>
          <t>정재현</t>
        </is>
      </c>
      <c r="C43" s="212" t="inlineStr">
        <is>
          <t>보통인부</t>
        </is>
      </c>
      <c r="D43" s="212" t="inlineStr">
        <is>
          <t>PCW배관공사</t>
        </is>
      </c>
      <c r="E43" s="212" t="inlineStr">
        <is>
          <t>PCW배관공사</t>
        </is>
      </c>
      <c r="F43" s="212" t="inlineStr">
        <is>
          <t>A2-1. STS304 10S PIPING FOR 13℃ PCW</t>
        </is>
      </c>
      <c r="G43" s="212" t="inlineStr">
        <is>
          <t xml:space="preserve">F03 D/S/PCW 13 배관 </t>
        </is>
      </c>
      <c r="H43" s="213" t="inlineStr">
        <is>
          <t>DS구간 SUPT 마킹 및 타공,케미칼앙카 인입검사 지원</t>
        </is>
      </c>
      <c r="I43" s="213" t="n">
        <v>1</v>
      </c>
      <c r="J43" s="213" t="n">
        <v>1</v>
      </c>
      <c r="K43" s="213" t="n"/>
      <c r="L43" s="213" t="n"/>
      <c r="M43" s="213" t="n"/>
      <c r="N43" s="214" t="n"/>
      <c r="Q43" s="280">
        <f>'2.직종별 인원현황'!F44</f>
        <v/>
      </c>
      <c r="R43" s="213">
        <f>SUMIF(표2[[직종구분]:[작업 위치_코드]],$Q43,표2[조출])</f>
        <v/>
      </c>
      <c r="S43" s="213">
        <f>SUMIF(표2[[직종구분]:[작업 위치_코드]],$Q43,표2[주간])</f>
        <v/>
      </c>
      <c r="T43" s="213">
        <f>SUMIF(표2[[직종구분]:[작업 위치_코드]],$Q43,표2[연장])</f>
        <v/>
      </c>
      <c r="U43" s="213">
        <f>SUMIF(표2[[직종구분]:[작업 위치_코드]],$Q43,표2[야간])</f>
        <v/>
      </c>
      <c r="V43" s="213">
        <f>SUMIF(표2[[직종구분]:[작업 위치_코드]],$Q43,표2[철야])</f>
        <v/>
      </c>
      <c r="W43" s="213">
        <f>SUM(R43:V43)</f>
        <v/>
      </c>
    </row>
    <row r="44" ht="20.1" customHeight="1" s="362">
      <c r="A44" s="211">
        <f>A43+1</f>
        <v/>
      </c>
      <c r="B44" s="215" t="inlineStr">
        <is>
          <t>장태수</t>
        </is>
      </c>
      <c r="C44" s="212" t="inlineStr">
        <is>
          <t>보통인부</t>
        </is>
      </c>
      <c r="D44" s="212" t="inlineStr">
        <is>
          <t>PCW배관공사</t>
        </is>
      </c>
      <c r="E44" s="212" t="inlineStr">
        <is>
          <t>PCW배관공사</t>
        </is>
      </c>
      <c r="F44" s="212" t="inlineStr">
        <is>
          <t>A2-1. STS304 10S PIPING FOR 13℃ PCW</t>
        </is>
      </c>
      <c r="G44" s="212" t="inlineStr">
        <is>
          <t xml:space="preserve">F03 D/S/PCW 13 배관 </t>
        </is>
      </c>
      <c r="H44" s="213" t="inlineStr">
        <is>
          <t>DS구간 SUPT 마킹 및 타공,케미칼앙카 인입검사 지원</t>
        </is>
      </c>
      <c r="I44" s="213" t="n">
        <v>1</v>
      </c>
      <c r="J44" s="213" t="n">
        <v>1</v>
      </c>
      <c r="K44" s="213" t="n"/>
      <c r="L44" s="213" t="n"/>
      <c r="M44" s="213" t="n"/>
      <c r="N44" s="214" t="n"/>
      <c r="Q44" s="280">
        <f>'2.직종별 인원현황'!F45</f>
        <v/>
      </c>
      <c r="R44" s="213">
        <f>SUMIF(표2[[직종구분]:[작업 위치_코드]],$Q44,표2[조출])</f>
        <v/>
      </c>
      <c r="S44" s="213">
        <f>SUMIF(표2[[직종구분]:[작업 위치_코드]],$Q44,표2[주간])</f>
        <v/>
      </c>
      <c r="T44" s="213">
        <f>SUMIF(표2[[직종구분]:[작업 위치_코드]],$Q44,표2[연장])</f>
        <v/>
      </c>
      <c r="U44" s="213">
        <f>SUMIF(표2[[직종구분]:[작업 위치_코드]],$Q44,표2[야간])</f>
        <v/>
      </c>
      <c r="V44" s="213">
        <f>SUMIF(표2[[직종구분]:[작업 위치_코드]],$Q44,표2[철야])</f>
        <v/>
      </c>
      <c r="W44" s="213">
        <f>SUM(R44:V44)</f>
        <v/>
      </c>
    </row>
    <row r="45" ht="20.1" customHeight="1" s="362">
      <c r="A45" s="211">
        <f>A44+1</f>
        <v/>
      </c>
      <c r="B45" s="215" t="inlineStr">
        <is>
          <t>오재형</t>
        </is>
      </c>
      <c r="C45" s="212" t="inlineStr">
        <is>
          <t>배관공</t>
        </is>
      </c>
      <c r="D45" s="212" t="inlineStr">
        <is>
          <t>PCW배관공사</t>
        </is>
      </c>
      <c r="E45" s="212" t="inlineStr">
        <is>
          <t>PCW배관공사</t>
        </is>
      </c>
      <c r="F45" s="212" t="inlineStr">
        <is>
          <t>A2-2. STS304 10S PIPING FOR 20℃ PCW</t>
        </is>
      </c>
      <c r="G45" s="212" t="inlineStr">
        <is>
          <t xml:space="preserve">F03 6F/PCW 20 배관 </t>
        </is>
      </c>
      <c r="H45" s="213" t="inlineStr">
        <is>
          <t>CMP 구간 PIPE 용접 및 배열</t>
        </is>
      </c>
      <c r="I45" s="213" t="n">
        <v>1</v>
      </c>
      <c r="J45" s="213" t="n">
        <v>1</v>
      </c>
      <c r="K45" s="213" t="n"/>
      <c r="L45" s="213" t="n"/>
      <c r="M45" s="213" t="n"/>
      <c r="N45" s="214" t="n"/>
      <c r="Q45" s="280">
        <f>'2.직종별 인원현황'!F46</f>
        <v/>
      </c>
      <c r="R45" s="213">
        <f>SUMIF(표2[[직종구분]:[작업 위치_코드]],$Q45,표2[조출])</f>
        <v/>
      </c>
      <c r="S45" s="213">
        <f>SUMIF(표2[[직종구분]:[작업 위치_코드]],$Q45,표2[주간])</f>
        <v/>
      </c>
      <c r="T45" s="213">
        <f>SUMIF(표2[[직종구분]:[작업 위치_코드]],$Q45,표2[연장])</f>
        <v/>
      </c>
      <c r="U45" s="213">
        <f>SUMIF(표2[[직종구분]:[작업 위치_코드]],$Q45,표2[야간])</f>
        <v/>
      </c>
      <c r="V45" s="213">
        <f>SUMIF(표2[[직종구분]:[작업 위치_코드]],$Q45,표2[철야])</f>
        <v/>
      </c>
      <c r="W45" s="213">
        <f>SUM(R45:V45)</f>
        <v/>
      </c>
    </row>
    <row r="46" ht="20.1" customHeight="1" s="362">
      <c r="A46" s="211">
        <f>A45+1</f>
        <v/>
      </c>
      <c r="B46" s="215" t="inlineStr">
        <is>
          <t>오경상</t>
        </is>
      </c>
      <c r="C46" s="212" t="inlineStr">
        <is>
          <t>용접공</t>
        </is>
      </c>
      <c r="D46" s="212" t="inlineStr">
        <is>
          <t>PCW배관공사</t>
        </is>
      </c>
      <c r="E46" s="212" t="inlineStr">
        <is>
          <t>PCW배관공사</t>
        </is>
      </c>
      <c r="F46" s="212" t="inlineStr">
        <is>
          <t>A2-2. STS304 10S PIPING FOR 20℃ PCW</t>
        </is>
      </c>
      <c r="G46" s="212" t="inlineStr">
        <is>
          <t xml:space="preserve">F03 6F/PCW 20 배관 </t>
        </is>
      </c>
      <c r="H46" s="213" t="inlineStr">
        <is>
          <t>CMP 구간 PIPE 용접 및 배열</t>
        </is>
      </c>
      <c r="I46" s="213" t="n">
        <v>1</v>
      </c>
      <c r="J46" s="213" t="n">
        <v>1</v>
      </c>
      <c r="K46" s="213" t="n"/>
      <c r="L46" s="213" t="n"/>
      <c r="M46" s="213" t="n"/>
      <c r="N46" s="214" t="n"/>
      <c r="Q46" s="280">
        <f>'2.직종별 인원현황'!F47</f>
        <v/>
      </c>
      <c r="R46" s="213">
        <f>SUMIF(표2[[직종구분]:[작업 위치_코드]],$Q46,표2[조출])</f>
        <v/>
      </c>
      <c r="S46" s="213">
        <f>SUMIF(표2[[직종구분]:[작업 위치_코드]],$Q46,표2[주간])</f>
        <v/>
      </c>
      <c r="T46" s="213">
        <f>SUMIF(표2[[직종구분]:[작업 위치_코드]],$Q46,표2[연장])</f>
        <v/>
      </c>
      <c r="U46" s="213">
        <f>SUMIF(표2[[직종구분]:[작업 위치_코드]],$Q46,표2[야간])</f>
        <v/>
      </c>
      <c r="V46" s="213">
        <f>SUMIF(표2[[직종구분]:[작업 위치_코드]],$Q46,표2[철야])</f>
        <v/>
      </c>
      <c r="W46" s="213">
        <f>SUM(R46:V46)</f>
        <v/>
      </c>
    </row>
    <row r="47" ht="20.1" customHeight="1" s="362">
      <c r="A47" s="211">
        <f>A46+1</f>
        <v/>
      </c>
      <c r="B47" s="215" t="inlineStr">
        <is>
          <t>이정현</t>
        </is>
      </c>
      <c r="C47" s="212" t="inlineStr">
        <is>
          <t>용접공</t>
        </is>
      </c>
      <c r="D47" s="212" t="inlineStr">
        <is>
          <t>PCW배관공사</t>
        </is>
      </c>
      <c r="E47" s="212" t="inlineStr">
        <is>
          <t>PCW배관공사</t>
        </is>
      </c>
      <c r="F47" s="212" t="inlineStr">
        <is>
          <t>A2-2. STS304 10S PIPING FOR 20℃ PCW</t>
        </is>
      </c>
      <c r="G47" s="212" t="inlineStr">
        <is>
          <t xml:space="preserve">F03 6F/PCW 20 배관 </t>
        </is>
      </c>
      <c r="H47" s="213" t="inlineStr">
        <is>
          <t>CMP 구간 PIPE 용접 및 배열</t>
        </is>
      </c>
      <c r="I47" s="213" t="n">
        <v>1</v>
      </c>
      <c r="J47" s="213" t="n">
        <v>1</v>
      </c>
      <c r="K47" s="213" t="n"/>
      <c r="L47" s="213" t="n"/>
      <c r="M47" s="213" t="n"/>
      <c r="N47" s="214" t="n"/>
      <c r="Q47" s="280">
        <f>'2.직종별 인원현황'!F48</f>
        <v/>
      </c>
      <c r="R47" s="213">
        <f>SUMIF(표2[[직종구분]:[작업 위치_코드]],$Q47,표2[조출])</f>
        <v/>
      </c>
      <c r="S47" s="213">
        <f>SUMIF(표2[[직종구분]:[작업 위치_코드]],$Q47,표2[주간])</f>
        <v/>
      </c>
      <c r="T47" s="213">
        <f>SUMIF(표2[[직종구분]:[작업 위치_코드]],$Q47,표2[연장])</f>
        <v/>
      </c>
      <c r="U47" s="213">
        <f>SUMIF(표2[[직종구분]:[작업 위치_코드]],$Q47,표2[야간])</f>
        <v/>
      </c>
      <c r="V47" s="213">
        <f>SUMIF(표2[[직종구분]:[작업 위치_코드]],$Q47,표2[철야])</f>
        <v/>
      </c>
      <c r="W47" s="213">
        <f>SUM(R47:V47)</f>
        <v/>
      </c>
    </row>
    <row r="48" ht="20.1" customHeight="1" s="362">
      <c r="A48" s="211">
        <f>A47+1</f>
        <v/>
      </c>
      <c r="B48" s="215" t="inlineStr">
        <is>
          <t>최승현</t>
        </is>
      </c>
      <c r="C48" s="212" t="inlineStr">
        <is>
          <t>용접공</t>
        </is>
      </c>
      <c r="D48" s="212" t="inlineStr">
        <is>
          <t>PCW배관공사</t>
        </is>
      </c>
      <c r="E48" s="212" t="inlineStr">
        <is>
          <t>PCW배관공사</t>
        </is>
      </c>
      <c r="F48" s="212" t="inlineStr">
        <is>
          <t>A2-2. STS304 10S PIPING FOR 20℃ PCW</t>
        </is>
      </c>
      <c r="G48" s="212" t="inlineStr">
        <is>
          <t xml:space="preserve">F03 6F/PCW 20 배관 </t>
        </is>
      </c>
      <c r="H48" s="213" t="inlineStr">
        <is>
          <t>CMP 구간 PIPE 용접 및 배열</t>
        </is>
      </c>
      <c r="I48" s="213" t="n">
        <v>1</v>
      </c>
      <c r="J48" s="213" t="n">
        <v>1</v>
      </c>
      <c r="K48" s="213" t="n"/>
      <c r="L48" s="213" t="n"/>
      <c r="M48" s="213" t="n"/>
      <c r="N48" s="214" t="n"/>
      <c r="Q48" s="280">
        <f>'2.직종별 인원현황'!F49</f>
        <v/>
      </c>
      <c r="R48" s="213">
        <f>SUMIF(표2[[직종구분]:[작업 위치_코드]],$Q48,표2[조출])</f>
        <v/>
      </c>
      <c r="S48" s="213">
        <f>SUMIF(표2[[직종구분]:[작업 위치_코드]],$Q48,표2[주간])</f>
        <v/>
      </c>
      <c r="T48" s="213">
        <f>SUMIF(표2[[직종구분]:[작업 위치_코드]],$Q48,표2[연장])</f>
        <v/>
      </c>
      <c r="U48" s="213">
        <f>SUMIF(표2[[직종구분]:[작업 위치_코드]],$Q48,표2[야간])</f>
        <v/>
      </c>
      <c r="V48" s="213">
        <f>SUMIF(표2[[직종구분]:[작업 위치_코드]],$Q48,표2[철야])</f>
        <v/>
      </c>
      <c r="W48" s="213">
        <f>SUM(R48:V48)</f>
        <v/>
      </c>
    </row>
    <row r="49" ht="20.1" customHeight="1" s="362">
      <c r="A49" s="211">
        <f>A48+1</f>
        <v/>
      </c>
      <c r="B49" s="215" t="inlineStr">
        <is>
          <t>김용학</t>
        </is>
      </c>
      <c r="C49" s="212" t="inlineStr">
        <is>
          <t>용접공</t>
        </is>
      </c>
      <c r="D49" s="212" t="inlineStr">
        <is>
          <t>PCW배관공사</t>
        </is>
      </c>
      <c r="E49" s="212" t="inlineStr">
        <is>
          <t>PCW배관공사</t>
        </is>
      </c>
      <c r="F49" s="212" t="inlineStr">
        <is>
          <t>A2-2. STS304 10S PIPING FOR 20℃ PCW</t>
        </is>
      </c>
      <c r="G49" s="212" t="inlineStr">
        <is>
          <t xml:space="preserve">F03 6F/PCW 20 배관 </t>
        </is>
      </c>
      <c r="H49" s="213" t="inlineStr">
        <is>
          <t>CMP 구간 PIPE 용접 및 배열</t>
        </is>
      </c>
      <c r="I49" s="213" t="n">
        <v>1</v>
      </c>
      <c r="J49" s="213" t="n">
        <v>1</v>
      </c>
      <c r="K49" s="213" t="n"/>
      <c r="L49" s="213" t="n"/>
      <c r="M49" s="213" t="n"/>
      <c r="N49" s="214" t="n"/>
      <c r="Q49" s="280">
        <f>'2.직종별 인원현황'!F50</f>
        <v/>
      </c>
      <c r="R49" s="213">
        <f>SUMIF(표2[[직종구분]:[작업 위치_코드]],$Q49,표2[조출])</f>
        <v/>
      </c>
      <c r="S49" s="213">
        <f>SUMIF(표2[[직종구분]:[작업 위치_코드]],$Q49,표2[주간])</f>
        <v/>
      </c>
      <c r="T49" s="213">
        <f>SUMIF(표2[[직종구분]:[작업 위치_코드]],$Q49,표2[연장])</f>
        <v/>
      </c>
      <c r="U49" s="213">
        <f>SUMIF(표2[[직종구분]:[작업 위치_코드]],$Q49,표2[야간])</f>
        <v/>
      </c>
      <c r="V49" s="213">
        <f>SUMIF(표2[[직종구분]:[작업 위치_코드]],$Q49,표2[철야])</f>
        <v/>
      </c>
      <c r="W49" s="213">
        <f>SUM(R49:V49)</f>
        <v/>
      </c>
    </row>
    <row r="50" ht="20.1" customHeight="1" s="362">
      <c r="A50" s="211">
        <f>A49+1</f>
        <v/>
      </c>
      <c r="B50" s="215" t="inlineStr">
        <is>
          <t>김경배</t>
        </is>
      </c>
      <c r="C50" s="212" t="inlineStr">
        <is>
          <t>보통인부</t>
        </is>
      </c>
      <c r="D50" s="212" t="inlineStr">
        <is>
          <t>PCW배관공사</t>
        </is>
      </c>
      <c r="E50" s="212" t="inlineStr">
        <is>
          <t>PCW배관공사</t>
        </is>
      </c>
      <c r="F50" s="212" t="inlineStr">
        <is>
          <t>A2-2. STS304 10S PIPING FOR 20℃ PCW</t>
        </is>
      </c>
      <c r="G50" s="212" t="inlineStr">
        <is>
          <t xml:space="preserve">F03 6F/PCW 20 배관 </t>
        </is>
      </c>
      <c r="H50" s="213" t="inlineStr">
        <is>
          <t>CMP 구간 PIPE 용접 및 배열</t>
        </is>
      </c>
      <c r="I50" s="213" t="n">
        <v>1</v>
      </c>
      <c r="J50" s="213" t="n">
        <v>1</v>
      </c>
      <c r="K50" s="213" t="n"/>
      <c r="L50" s="213" t="n"/>
      <c r="M50" s="213" t="n"/>
      <c r="N50" s="214" t="n"/>
      <c r="Q50" s="280">
        <f>'2.직종별 인원현황'!F51</f>
        <v/>
      </c>
      <c r="R50" s="213">
        <f>SUMIF(표2[[직종구분]:[작업 위치_코드]],$Q50,표2[조출])</f>
        <v/>
      </c>
      <c r="S50" s="213">
        <f>SUMIF(표2[[직종구분]:[작업 위치_코드]],$Q50,표2[주간])</f>
        <v/>
      </c>
      <c r="T50" s="213">
        <f>SUMIF(표2[[직종구분]:[작업 위치_코드]],$Q50,표2[연장])</f>
        <v/>
      </c>
      <c r="U50" s="213">
        <f>SUMIF(표2[[직종구분]:[작업 위치_코드]],$Q50,표2[야간])</f>
        <v/>
      </c>
      <c r="V50" s="213">
        <f>SUMIF(표2[[직종구분]:[작업 위치_코드]],$Q50,표2[철야])</f>
        <v/>
      </c>
      <c r="W50" s="213">
        <f>SUM(R50:V50)</f>
        <v/>
      </c>
    </row>
    <row r="51" ht="20.1" customHeight="1" s="362">
      <c r="A51" s="211">
        <f>A50+1</f>
        <v/>
      </c>
      <c r="B51" s="215" t="inlineStr">
        <is>
          <t>김경대</t>
        </is>
      </c>
      <c r="C51" s="212" t="inlineStr">
        <is>
          <t>보통인부</t>
        </is>
      </c>
      <c r="D51" s="212" t="inlineStr">
        <is>
          <t>PCW배관공사</t>
        </is>
      </c>
      <c r="E51" s="212" t="inlineStr">
        <is>
          <t>PCW배관공사</t>
        </is>
      </c>
      <c r="F51" s="212" t="inlineStr">
        <is>
          <t>A2-2. STS304 10S PIPING FOR 20℃ PCW</t>
        </is>
      </c>
      <c r="G51" s="212" t="inlineStr">
        <is>
          <t xml:space="preserve">F03 6F/PCW 20 배관 </t>
        </is>
      </c>
      <c r="H51" s="213" t="inlineStr">
        <is>
          <t>CMP 구간 PIPE 용접 및 배열</t>
        </is>
      </c>
      <c r="I51" s="213" t="n">
        <v>1</v>
      </c>
      <c r="J51" s="213" t="n">
        <v>1</v>
      </c>
      <c r="K51" s="213" t="n"/>
      <c r="L51" s="213" t="n"/>
      <c r="M51" s="213" t="n"/>
      <c r="N51" s="214" t="n"/>
      <c r="Q51" s="280">
        <f>'2.직종별 인원현황'!F52</f>
        <v/>
      </c>
      <c r="R51" s="213">
        <f>SUMIF(표2[[직종구분]:[작업 위치_코드]],$Q51,표2[조출])</f>
        <v/>
      </c>
      <c r="S51" s="213">
        <f>SUMIF(표2[[직종구분]:[작업 위치_코드]],$Q51,표2[주간])</f>
        <v/>
      </c>
      <c r="T51" s="213">
        <f>SUMIF(표2[[직종구분]:[작업 위치_코드]],$Q51,표2[연장])</f>
        <v/>
      </c>
      <c r="U51" s="213">
        <f>SUMIF(표2[[직종구분]:[작업 위치_코드]],$Q51,표2[야간])</f>
        <v/>
      </c>
      <c r="V51" s="213">
        <f>SUMIF(표2[[직종구분]:[작업 위치_코드]],$Q51,표2[철야])</f>
        <v/>
      </c>
      <c r="W51" s="213">
        <f>SUM(R51:V51)</f>
        <v/>
      </c>
    </row>
    <row r="52" ht="20.1" customHeight="1" s="362">
      <c r="A52" s="211">
        <f>A51+1</f>
        <v/>
      </c>
      <c r="B52" s="215" t="inlineStr">
        <is>
          <t>여민혁</t>
        </is>
      </c>
      <c r="C52" s="212" t="inlineStr">
        <is>
          <t>보통인부</t>
        </is>
      </c>
      <c r="D52" s="212" t="inlineStr">
        <is>
          <t>PCW배관공사</t>
        </is>
      </c>
      <c r="E52" s="212" t="inlineStr">
        <is>
          <t>PCW배관공사</t>
        </is>
      </c>
      <c r="F52" s="212" t="inlineStr">
        <is>
          <t>A2-2. STS304 10S PIPING FOR 20℃ PCW</t>
        </is>
      </c>
      <c r="G52" s="212" t="inlineStr">
        <is>
          <t xml:space="preserve">F03 6F/PCW 20 배관 </t>
        </is>
      </c>
      <c r="H52" s="213" t="inlineStr">
        <is>
          <t>CMP 구간 PIPE 용접 및 배열</t>
        </is>
      </c>
      <c r="I52" s="213" t="n">
        <v>1</v>
      </c>
      <c r="J52" s="213" t="n">
        <v>1</v>
      </c>
      <c r="K52" s="213" t="n"/>
      <c r="L52" s="213" t="n"/>
      <c r="M52" s="213" t="n"/>
      <c r="N52" s="214" t="n"/>
      <c r="Q52" s="280">
        <f>'2.직종별 인원현황'!F53</f>
        <v/>
      </c>
      <c r="R52" s="213">
        <f>SUMIF(표2[[직종구분]:[작업 위치_코드]],$Q52,표2[조출])</f>
        <v/>
      </c>
      <c r="S52" s="213">
        <f>SUMIF(표2[[직종구분]:[작업 위치_코드]],$Q52,표2[주간])</f>
        <v/>
      </c>
      <c r="T52" s="213">
        <f>SUMIF(표2[[직종구분]:[작업 위치_코드]],$Q52,표2[연장])</f>
        <v/>
      </c>
      <c r="U52" s="213">
        <f>SUMIF(표2[[직종구분]:[작업 위치_코드]],$Q52,표2[야간])</f>
        <v/>
      </c>
      <c r="V52" s="213">
        <f>SUMIF(표2[[직종구분]:[작업 위치_코드]],$Q52,표2[철야])</f>
        <v/>
      </c>
      <c r="W52" s="213">
        <f>SUM(R52:V52)</f>
        <v/>
      </c>
    </row>
    <row r="53" ht="20.1" customHeight="1" s="362">
      <c r="A53" s="211">
        <f>A52+1</f>
        <v/>
      </c>
      <c r="B53" s="215" t="inlineStr">
        <is>
          <t>박재범</t>
        </is>
      </c>
      <c r="C53" s="212" t="inlineStr">
        <is>
          <t>보통인부</t>
        </is>
      </c>
      <c r="D53" s="212" t="inlineStr">
        <is>
          <t>PCW배관공사</t>
        </is>
      </c>
      <c r="E53" s="212" t="inlineStr">
        <is>
          <t>PCW배관공사</t>
        </is>
      </c>
      <c r="F53" s="212" t="inlineStr">
        <is>
          <t>A2-2. STS304 10S PIPING FOR 20℃ PCW</t>
        </is>
      </c>
      <c r="G53" s="212" t="inlineStr">
        <is>
          <t xml:space="preserve">F03 6F/PCW 20 배관 </t>
        </is>
      </c>
      <c r="H53" s="213" t="inlineStr">
        <is>
          <t>CMP 구간 PIPE 용접 및 배열</t>
        </is>
      </c>
      <c r="I53" s="213" t="n">
        <v>1</v>
      </c>
      <c r="J53" s="213" t="n">
        <v>1</v>
      </c>
      <c r="K53" s="213" t="n"/>
      <c r="L53" s="213" t="n"/>
      <c r="M53" s="213" t="n"/>
      <c r="N53" s="214" t="n"/>
      <c r="Q53" s="280">
        <f>'2.직종별 인원현황'!F54</f>
        <v/>
      </c>
      <c r="R53" s="213">
        <f>SUMIF(표2[[직종구분]:[작업 위치_코드]],$Q53,표2[조출])</f>
        <v/>
      </c>
      <c r="S53" s="213">
        <f>SUMIF(표2[[직종구분]:[작업 위치_코드]],$Q53,표2[주간])</f>
        <v/>
      </c>
      <c r="T53" s="213">
        <f>SUMIF(표2[[직종구분]:[작업 위치_코드]],$Q53,표2[연장])</f>
        <v/>
      </c>
      <c r="U53" s="213">
        <f>SUMIF(표2[[직종구분]:[작업 위치_코드]],$Q53,표2[야간])</f>
        <v/>
      </c>
      <c r="V53" s="213">
        <f>SUMIF(표2[[직종구분]:[작업 위치_코드]],$Q53,표2[철야])</f>
        <v/>
      </c>
      <c r="W53" s="213">
        <f>SUM(R53:V53)</f>
        <v/>
      </c>
    </row>
    <row r="54" ht="20.1" customHeight="1" s="362">
      <c r="A54" s="211">
        <f>A53+1</f>
        <v/>
      </c>
      <c r="B54" s="215" t="inlineStr">
        <is>
          <t>이종숙</t>
        </is>
      </c>
      <c r="C54" s="212" t="inlineStr">
        <is>
          <t>화기감시자</t>
        </is>
      </c>
      <c r="D54" s="212" t="inlineStr">
        <is>
          <t>PCW배관공사</t>
        </is>
      </c>
      <c r="E54" s="212" t="inlineStr">
        <is>
          <t>PCW배관공사</t>
        </is>
      </c>
      <c r="F54" s="212" t="inlineStr">
        <is>
          <t>A2-2. STS304 10S PIPING FOR 20℃ PCW</t>
        </is>
      </c>
      <c r="G54" s="212" t="inlineStr">
        <is>
          <t xml:space="preserve">F03 6F/PCW 20 배관 </t>
        </is>
      </c>
      <c r="H54" s="213" t="inlineStr">
        <is>
          <t>CMP 구간 PIPE 용접 및 배열</t>
        </is>
      </c>
      <c r="I54" s="213" t="n">
        <v>1</v>
      </c>
      <c r="J54" s="213" t="n">
        <v>1</v>
      </c>
      <c r="K54" s="213" t="n"/>
      <c r="L54" s="213" t="n"/>
      <c r="M54" s="213" t="n"/>
      <c r="N54" s="214" t="n"/>
      <c r="Q54" s="280">
        <f>'2.직종별 인원현황'!F55</f>
        <v/>
      </c>
      <c r="R54" s="213">
        <f>SUMIF(표2[[직종구분]:[작업 위치_코드]],$Q54,표2[조출])</f>
        <v/>
      </c>
      <c r="S54" s="213">
        <f>SUMIF(표2[[직종구분]:[작업 위치_코드]],$Q54,표2[주간])</f>
        <v/>
      </c>
      <c r="T54" s="213">
        <f>SUMIF(표2[[직종구분]:[작업 위치_코드]],$Q54,표2[연장])</f>
        <v/>
      </c>
      <c r="U54" s="213">
        <f>SUMIF(표2[[직종구분]:[작업 위치_코드]],$Q54,표2[야간])</f>
        <v/>
      </c>
      <c r="V54" s="213">
        <f>SUMIF(표2[[직종구분]:[작업 위치_코드]],$Q54,표2[철야])</f>
        <v/>
      </c>
      <c r="W54" s="213">
        <f>SUM(R54:V54)</f>
        <v/>
      </c>
    </row>
    <row r="55" ht="20.1" customHeight="1" s="362">
      <c r="A55" s="211">
        <f>A54+1</f>
        <v/>
      </c>
      <c r="B55" s="215" t="inlineStr">
        <is>
          <t>최성순</t>
        </is>
      </c>
      <c r="C55" s="212" t="inlineStr">
        <is>
          <t>화기감시자</t>
        </is>
      </c>
      <c r="D55" s="212" t="inlineStr">
        <is>
          <t>PCW배관공사</t>
        </is>
      </c>
      <c r="E55" s="212" t="inlineStr">
        <is>
          <t>PCW배관공사</t>
        </is>
      </c>
      <c r="F55" s="212" t="inlineStr">
        <is>
          <t>A2-2. STS304 10S PIPING FOR 20℃ PCW</t>
        </is>
      </c>
      <c r="G55" s="212" t="inlineStr">
        <is>
          <t xml:space="preserve">F03 6F/PCW 20 배관 </t>
        </is>
      </c>
      <c r="H55" s="213" t="inlineStr">
        <is>
          <t>CMP 구간 PIPE 용접 및 배열</t>
        </is>
      </c>
      <c r="I55" s="213" t="n">
        <v>1</v>
      </c>
      <c r="J55" s="213" t="n">
        <v>1</v>
      </c>
      <c r="K55" s="213" t="n"/>
      <c r="L55" s="213" t="n"/>
      <c r="M55" s="213" t="n"/>
      <c r="N55" s="214" t="n"/>
      <c r="Q55" s="280">
        <f>'2.직종별 인원현황'!F56</f>
        <v/>
      </c>
      <c r="R55" s="213">
        <f>SUMIF(표2[[직종구분]:[작업 위치_코드]],$Q55,표2[조출])</f>
        <v/>
      </c>
      <c r="S55" s="213">
        <f>SUMIF(표2[[직종구분]:[작업 위치_코드]],$Q55,표2[주간])</f>
        <v/>
      </c>
      <c r="T55" s="213">
        <f>SUMIF(표2[[직종구분]:[작업 위치_코드]],$Q55,표2[연장])</f>
        <v/>
      </c>
      <c r="U55" s="213">
        <f>SUMIF(표2[[직종구분]:[작업 위치_코드]],$Q55,표2[야간])</f>
        <v/>
      </c>
      <c r="V55" s="213">
        <f>SUMIF(표2[[직종구분]:[작업 위치_코드]],$Q55,표2[철야])</f>
        <v/>
      </c>
      <c r="W55" s="213">
        <f>SUM(R55:V55)</f>
        <v/>
      </c>
    </row>
    <row r="56" ht="20.1" customHeight="1" s="362">
      <c r="A56" s="211">
        <f>A55+1</f>
        <v/>
      </c>
      <c r="B56" s="215" t="inlineStr">
        <is>
          <t>이선정</t>
        </is>
      </c>
      <c r="C56" s="212" t="inlineStr">
        <is>
          <t>배관공</t>
        </is>
      </c>
      <c r="D56" s="212" t="inlineStr">
        <is>
          <t>PCW배관공사</t>
        </is>
      </c>
      <c r="E56" s="212" t="inlineStr">
        <is>
          <t>PCW배관공사</t>
        </is>
      </c>
      <c r="F56" s="212" t="inlineStr">
        <is>
          <t>A2-2. STS304 10S PIPING FOR 20℃ PCW</t>
        </is>
      </c>
      <c r="G56" s="212" t="inlineStr">
        <is>
          <t xml:space="preserve">F03 6F/PCW 20 배관 </t>
        </is>
      </c>
      <c r="H56" s="213" t="inlineStr">
        <is>
          <t>6F 복도구간 PIPE 배열 및 용접</t>
        </is>
      </c>
      <c r="I56" s="213" t="n">
        <v>1</v>
      </c>
      <c r="J56" s="213" t="n">
        <v>1</v>
      </c>
      <c r="K56" s="213" t="n"/>
      <c r="L56" s="213" t="n"/>
      <c r="M56" s="213" t="n"/>
      <c r="N56" s="214" t="n"/>
      <c r="Q56" s="280">
        <f>'2.직종별 인원현황'!F57</f>
        <v/>
      </c>
      <c r="R56" s="213">
        <f>SUMIF(표2[[직종구분]:[작업 위치_코드]],$Q56,표2[조출])</f>
        <v/>
      </c>
      <c r="S56" s="213">
        <f>SUMIF(표2[[직종구분]:[작업 위치_코드]],$Q56,표2[주간])</f>
        <v/>
      </c>
      <c r="T56" s="213">
        <f>SUMIF(표2[[직종구분]:[작업 위치_코드]],$Q56,표2[연장])</f>
        <v/>
      </c>
      <c r="U56" s="213">
        <f>SUMIF(표2[[직종구분]:[작업 위치_코드]],$Q56,표2[야간])</f>
        <v/>
      </c>
      <c r="V56" s="213">
        <f>SUMIF(표2[[직종구분]:[작업 위치_코드]],$Q56,표2[철야])</f>
        <v/>
      </c>
      <c r="W56" s="213">
        <f>SUM(R56:V56)</f>
        <v/>
      </c>
    </row>
    <row r="57" ht="20.1" customHeight="1" s="362">
      <c r="A57" s="211">
        <f>A56+1</f>
        <v/>
      </c>
      <c r="B57" s="215" t="inlineStr">
        <is>
          <t>함동훈</t>
        </is>
      </c>
      <c r="C57" s="212" t="inlineStr">
        <is>
          <t>보통인부</t>
        </is>
      </c>
      <c r="D57" s="212" t="inlineStr">
        <is>
          <t>PCW배관공사</t>
        </is>
      </c>
      <c r="E57" s="212" t="inlineStr">
        <is>
          <t>PCW배관공사</t>
        </is>
      </c>
      <c r="F57" s="212" t="inlineStr">
        <is>
          <t>A2-2. STS304 10S PIPING FOR 20℃ PCW</t>
        </is>
      </c>
      <c r="G57" s="212" t="inlineStr">
        <is>
          <t xml:space="preserve">F03 6F/PCW 20 배관 </t>
        </is>
      </c>
      <c r="H57" s="213" t="inlineStr">
        <is>
          <t>6F 복도구간 PIPE 배열 및 용접</t>
        </is>
      </c>
      <c r="I57" s="213" t="n">
        <v>1</v>
      </c>
      <c r="J57" s="213" t="n">
        <v>1</v>
      </c>
      <c r="K57" s="213" t="n"/>
      <c r="L57" s="213" t="n"/>
      <c r="M57" s="213" t="n"/>
      <c r="N57" s="214" t="n"/>
      <c r="Q57" s="280">
        <f>'2.직종별 인원현황'!F58</f>
        <v/>
      </c>
      <c r="R57" s="213">
        <f>SUMIF(표2[[직종구분]:[작업 위치_코드]],$Q57,표2[조출])</f>
        <v/>
      </c>
      <c r="S57" s="213">
        <f>SUMIF(표2[[직종구분]:[작업 위치_코드]],$Q57,표2[주간])</f>
        <v/>
      </c>
      <c r="T57" s="213">
        <f>SUMIF(표2[[직종구분]:[작업 위치_코드]],$Q57,표2[연장])</f>
        <v/>
      </c>
      <c r="U57" s="213">
        <f>SUMIF(표2[[직종구분]:[작업 위치_코드]],$Q57,표2[야간])</f>
        <v/>
      </c>
      <c r="V57" s="213">
        <f>SUMIF(표2[[직종구분]:[작업 위치_코드]],$Q57,표2[철야])</f>
        <v/>
      </c>
      <c r="W57" s="213">
        <f>SUM(R57:V57)</f>
        <v/>
      </c>
    </row>
    <row r="58" ht="20.1" customHeight="1" s="362">
      <c r="A58" s="211">
        <f>A57+1</f>
        <v/>
      </c>
      <c r="B58" s="215" t="inlineStr">
        <is>
          <t>김성률</t>
        </is>
      </c>
      <c r="C58" s="212" t="inlineStr">
        <is>
          <t>보통인부</t>
        </is>
      </c>
      <c r="D58" s="212" t="inlineStr">
        <is>
          <t>PCW배관공사</t>
        </is>
      </c>
      <c r="E58" s="212" t="inlineStr">
        <is>
          <t>PCW배관공사</t>
        </is>
      </c>
      <c r="F58" s="212" t="inlineStr">
        <is>
          <t>A2-2. STS304 10S PIPING FOR 20℃ PCW</t>
        </is>
      </c>
      <c r="G58" s="212" t="inlineStr">
        <is>
          <t xml:space="preserve">F03 6F/PCW 20 배관 </t>
        </is>
      </c>
      <c r="H58" s="213" t="inlineStr">
        <is>
          <t>6F 복도구간 PIPE 배열 및 용접</t>
        </is>
      </c>
      <c r="I58" s="213" t="n">
        <v>1</v>
      </c>
      <c r="J58" s="213" t="n">
        <v>1</v>
      </c>
      <c r="K58" s="213" t="n"/>
      <c r="L58" s="213" t="n"/>
      <c r="M58" s="213" t="n"/>
      <c r="N58" s="214" t="n"/>
      <c r="Q58" s="280">
        <f>'2.직종별 인원현황'!F59</f>
        <v/>
      </c>
      <c r="R58" s="213">
        <f>SUMIF(표2[[직종구분]:[작업 위치_코드]],$Q58,표2[조출])</f>
        <v/>
      </c>
      <c r="S58" s="213">
        <f>SUMIF(표2[[직종구분]:[작업 위치_코드]],$Q58,표2[주간])</f>
        <v/>
      </c>
      <c r="T58" s="213">
        <f>SUMIF(표2[[직종구분]:[작업 위치_코드]],$Q58,표2[연장])</f>
        <v/>
      </c>
      <c r="U58" s="213">
        <f>SUMIF(표2[[직종구분]:[작업 위치_코드]],$Q58,표2[야간])</f>
        <v/>
      </c>
      <c r="V58" s="213">
        <f>SUMIF(표2[[직종구분]:[작업 위치_코드]],$Q58,표2[철야])</f>
        <v/>
      </c>
      <c r="W58" s="213">
        <f>SUM(R58:V58)</f>
        <v/>
      </c>
    </row>
    <row r="59" ht="20.1" customHeight="1" s="362">
      <c r="A59" s="211">
        <f>A58+1</f>
        <v/>
      </c>
      <c r="B59" s="215" t="inlineStr">
        <is>
          <t>정용경</t>
        </is>
      </c>
      <c r="C59" s="212" t="inlineStr">
        <is>
          <t>용접공</t>
        </is>
      </c>
      <c r="D59" s="212" t="inlineStr">
        <is>
          <t>PCW배관공사</t>
        </is>
      </c>
      <c r="E59" s="212" t="inlineStr">
        <is>
          <t>PCW배관공사</t>
        </is>
      </c>
      <c r="F59" s="212" t="inlineStr">
        <is>
          <t>A2-2. STS304 10S PIPING FOR 20℃ PCW</t>
        </is>
      </c>
      <c r="G59" s="212" t="inlineStr">
        <is>
          <t xml:space="preserve">F03 6F/PCW 20 배관 </t>
        </is>
      </c>
      <c r="H59" s="213" t="inlineStr">
        <is>
          <t>6F 복도구간 PIPE 배열 및 용접</t>
        </is>
      </c>
      <c r="I59" s="213" t="n">
        <v>1</v>
      </c>
      <c r="J59" s="213" t="n">
        <v>1</v>
      </c>
      <c r="K59" s="213" t="n"/>
      <c r="L59" s="213" t="n"/>
      <c r="M59" s="213" t="n"/>
      <c r="N59" s="214" t="n"/>
      <c r="Q59" s="280">
        <f>'2.직종별 인원현황'!F60</f>
        <v/>
      </c>
      <c r="R59" s="213">
        <f>SUMIF(표2[[직종구분]:[작업 위치_코드]],$Q59,표2[조출])</f>
        <v/>
      </c>
      <c r="S59" s="213">
        <f>SUMIF(표2[[직종구분]:[작업 위치_코드]],$Q59,표2[주간])</f>
        <v/>
      </c>
      <c r="T59" s="213">
        <f>SUMIF(표2[[직종구분]:[작업 위치_코드]],$Q59,표2[연장])</f>
        <v/>
      </c>
      <c r="U59" s="213">
        <f>SUMIF(표2[[직종구분]:[작업 위치_코드]],$Q59,표2[야간])</f>
        <v/>
      </c>
      <c r="V59" s="213">
        <f>SUMIF(표2[[직종구분]:[작업 위치_코드]],$Q59,표2[철야])</f>
        <v/>
      </c>
      <c r="W59" s="213">
        <f>SUM(R59:V59)</f>
        <v/>
      </c>
    </row>
    <row r="60" ht="20.1" customHeight="1" s="362">
      <c r="A60" s="211">
        <f>A59+1</f>
        <v/>
      </c>
      <c r="B60" s="215" t="inlineStr">
        <is>
          <t>전경선</t>
        </is>
      </c>
      <c r="C60" s="212" t="inlineStr">
        <is>
          <t>화기감시자</t>
        </is>
      </c>
      <c r="D60" s="212" t="inlineStr">
        <is>
          <t>PCW배관공사</t>
        </is>
      </c>
      <c r="E60" s="212" t="inlineStr">
        <is>
          <t>PCW배관공사</t>
        </is>
      </c>
      <c r="F60" s="212" t="inlineStr">
        <is>
          <t>A2-2. STS304 10S PIPING FOR 20℃ PCW</t>
        </is>
      </c>
      <c r="G60" s="212" t="inlineStr">
        <is>
          <t xml:space="preserve">F03 6F/PCW 20 배관 </t>
        </is>
      </c>
      <c r="H60" s="213" t="inlineStr">
        <is>
          <t>6F 복도구간 PIPE 배열 및 용접</t>
        </is>
      </c>
      <c r="I60" s="213" t="n">
        <v>1</v>
      </c>
      <c r="J60" s="213" t="n">
        <v>1</v>
      </c>
      <c r="K60" s="213" t="n"/>
      <c r="L60" s="213" t="n"/>
      <c r="M60" s="213" t="n"/>
      <c r="N60" s="214" t="n"/>
      <c r="Q60" s="280">
        <f>'2.직종별 인원현황'!F61</f>
        <v/>
      </c>
      <c r="R60" s="213">
        <f>SUMIF(표2[[직종구분]:[작업 위치_코드]],$Q60,표2[조출])</f>
        <v/>
      </c>
      <c r="S60" s="213">
        <f>SUMIF(표2[[직종구분]:[작업 위치_코드]],$Q60,표2[주간])</f>
        <v/>
      </c>
      <c r="T60" s="213">
        <f>SUMIF(표2[[직종구분]:[작업 위치_코드]],$Q60,표2[연장])</f>
        <v/>
      </c>
      <c r="U60" s="213">
        <f>SUMIF(표2[[직종구분]:[작업 위치_코드]],$Q60,표2[야간])</f>
        <v/>
      </c>
      <c r="V60" s="213">
        <f>SUMIF(표2[[직종구분]:[작업 위치_코드]],$Q60,표2[철야])</f>
        <v/>
      </c>
      <c r="W60" s="213">
        <f>SUM(R60:V60)</f>
        <v/>
      </c>
    </row>
    <row r="61" ht="20.1" customHeight="1" s="362">
      <c r="A61" s="211">
        <f>A60+1</f>
        <v/>
      </c>
      <c r="B61" s="215" t="inlineStr">
        <is>
          <t>배국주</t>
        </is>
      </c>
      <c r="C61" s="212" t="inlineStr">
        <is>
          <t>배관공</t>
        </is>
      </c>
      <c r="D61" s="212" t="inlineStr">
        <is>
          <t>PCW배관공사</t>
        </is>
      </c>
      <c r="E61" s="212" t="inlineStr">
        <is>
          <t>PCW배관공사</t>
        </is>
      </c>
      <c r="F61" s="212" t="inlineStr">
        <is>
          <t>A2-2. STS304 10S PIPING FOR 20℃ PCW</t>
        </is>
      </c>
      <c r="G61" s="212" t="inlineStr">
        <is>
          <t xml:space="preserve">F03 7F/PCW 20 배관 </t>
        </is>
      </c>
      <c r="H61" s="213" t="inlineStr">
        <is>
          <t>상부 PIPE 배열 및 용접,크롤라크레인 양중</t>
        </is>
      </c>
      <c r="I61" s="213" t="n">
        <v>1</v>
      </c>
      <c r="J61" s="213" t="n">
        <v>1</v>
      </c>
      <c r="K61" s="213" t="n"/>
      <c r="L61" s="213" t="n"/>
      <c r="M61" s="213" t="n"/>
      <c r="N61" s="214" t="n"/>
      <c r="Q61" s="280">
        <f>'2.직종별 인원현황'!F62</f>
        <v/>
      </c>
      <c r="R61" s="213">
        <f>SUMIF(표2[[직종구분]:[작업 위치_코드]],$Q61,표2[조출])</f>
        <v/>
      </c>
      <c r="S61" s="213">
        <f>SUMIF(표2[[직종구분]:[작업 위치_코드]],$Q61,표2[주간])</f>
        <v/>
      </c>
      <c r="T61" s="213">
        <f>SUMIF(표2[[직종구분]:[작업 위치_코드]],$Q61,표2[연장])</f>
        <v/>
      </c>
      <c r="U61" s="213">
        <f>SUMIF(표2[[직종구분]:[작업 위치_코드]],$Q61,표2[야간])</f>
        <v/>
      </c>
      <c r="V61" s="213">
        <f>SUMIF(표2[[직종구분]:[작업 위치_코드]],$Q61,표2[철야])</f>
        <v/>
      </c>
      <c r="W61" s="213">
        <f>SUM(R61:V61)</f>
        <v/>
      </c>
    </row>
    <row r="62" ht="20.1" customHeight="1" s="362">
      <c r="A62" s="211">
        <f>A61+1</f>
        <v/>
      </c>
      <c r="B62" s="215" t="inlineStr">
        <is>
          <t>이선구</t>
        </is>
      </c>
      <c r="C62" s="212" t="inlineStr">
        <is>
          <t>용접공</t>
        </is>
      </c>
      <c r="D62" s="212" t="inlineStr">
        <is>
          <t>PCW배관공사</t>
        </is>
      </c>
      <c r="E62" s="212" t="inlineStr">
        <is>
          <t>PCW배관공사</t>
        </is>
      </c>
      <c r="F62" s="212" t="inlineStr">
        <is>
          <t>A2-2. STS304 10S PIPING FOR 20℃ PCW</t>
        </is>
      </c>
      <c r="G62" s="212" t="inlineStr">
        <is>
          <t xml:space="preserve">F03 7F/PCW 20 배관 </t>
        </is>
      </c>
      <c r="H62" s="213" t="inlineStr">
        <is>
          <t>상부 PIPE 배열 및 용접,크롤라크레인 양중</t>
        </is>
      </c>
      <c r="I62" s="213" t="n">
        <v>1</v>
      </c>
      <c r="J62" s="213" t="n">
        <v>1</v>
      </c>
      <c r="K62" s="213" t="n"/>
      <c r="L62" s="213" t="n"/>
      <c r="M62" s="213" t="n"/>
      <c r="N62" s="214" t="n"/>
      <c r="Q62" s="280">
        <f>'2.직종별 인원현황'!F63</f>
        <v/>
      </c>
      <c r="R62" s="213">
        <f>SUMIF(표2[[직종구분]:[작업 위치_코드]],$Q62,표2[조출])</f>
        <v/>
      </c>
      <c r="S62" s="213">
        <f>SUMIF(표2[[직종구분]:[작업 위치_코드]],$Q62,표2[주간])</f>
        <v/>
      </c>
      <c r="T62" s="213">
        <f>SUMIF(표2[[직종구분]:[작업 위치_코드]],$Q62,표2[연장])</f>
        <v/>
      </c>
      <c r="U62" s="213">
        <f>SUMIF(표2[[직종구분]:[작업 위치_코드]],$Q62,표2[야간])</f>
        <v/>
      </c>
      <c r="V62" s="213">
        <f>SUMIF(표2[[직종구분]:[작업 위치_코드]],$Q62,표2[철야])</f>
        <v/>
      </c>
      <c r="W62" s="213">
        <f>SUM(R62:V62)</f>
        <v/>
      </c>
    </row>
    <row r="63" ht="20.1" customHeight="1" s="362">
      <c r="A63" s="211">
        <f>A62+1</f>
        <v/>
      </c>
      <c r="B63" s="215" t="inlineStr">
        <is>
          <t>유재민</t>
        </is>
      </c>
      <c r="C63" s="212" t="inlineStr">
        <is>
          <t>보통인부</t>
        </is>
      </c>
      <c r="D63" s="212" t="inlineStr">
        <is>
          <t>PCW배관공사</t>
        </is>
      </c>
      <c r="E63" s="212" t="inlineStr">
        <is>
          <t>PCW배관공사</t>
        </is>
      </c>
      <c r="F63" s="212" t="inlineStr">
        <is>
          <t>A2-2. STS304 10S PIPING FOR 20℃ PCW</t>
        </is>
      </c>
      <c r="G63" s="212" t="inlineStr">
        <is>
          <t xml:space="preserve">F03 7F/PCW 20 배관 </t>
        </is>
      </c>
      <c r="H63" s="213" t="inlineStr">
        <is>
          <t>상부 PIPE 배열 및 용접,크롤라크레인 양중</t>
        </is>
      </c>
      <c r="I63" s="213" t="n">
        <v>1</v>
      </c>
      <c r="J63" s="213" t="n">
        <v>1</v>
      </c>
      <c r="K63" s="213" t="n"/>
      <c r="L63" s="213" t="n"/>
      <c r="M63" s="213" t="n"/>
      <c r="N63" s="214" t="n"/>
      <c r="Q63" s="280">
        <f>'2.직종별 인원현황'!F64</f>
        <v/>
      </c>
      <c r="R63" s="213">
        <f>SUMIF(표2[[직종구분]:[작업 위치_코드]],$Q63,표2[조출])</f>
        <v/>
      </c>
      <c r="S63" s="213">
        <f>SUMIF(표2[[직종구분]:[작업 위치_코드]],$Q63,표2[주간])</f>
        <v/>
      </c>
      <c r="T63" s="213">
        <f>SUMIF(표2[[직종구분]:[작업 위치_코드]],$Q63,표2[연장])</f>
        <v/>
      </c>
      <c r="U63" s="213">
        <f>SUMIF(표2[[직종구분]:[작업 위치_코드]],$Q63,표2[야간])</f>
        <v/>
      </c>
      <c r="V63" s="213">
        <f>SUMIF(표2[[직종구분]:[작업 위치_코드]],$Q63,표2[철야])</f>
        <v/>
      </c>
      <c r="W63" s="213">
        <f>SUM(R63:V63)</f>
        <v/>
      </c>
    </row>
    <row r="64" ht="20.1" customHeight="1" s="362">
      <c r="A64" s="211">
        <f>A63+1</f>
        <v/>
      </c>
      <c r="B64" s="215" t="inlineStr">
        <is>
          <t>전종철</t>
        </is>
      </c>
      <c r="C64" s="212" t="inlineStr">
        <is>
          <t>보통인부</t>
        </is>
      </c>
      <c r="D64" s="212" t="inlineStr">
        <is>
          <t>PCW배관공사</t>
        </is>
      </c>
      <c r="E64" s="212" t="inlineStr">
        <is>
          <t>PCW배관공사</t>
        </is>
      </c>
      <c r="F64" s="212" t="inlineStr">
        <is>
          <t>A2-2. STS304 10S PIPING FOR 20℃ PCW</t>
        </is>
      </c>
      <c r="G64" s="212" t="inlineStr">
        <is>
          <t xml:space="preserve">F03 7F/PCW 20 배관 </t>
        </is>
      </c>
      <c r="H64" s="213" t="inlineStr">
        <is>
          <t>상부 PIPE 배열 및 용접,크롤라크레인 양중</t>
        </is>
      </c>
      <c r="I64" s="213" t="n">
        <v>1</v>
      </c>
      <c r="J64" s="213" t="n">
        <v>1</v>
      </c>
      <c r="K64" s="213" t="n"/>
      <c r="L64" s="213" t="n"/>
      <c r="M64" s="213" t="n"/>
      <c r="N64" s="214" t="n"/>
      <c r="Q64" s="280">
        <f>'2.직종별 인원현황'!F65</f>
        <v/>
      </c>
      <c r="R64" s="213">
        <f>SUMIF(표2[[직종구분]:[작업 위치_코드]],$Q64,표2[조출])</f>
        <v/>
      </c>
      <c r="S64" s="213">
        <f>SUMIF(표2[[직종구분]:[작업 위치_코드]],$Q64,표2[주간])</f>
        <v/>
      </c>
      <c r="T64" s="213">
        <f>SUMIF(표2[[직종구분]:[작업 위치_코드]],$Q64,표2[연장])</f>
        <v/>
      </c>
      <c r="U64" s="213">
        <f>SUMIF(표2[[직종구분]:[작업 위치_코드]],$Q64,표2[야간])</f>
        <v/>
      </c>
      <c r="V64" s="213">
        <f>SUMIF(표2[[직종구분]:[작업 위치_코드]],$Q64,표2[철야])</f>
        <v/>
      </c>
      <c r="W64" s="213">
        <f>SUM(R64:V64)</f>
        <v/>
      </c>
    </row>
    <row r="65" ht="20.1" customHeight="1" s="362">
      <c r="A65" s="211">
        <f>A64+1</f>
        <v/>
      </c>
      <c r="B65" s="215" t="inlineStr">
        <is>
          <t>손문조</t>
        </is>
      </c>
      <c r="C65" s="212" t="inlineStr">
        <is>
          <t>유도원</t>
        </is>
      </c>
      <c r="D65" s="212" t="inlineStr">
        <is>
          <t>PCW배관공사</t>
        </is>
      </c>
      <c r="E65" s="212" t="inlineStr">
        <is>
          <t>PCW배관공사</t>
        </is>
      </c>
      <c r="F65" s="212" t="inlineStr">
        <is>
          <t>A2-2. STS304 10S PIPING FOR 20℃ PCW</t>
        </is>
      </c>
      <c r="G65" s="212" t="inlineStr">
        <is>
          <t xml:space="preserve">F03 7F/PCW 20 배관 </t>
        </is>
      </c>
      <c r="H65" s="213" t="inlineStr">
        <is>
          <t>상부 PIPE 배열 및 용접,크롤라크레인 양중</t>
        </is>
      </c>
      <c r="I65" s="213" t="n">
        <v>1</v>
      </c>
      <c r="J65" s="213" t="n">
        <v>1</v>
      </c>
      <c r="K65" s="213" t="n"/>
      <c r="L65" s="213" t="n"/>
      <c r="M65" s="213" t="n"/>
      <c r="N65" s="214" t="n"/>
      <c r="Q65" s="280">
        <f>'2.직종별 인원현황'!F66</f>
        <v/>
      </c>
      <c r="R65" s="213">
        <f>SUMIF(표2[[직종구분]:[작업 위치_코드]],$Q65,표2[조출])</f>
        <v/>
      </c>
      <c r="S65" s="213">
        <f>SUMIF(표2[[직종구분]:[작업 위치_코드]],$Q65,표2[주간])</f>
        <v/>
      </c>
      <c r="T65" s="213">
        <f>SUMIF(표2[[직종구분]:[작업 위치_코드]],$Q65,표2[연장])</f>
        <v/>
      </c>
      <c r="U65" s="213">
        <f>SUMIF(표2[[직종구분]:[작업 위치_코드]],$Q65,표2[야간])</f>
        <v/>
      </c>
      <c r="V65" s="213">
        <f>SUMIF(표2[[직종구분]:[작업 위치_코드]],$Q65,표2[철야])</f>
        <v/>
      </c>
      <c r="W65" s="213">
        <f>SUM(R65:V65)</f>
        <v/>
      </c>
    </row>
    <row r="66" ht="20.1" customHeight="1" s="362">
      <c r="A66" s="211">
        <f>A65+1</f>
        <v/>
      </c>
      <c r="B66" s="215" t="inlineStr">
        <is>
          <t>송동우</t>
        </is>
      </c>
      <c r="C66" s="212" t="inlineStr">
        <is>
          <t>비계공</t>
        </is>
      </c>
      <c r="D66" s="212" t="inlineStr">
        <is>
          <t>PCW배관공사</t>
        </is>
      </c>
      <c r="E66" s="212" t="inlineStr">
        <is>
          <t>PCW배관공사</t>
        </is>
      </c>
      <c r="F66" s="212" t="inlineStr">
        <is>
          <t>A2-2. STS304 10S PIPING FOR 20℃ PCW</t>
        </is>
      </c>
      <c r="G66" s="212" t="inlineStr">
        <is>
          <t xml:space="preserve">CUB 7F/PCW 20 배관 </t>
        </is>
      </c>
      <c r="H66" s="285" t="inlineStr">
        <is>
          <t>7F X35,Y14/겐트리 비계수정,설치</t>
        </is>
      </c>
      <c r="I66" s="213" t="n"/>
      <c r="J66" s="213" t="n">
        <v>1</v>
      </c>
      <c r="K66" s="213" t="n"/>
      <c r="L66" s="213" t="n"/>
      <c r="M66" s="213" t="n"/>
      <c r="N66" s="214" t="n"/>
      <c r="Q66" s="280">
        <f>'2.직종별 인원현황'!F67</f>
        <v/>
      </c>
      <c r="R66" s="213">
        <f>SUMIF(표2[[직종구분]:[작업 위치_코드]],$Q66,표2[조출])</f>
        <v/>
      </c>
      <c r="S66" s="213">
        <f>SUMIF(표2[[직종구분]:[작업 위치_코드]],$Q66,표2[주간])</f>
        <v/>
      </c>
      <c r="T66" s="213">
        <f>SUMIF(표2[[직종구분]:[작업 위치_코드]],$Q66,표2[연장])</f>
        <v/>
      </c>
      <c r="U66" s="213">
        <f>SUMIF(표2[[직종구분]:[작업 위치_코드]],$Q66,표2[야간])</f>
        <v/>
      </c>
      <c r="V66" s="213">
        <f>SUMIF(표2[[직종구분]:[작업 위치_코드]],$Q66,표2[철야])</f>
        <v/>
      </c>
      <c r="W66" s="213">
        <f>SUM(R66:V66)</f>
        <v/>
      </c>
    </row>
    <row r="67" ht="20.1" customHeight="1" s="362">
      <c r="A67" s="211">
        <f>A66+1</f>
        <v/>
      </c>
      <c r="B67" s="215" t="inlineStr">
        <is>
          <t>조완준</t>
        </is>
      </c>
      <c r="C67" s="212" t="inlineStr">
        <is>
          <t>비계공</t>
        </is>
      </c>
      <c r="D67" s="212" t="inlineStr">
        <is>
          <t>PCW배관공사</t>
        </is>
      </c>
      <c r="E67" s="212" t="inlineStr">
        <is>
          <t>PCW배관공사</t>
        </is>
      </c>
      <c r="F67" s="212" t="inlineStr">
        <is>
          <t>A2-2. STS304 10S PIPING FOR 20℃ PCW</t>
        </is>
      </c>
      <c r="G67" s="212" t="inlineStr">
        <is>
          <t xml:space="preserve">CUB 7F/PCW 20 배관 </t>
        </is>
      </c>
      <c r="H67" s="285" t="inlineStr">
        <is>
          <t>7F X35,Y14/겐트리 비계수정,설치</t>
        </is>
      </c>
      <c r="I67" s="213" t="n"/>
      <c r="J67" s="213" t="n">
        <v>1</v>
      </c>
      <c r="K67" s="213" t="n"/>
      <c r="L67" s="213" t="n"/>
      <c r="M67" s="213" t="n"/>
      <c r="N67" s="214" t="n"/>
      <c r="Q67" s="280">
        <f>'2.직종별 인원현황'!F68</f>
        <v/>
      </c>
      <c r="R67" s="213">
        <f>SUMIF(표2[[직종구분]:[작업 위치_코드]],$Q67,표2[조출])</f>
        <v/>
      </c>
      <c r="S67" s="213">
        <f>SUMIF(표2[[직종구분]:[작업 위치_코드]],$Q67,표2[주간])</f>
        <v/>
      </c>
      <c r="T67" s="213">
        <f>SUMIF(표2[[직종구분]:[작업 위치_코드]],$Q67,표2[연장])</f>
        <v/>
      </c>
      <c r="U67" s="213">
        <f>SUMIF(표2[[직종구분]:[작업 위치_코드]],$Q67,표2[야간])</f>
        <v/>
      </c>
      <c r="V67" s="213">
        <f>SUMIF(표2[[직종구분]:[작업 위치_코드]],$Q67,표2[철야])</f>
        <v/>
      </c>
      <c r="W67" s="213">
        <f>SUM(R67:V67)</f>
        <v/>
      </c>
    </row>
    <row r="68" ht="20.1" customHeight="1" s="362">
      <c r="A68" s="211">
        <f>A67+1</f>
        <v/>
      </c>
      <c r="B68" s="215" t="inlineStr">
        <is>
          <t>이성주</t>
        </is>
      </c>
      <c r="C68" s="212" t="inlineStr">
        <is>
          <t>비계공</t>
        </is>
      </c>
      <c r="D68" s="212" t="inlineStr">
        <is>
          <t>PCW배관공사</t>
        </is>
      </c>
      <c r="E68" s="212" t="inlineStr">
        <is>
          <t>PCW배관공사</t>
        </is>
      </c>
      <c r="F68" s="212" t="inlineStr">
        <is>
          <t>A2-2. STS304 10S PIPING FOR 20℃ PCW</t>
        </is>
      </c>
      <c r="G68" s="212" t="inlineStr">
        <is>
          <t xml:space="preserve">CUB 7F/PCW 20 배관 </t>
        </is>
      </c>
      <c r="H68" s="285" t="inlineStr">
        <is>
          <t>7F X35,Y14/겐트리 비계수정,설치</t>
        </is>
      </c>
      <c r="I68" s="213" t="n"/>
      <c r="J68" s="213" t="n">
        <v>1</v>
      </c>
      <c r="K68" s="213" t="n"/>
      <c r="L68" s="213" t="n"/>
      <c r="M68" s="213" t="n"/>
      <c r="N68" s="214" t="n"/>
      <c r="Q68" s="280">
        <f>'2.직종별 인원현황'!F69</f>
        <v/>
      </c>
      <c r="R68" s="213">
        <f>SUMIF(표2[[직종구분]:[작업 위치_코드]],$Q68,표2[조출])</f>
        <v/>
      </c>
      <c r="S68" s="213">
        <f>SUMIF(표2[[직종구분]:[작업 위치_코드]],$Q68,표2[주간])</f>
        <v/>
      </c>
      <c r="T68" s="213">
        <f>SUMIF(표2[[직종구분]:[작업 위치_코드]],$Q68,표2[연장])</f>
        <v/>
      </c>
      <c r="U68" s="213">
        <f>SUMIF(표2[[직종구분]:[작업 위치_코드]],$Q68,표2[야간])</f>
        <v/>
      </c>
      <c r="V68" s="213">
        <f>SUMIF(표2[[직종구분]:[작업 위치_코드]],$Q68,표2[철야])</f>
        <v/>
      </c>
      <c r="W68" s="213">
        <f>SUM(R68:V68)</f>
        <v/>
      </c>
    </row>
    <row r="69" ht="20.1" customHeight="1" s="362">
      <c r="A69" s="211">
        <f>A68+1</f>
        <v/>
      </c>
      <c r="B69" s="215" t="inlineStr">
        <is>
          <t>김수</t>
        </is>
      </c>
      <c r="C69" s="212" t="inlineStr">
        <is>
          <t>비계공</t>
        </is>
      </c>
      <c r="D69" s="212" t="inlineStr">
        <is>
          <t>PCW배관공사</t>
        </is>
      </c>
      <c r="E69" s="212" t="inlineStr">
        <is>
          <t>PCW배관공사</t>
        </is>
      </c>
      <c r="F69" s="212" t="inlineStr">
        <is>
          <t>A2-2. STS304 10S PIPING FOR 20℃ PCW</t>
        </is>
      </c>
      <c r="G69" s="212" t="inlineStr">
        <is>
          <t xml:space="preserve">CUB 7F/PCW 20 배관 </t>
        </is>
      </c>
      <c r="H69" s="285" t="inlineStr">
        <is>
          <t>7F X35,Y14/겐트리 비계수정,설치</t>
        </is>
      </c>
      <c r="I69" s="213" t="n"/>
      <c r="J69" s="213" t="n">
        <v>1</v>
      </c>
      <c r="K69" s="213" t="n"/>
      <c r="L69" s="213" t="n"/>
      <c r="M69" s="213" t="n"/>
      <c r="N69" s="214" t="n"/>
      <c r="Q69" s="127">
        <f>'2.직종별 인원현황'!F70</f>
        <v/>
      </c>
      <c r="R69" s="213">
        <f>SUMIF(표2[[직종구분]:[작업 위치_코드]],$Q69,표2[조출])</f>
        <v/>
      </c>
      <c r="S69" s="213">
        <f>SUMIF(표2[[직종구분]:[작업 위치_코드]],$Q69,표2[주간])</f>
        <v/>
      </c>
      <c r="T69" s="213">
        <f>SUMIF(표2[[직종구분]:[작업 위치_코드]],$Q69,표2[연장])</f>
        <v/>
      </c>
      <c r="U69" s="213">
        <f>SUMIF(표2[[직종구분]:[작업 위치_코드]],$Q69,표2[야간])</f>
        <v/>
      </c>
      <c r="V69" s="213">
        <f>SUMIF(표2[[직종구분]:[작업 위치_코드]],$Q69,표2[철야])</f>
        <v/>
      </c>
      <c r="W69" s="213">
        <f>SUM(R69:V69)</f>
        <v/>
      </c>
    </row>
    <row r="70" ht="20.1" customHeight="1" s="362">
      <c r="A70" s="211">
        <f>A69+1</f>
        <v/>
      </c>
      <c r="B70" s="215" t="inlineStr">
        <is>
          <t>이상무</t>
        </is>
      </c>
      <c r="C70" s="212" t="inlineStr">
        <is>
          <t>비계공</t>
        </is>
      </c>
      <c r="D70" s="212" t="inlineStr">
        <is>
          <t>PCW배관공사</t>
        </is>
      </c>
      <c r="E70" s="212" t="inlineStr">
        <is>
          <t>PCW배관공사</t>
        </is>
      </c>
      <c r="F70" s="212" t="inlineStr">
        <is>
          <t>A2-2. STS304 10S PIPING FOR 20℃ PCW</t>
        </is>
      </c>
      <c r="G70" s="212" t="inlineStr">
        <is>
          <t xml:space="preserve">CUB 7F/PCW 20 배관 </t>
        </is>
      </c>
      <c r="H70" s="285" t="inlineStr">
        <is>
          <t>7F X35,Y14/겐트리 비계수정,설치</t>
        </is>
      </c>
      <c r="I70" s="213" t="n"/>
      <c r="J70" s="213" t="n">
        <v>1</v>
      </c>
      <c r="K70" s="213" t="n"/>
      <c r="L70" s="213" t="n"/>
      <c r="M70" s="213" t="n"/>
      <c r="N70" s="214" t="n"/>
      <c r="Q70" s="127">
        <f>'2.직종별 인원현황'!F71</f>
        <v/>
      </c>
      <c r="R70" s="213">
        <f>SUMIF(표2[[직종구분]:[작업 위치_코드]],$Q70,표2[조출])</f>
        <v/>
      </c>
      <c r="S70" s="213">
        <f>SUMIF(표2[[직종구분]:[작업 위치_코드]],$Q70,표2[주간])</f>
        <v/>
      </c>
      <c r="T70" s="213">
        <f>SUMIF(표2[[직종구분]:[작업 위치_코드]],$Q70,표2[연장])</f>
        <v/>
      </c>
      <c r="U70" s="213">
        <f>SUMIF(표2[[직종구분]:[작업 위치_코드]],$Q70,표2[야간])</f>
        <v/>
      </c>
      <c r="V70" s="213">
        <f>SUMIF(표2[[직종구분]:[작업 위치_코드]],$Q70,표2[철야])</f>
        <v/>
      </c>
      <c r="W70" s="213">
        <f>SUM(R70:V70)</f>
        <v/>
      </c>
    </row>
    <row r="71" ht="20.1" customHeight="1" s="362">
      <c r="A71" s="211">
        <f>A70+1</f>
        <v/>
      </c>
      <c r="B71" s="215" t="inlineStr">
        <is>
          <t>김언기</t>
        </is>
      </c>
      <c r="C71" s="212" t="inlineStr">
        <is>
          <t>비계공</t>
        </is>
      </c>
      <c r="D71" s="212" t="inlineStr">
        <is>
          <t>PCW배관공사</t>
        </is>
      </c>
      <c r="E71" s="212" t="inlineStr">
        <is>
          <t>PCW배관공사</t>
        </is>
      </c>
      <c r="F71" s="212" t="inlineStr">
        <is>
          <t>A2-2. STS304 10S PIPING FOR 20℃ PCW</t>
        </is>
      </c>
      <c r="G71" s="212" t="inlineStr">
        <is>
          <t xml:space="preserve">CUB 7F/PCW 20 배관 </t>
        </is>
      </c>
      <c r="H71" s="285" t="inlineStr">
        <is>
          <t>7F X35,Y14/겐트리 비계수정,설치</t>
        </is>
      </c>
      <c r="I71" s="213" t="n"/>
      <c r="J71" s="213" t="n">
        <v>1</v>
      </c>
      <c r="K71" s="213" t="n"/>
      <c r="L71" s="213" t="n"/>
      <c r="M71" s="213" t="n"/>
      <c r="N71" s="214" t="n"/>
      <c r="Q71" s="127">
        <f>'2.직종별 인원현황'!F72</f>
        <v/>
      </c>
      <c r="R71" s="213">
        <f>SUMIF(표2[[직종구분]:[작업 위치_코드]],$Q71,표2[조출])</f>
        <v/>
      </c>
      <c r="S71" s="213">
        <f>SUMIF(표2[[직종구분]:[작업 위치_코드]],$Q71,표2[주간])</f>
        <v/>
      </c>
      <c r="T71" s="213">
        <f>SUMIF(표2[[직종구분]:[작업 위치_코드]],$Q71,표2[연장])</f>
        <v/>
      </c>
      <c r="U71" s="213">
        <f>SUMIF(표2[[직종구분]:[작업 위치_코드]],$Q71,표2[야간])</f>
        <v/>
      </c>
      <c r="V71" s="213">
        <f>SUMIF(표2[[직종구분]:[작업 위치_코드]],$Q71,표2[철야])</f>
        <v/>
      </c>
      <c r="W71" s="213">
        <f>SUM(R71:V71)</f>
        <v/>
      </c>
    </row>
    <row r="72" ht="20.1" customHeight="1" s="362">
      <c r="A72" s="211">
        <f>A71+1</f>
        <v/>
      </c>
      <c r="B72" s="215" t="inlineStr">
        <is>
          <t>송진태</t>
        </is>
      </c>
      <c r="C72" s="212" t="inlineStr">
        <is>
          <t>비계공</t>
        </is>
      </c>
      <c r="D72" s="212" t="inlineStr">
        <is>
          <t>PCW배관공사</t>
        </is>
      </c>
      <c r="E72" s="212" t="inlineStr">
        <is>
          <t>PCW배관공사</t>
        </is>
      </c>
      <c r="F72" s="212" t="inlineStr">
        <is>
          <t>A2-2. STS304 10S PIPING FOR 20℃ PCW</t>
        </is>
      </c>
      <c r="G72" s="212" t="inlineStr">
        <is>
          <t xml:space="preserve">CUB 7F/PCW 20 배관 </t>
        </is>
      </c>
      <c r="H72" s="285" t="inlineStr">
        <is>
          <t>7F X35,Y14/겐트리 비계수정,설치</t>
        </is>
      </c>
      <c r="I72" s="213" t="n"/>
      <c r="J72" s="213" t="n">
        <v>1</v>
      </c>
      <c r="K72" s="213" t="n"/>
      <c r="L72" s="213" t="n"/>
      <c r="M72" s="213" t="n"/>
      <c r="N72" s="214" t="n"/>
      <c r="Q72" s="127">
        <f>'2.직종별 인원현황'!F73</f>
        <v/>
      </c>
      <c r="R72" s="213">
        <f>SUMIF(표2[[직종구분]:[작업 위치_코드]],$Q72,표2[조출])</f>
        <v/>
      </c>
      <c r="S72" s="213">
        <f>SUMIF(표2[[직종구분]:[작업 위치_코드]],$Q72,표2[주간])</f>
        <v/>
      </c>
      <c r="T72" s="213">
        <f>SUMIF(표2[[직종구분]:[작업 위치_코드]],$Q72,표2[연장])</f>
        <v/>
      </c>
      <c r="U72" s="213">
        <f>SUMIF(표2[[직종구분]:[작업 위치_코드]],$Q72,표2[야간])</f>
        <v/>
      </c>
      <c r="V72" s="213">
        <f>SUMIF(표2[[직종구분]:[작업 위치_코드]],$Q72,표2[철야])</f>
        <v/>
      </c>
      <c r="W72" s="213">
        <f>SUM(R72:V72)</f>
        <v/>
      </c>
    </row>
    <row r="73" ht="20.1" customHeight="1" s="362">
      <c r="A73" s="211">
        <f>A72+1</f>
        <v/>
      </c>
      <c r="B73" s="215" t="inlineStr">
        <is>
          <t>유창</t>
        </is>
      </c>
      <c r="C73" s="212" t="inlineStr">
        <is>
          <t>비계공</t>
        </is>
      </c>
      <c r="D73" s="212" t="inlineStr">
        <is>
          <t>PCW배관공사</t>
        </is>
      </c>
      <c r="E73" s="212" t="inlineStr">
        <is>
          <t>PCW배관공사</t>
        </is>
      </c>
      <c r="F73" s="212" t="inlineStr">
        <is>
          <t>A2-2. STS304 10S PIPING FOR 20℃ PCW</t>
        </is>
      </c>
      <c r="G73" s="212" t="inlineStr">
        <is>
          <t xml:space="preserve">CUB 7F/PCW 20 배관 </t>
        </is>
      </c>
      <c r="H73" s="285" t="inlineStr">
        <is>
          <t>7F X35,Y14/겐트리 비계수정,설치</t>
        </is>
      </c>
      <c r="I73" s="213" t="n"/>
      <c r="J73" s="213" t="n">
        <v>1</v>
      </c>
      <c r="K73" s="213" t="n"/>
      <c r="L73" s="213" t="n"/>
      <c r="M73" s="213" t="n"/>
      <c r="N73" s="214" t="n"/>
      <c r="Q73" s="127">
        <f>'2.직종별 인원현황'!F74</f>
        <v/>
      </c>
      <c r="R73" s="213">
        <f>SUMIF(표2[[직종구분]:[작업 위치_코드]],$Q73,표2[조출])</f>
        <v/>
      </c>
      <c r="S73" s="213">
        <f>SUMIF(표2[[직종구분]:[작업 위치_코드]],$Q73,표2[주간])</f>
        <v/>
      </c>
      <c r="T73" s="213">
        <f>SUMIF(표2[[직종구분]:[작업 위치_코드]],$Q73,표2[연장])</f>
        <v/>
      </c>
      <c r="U73" s="213">
        <f>SUMIF(표2[[직종구분]:[작업 위치_코드]],$Q73,표2[야간])</f>
        <v/>
      </c>
      <c r="V73" s="213">
        <f>SUMIF(표2[[직종구분]:[작업 위치_코드]],$Q73,표2[철야])</f>
        <v/>
      </c>
      <c r="W73" s="213">
        <f>SUM(R73:V73)</f>
        <v/>
      </c>
    </row>
    <row r="74" ht="20.1" customHeight="1" s="362">
      <c r="A74" s="211">
        <f>A73+1</f>
        <v/>
      </c>
      <c r="B74" s="215" t="inlineStr">
        <is>
          <t>김희영</t>
        </is>
      </c>
      <c r="C74" s="212" t="inlineStr">
        <is>
          <t>비계공</t>
        </is>
      </c>
      <c r="D74" s="212" t="inlineStr">
        <is>
          <t>PCW배관공사</t>
        </is>
      </c>
      <c r="E74" s="212" t="inlineStr">
        <is>
          <t>PCW배관공사</t>
        </is>
      </c>
      <c r="F74" s="212" t="inlineStr">
        <is>
          <t>A2-2. STS304 10S PIPING FOR 20℃ PCW</t>
        </is>
      </c>
      <c r="G74" s="212" t="inlineStr">
        <is>
          <t xml:space="preserve">CUB 7F/PCW 20 배관 </t>
        </is>
      </c>
      <c r="H74" s="285" t="inlineStr">
        <is>
          <t>7F X35,Y14/겐트리 비계수정,설치</t>
        </is>
      </c>
      <c r="I74" s="213" t="n"/>
      <c r="J74" s="213" t="n">
        <v>1</v>
      </c>
      <c r="K74" s="213" t="n"/>
      <c r="L74" s="213" t="n"/>
      <c r="M74" s="213" t="n"/>
      <c r="N74" s="214" t="n"/>
      <c r="Q74" s="127">
        <f>'2.직종별 인원현황'!F75</f>
        <v/>
      </c>
      <c r="R74" s="213">
        <f>SUMIF(표2[[직종구분]:[작업 위치_코드]],$Q74,표2[조출])</f>
        <v/>
      </c>
      <c r="S74" s="213">
        <f>SUMIF(표2[[직종구분]:[작업 위치_코드]],$Q74,표2[주간])</f>
        <v/>
      </c>
      <c r="T74" s="213">
        <f>SUMIF(표2[[직종구분]:[작업 위치_코드]],$Q74,표2[연장])</f>
        <v/>
      </c>
      <c r="U74" s="213">
        <f>SUMIF(표2[[직종구분]:[작업 위치_코드]],$Q74,표2[야간])</f>
        <v/>
      </c>
      <c r="V74" s="213">
        <f>SUMIF(표2[[직종구분]:[작업 위치_코드]],$Q74,표2[철야])</f>
        <v/>
      </c>
      <c r="W74" s="213">
        <f>SUM(R74:V74)</f>
        <v/>
      </c>
    </row>
    <row r="75" ht="20.1" customHeight="1" s="362">
      <c r="A75" s="211">
        <f>A74+1</f>
        <v/>
      </c>
      <c r="B75" s="215" t="inlineStr">
        <is>
          <t>이도희</t>
        </is>
      </c>
      <c r="C75" s="212" t="inlineStr">
        <is>
          <t>유도원</t>
        </is>
      </c>
      <c r="D75" s="212" t="inlineStr">
        <is>
          <t>PCW배관공사</t>
        </is>
      </c>
      <c r="E75" s="212" t="inlineStr">
        <is>
          <t>PCW배관공사</t>
        </is>
      </c>
      <c r="F75" s="212" t="inlineStr">
        <is>
          <t>A2-2. STS304 10S PIPING FOR 20℃ PCW</t>
        </is>
      </c>
      <c r="G75" s="212" t="inlineStr">
        <is>
          <t xml:space="preserve">CUB 7F/PCW 20 배관 </t>
        </is>
      </c>
      <c r="H75" s="285" t="inlineStr">
        <is>
          <t>7F X35,Y14/겐트리 비계수정,설치</t>
        </is>
      </c>
      <c r="I75" s="213" t="n"/>
      <c r="J75" s="213" t="n">
        <v>1</v>
      </c>
      <c r="K75" s="213" t="n"/>
      <c r="L75" s="213" t="n"/>
      <c r="M75" s="213" t="n"/>
      <c r="N75" s="214" t="n"/>
      <c r="Q75" s="288">
        <f>'2.직종별 인원현황'!F76</f>
        <v/>
      </c>
      <c r="R75" s="213">
        <f>SUMIF(표2[[직종구분]:[작업 위치_코드]],$Q75,표2[조출])</f>
        <v/>
      </c>
      <c r="S75" s="213">
        <f>SUMIF(표2[[직종구분]:[작업 위치_코드]],$Q75,표2[주간])</f>
        <v/>
      </c>
      <c r="T75" s="213">
        <f>SUMIF(표2[[직종구분]:[작업 위치_코드]],$Q75,표2[연장])</f>
        <v/>
      </c>
      <c r="U75" s="213">
        <f>SUMIF(표2[[직종구분]:[작업 위치_코드]],$Q75,표2[야간])</f>
        <v/>
      </c>
      <c r="V75" s="213">
        <f>SUMIF(표2[[직종구분]:[작업 위치_코드]],$Q75,표2[철야])</f>
        <v/>
      </c>
      <c r="W75" s="213">
        <f>SUM(R75:V75)</f>
        <v/>
      </c>
    </row>
    <row r="76" ht="20.1" customHeight="1" s="362">
      <c r="A76" s="211">
        <f>A75+1</f>
        <v/>
      </c>
      <c r="B76" s="215" t="inlineStr">
        <is>
          <t>장동필</t>
        </is>
      </c>
      <c r="C76" s="212" t="inlineStr">
        <is>
          <t>배관공</t>
        </is>
      </c>
      <c r="D76" s="212" t="inlineStr">
        <is>
          <t>PCW배관공사</t>
        </is>
      </c>
      <c r="E76" s="212" t="inlineStr">
        <is>
          <t>PCW배관공사</t>
        </is>
      </c>
      <c r="F76" s="212" t="inlineStr">
        <is>
          <t>A2-2. STS304 10S PIPING FOR 20℃ PCW</t>
        </is>
      </c>
      <c r="G76" s="212" t="inlineStr">
        <is>
          <t xml:space="preserve">F02 6F/PCW 20 배관 </t>
        </is>
      </c>
      <c r="H76" s="286" t="inlineStr">
        <is>
          <t>6F X33~34 Y9-12 PCW20배관 양중 작업</t>
        </is>
      </c>
      <c r="I76" s="213" t="n"/>
      <c r="J76" s="213" t="n">
        <v>1</v>
      </c>
      <c r="K76" s="213" t="n"/>
      <c r="L76" s="213" t="n"/>
      <c r="M76" s="213" t="n"/>
      <c r="N76" s="214" t="n"/>
      <c r="Q76" s="127">
        <f>'2.직종별 인원현황'!F77</f>
        <v/>
      </c>
      <c r="R76" s="213">
        <f>SUMIF(표2[[직종구분]:[작업 위치_코드]],$Q76,표2[조출])</f>
        <v/>
      </c>
      <c r="S76" s="213">
        <f>SUMIF(표2[[직종구분]:[작업 위치_코드]],$Q76,표2[주간])</f>
        <v/>
      </c>
      <c r="T76" s="213">
        <f>SUMIF(표2[[직종구분]:[작업 위치_코드]],$Q76,표2[연장])</f>
        <v/>
      </c>
      <c r="U76" s="213">
        <f>SUMIF(표2[[직종구분]:[작업 위치_코드]],$Q76,표2[야간])</f>
        <v/>
      </c>
      <c r="V76" s="213">
        <f>SUMIF(표2[[직종구분]:[작업 위치_코드]],$Q76,표2[철야])</f>
        <v/>
      </c>
      <c r="W76" s="213">
        <f>SUM(R76:V76)</f>
        <v/>
      </c>
    </row>
    <row r="77" ht="20.1" customHeight="1" s="362">
      <c r="A77" s="211">
        <f>A76+1</f>
        <v/>
      </c>
      <c r="B77" s="215" t="inlineStr">
        <is>
          <t>나정원</t>
        </is>
      </c>
      <c r="C77" s="212" t="inlineStr">
        <is>
          <t>보통인부</t>
        </is>
      </c>
      <c r="D77" s="212" t="inlineStr">
        <is>
          <t>PCW배관공사</t>
        </is>
      </c>
      <c r="E77" s="212" t="inlineStr">
        <is>
          <t>PCW배관공사</t>
        </is>
      </c>
      <c r="F77" s="212" t="inlineStr">
        <is>
          <t>A2-2. STS304 10S PIPING FOR 20℃ PCW</t>
        </is>
      </c>
      <c r="G77" s="212" t="inlineStr">
        <is>
          <t xml:space="preserve">F02 6F/PCW 20 배관 </t>
        </is>
      </c>
      <c r="H77" s="286" t="inlineStr">
        <is>
          <t>6F X33~34 Y9-12 PCW20배관 양중 작업</t>
        </is>
      </c>
      <c r="I77" s="213" t="n"/>
      <c r="J77" s="213" t="n">
        <v>1</v>
      </c>
      <c r="K77" s="213" t="n"/>
      <c r="L77" s="213" t="n"/>
      <c r="M77" s="213" t="n"/>
      <c r="N77" s="214" t="n"/>
      <c r="Q77" s="127">
        <f>'2.직종별 인원현황'!F78</f>
        <v/>
      </c>
      <c r="R77" s="213">
        <f>SUMIF(표2[[직종구분]:[작업 위치_코드]],$Q77,표2[조출])</f>
        <v/>
      </c>
      <c r="S77" s="213">
        <f>SUMIF(표2[[직종구분]:[작업 위치_코드]],$Q77,표2[주간])</f>
        <v/>
      </c>
      <c r="T77" s="213">
        <f>SUMIF(표2[[직종구분]:[작업 위치_코드]],$Q77,표2[연장])</f>
        <v/>
      </c>
      <c r="U77" s="213">
        <f>SUMIF(표2[[직종구분]:[작업 위치_코드]],$Q77,표2[야간])</f>
        <v/>
      </c>
      <c r="V77" s="213">
        <f>SUMIF(표2[[직종구분]:[작업 위치_코드]],$Q77,표2[철야])</f>
        <v/>
      </c>
      <c r="W77" s="213">
        <f>SUM(R77:V77)</f>
        <v/>
      </c>
    </row>
    <row r="78" ht="20.1" customHeight="1" s="362">
      <c r="A78" s="211">
        <f>A77+1</f>
        <v/>
      </c>
      <c r="B78" s="215" t="inlineStr">
        <is>
          <t>이성진</t>
        </is>
      </c>
      <c r="C78" s="212" t="inlineStr">
        <is>
          <t>배관공</t>
        </is>
      </c>
      <c r="D78" s="212" t="inlineStr">
        <is>
          <t>PCW배관공사</t>
        </is>
      </c>
      <c r="E78" s="212" t="inlineStr">
        <is>
          <t>PCW배관공사</t>
        </is>
      </c>
      <c r="F78" s="212" t="inlineStr">
        <is>
          <t>A2-2. STS304 10S PIPING FOR 20℃ PCW</t>
        </is>
      </c>
      <c r="G78" s="212" t="inlineStr">
        <is>
          <t xml:space="preserve">F02 6F/PCW 20 배관 </t>
        </is>
      </c>
      <c r="H78" s="286" t="inlineStr">
        <is>
          <t>6F X33~34 Y9-12 PCW20배관 양중 작업</t>
        </is>
      </c>
      <c r="I78" s="213" t="n"/>
      <c r="J78" s="213" t="n">
        <v>1</v>
      </c>
      <c r="K78" s="213" t="n"/>
      <c r="L78" s="213" t="n"/>
      <c r="M78" s="213" t="n"/>
      <c r="N78" s="214" t="n"/>
      <c r="Q78" s="127">
        <f>'2.직종별 인원현황'!F79</f>
        <v/>
      </c>
      <c r="R78" s="213">
        <f>SUMIF(표2[[직종구분]:[작업 위치_코드]],$Q78,표2[조출])</f>
        <v/>
      </c>
      <c r="S78" s="213">
        <f>SUMIF(표2[[직종구분]:[작업 위치_코드]],$Q78,표2[주간])</f>
        <v/>
      </c>
      <c r="T78" s="213">
        <f>SUMIF(표2[[직종구분]:[작업 위치_코드]],$Q78,표2[연장])</f>
        <v/>
      </c>
      <c r="U78" s="213">
        <f>SUMIF(표2[[직종구분]:[작업 위치_코드]],$Q78,표2[야간])</f>
        <v/>
      </c>
      <c r="V78" s="213">
        <f>SUMIF(표2[[직종구분]:[작업 위치_코드]],$Q78,표2[철야])</f>
        <v/>
      </c>
      <c r="W78" s="213">
        <f>SUM(R78:V78)</f>
        <v/>
      </c>
    </row>
    <row r="79" ht="20.1" customHeight="1" s="362">
      <c r="A79" s="211">
        <f>A78+1</f>
        <v/>
      </c>
      <c r="B79" s="215" t="inlineStr">
        <is>
          <t>석창호</t>
        </is>
      </c>
      <c r="C79" s="212" t="inlineStr">
        <is>
          <t>보통인부</t>
        </is>
      </c>
      <c r="D79" s="212" t="inlineStr">
        <is>
          <t>PCW배관공사</t>
        </is>
      </c>
      <c r="E79" s="212" t="inlineStr">
        <is>
          <t>PCW배관공사</t>
        </is>
      </c>
      <c r="F79" s="212" t="inlineStr">
        <is>
          <t>A2-2. STS304 10S PIPING FOR 20℃ PCW</t>
        </is>
      </c>
      <c r="G79" s="212" t="inlineStr">
        <is>
          <t xml:space="preserve">F02 6F/PCW 20 배관 </t>
        </is>
      </c>
      <c r="H79" s="286" t="inlineStr">
        <is>
          <t>6F X33~34 Y9-12 PCW20배관 양중 작업</t>
        </is>
      </c>
      <c r="I79" s="213" t="n"/>
      <c r="J79" s="213" t="n">
        <v>1</v>
      </c>
      <c r="K79" s="213" t="n"/>
      <c r="L79" s="213" t="n"/>
      <c r="M79" s="213" t="n"/>
      <c r="N79" s="214" t="n"/>
      <c r="Q79" s="127">
        <f>'2.직종별 인원현황'!F80</f>
        <v/>
      </c>
      <c r="R79" s="213">
        <f>SUMIF(표2[[직종구분]:[작업 위치_코드]],$Q79,표2[조출])</f>
        <v/>
      </c>
      <c r="S79" s="213">
        <f>SUMIF(표2[[직종구분]:[작업 위치_코드]],$Q79,표2[주간])</f>
        <v/>
      </c>
      <c r="T79" s="213">
        <f>SUMIF(표2[[직종구분]:[작업 위치_코드]],$Q79,표2[연장])</f>
        <v/>
      </c>
      <c r="U79" s="213">
        <f>SUMIF(표2[[직종구분]:[작업 위치_코드]],$Q79,표2[야간])</f>
        <v/>
      </c>
      <c r="V79" s="213">
        <f>SUMIF(표2[[직종구분]:[작업 위치_코드]],$Q79,표2[철야])</f>
        <v/>
      </c>
      <c r="W79" s="213">
        <f>SUM(R79:V79)</f>
        <v/>
      </c>
    </row>
    <row r="80" ht="20.1" customHeight="1" s="362">
      <c r="A80" s="211">
        <f>A79+1</f>
        <v/>
      </c>
      <c r="B80" s="215" t="inlineStr">
        <is>
          <t>김기용</t>
        </is>
      </c>
      <c r="C80" s="212" t="inlineStr">
        <is>
          <t>보통인부</t>
        </is>
      </c>
      <c r="D80" s="212" t="inlineStr">
        <is>
          <t>PCW배관공사</t>
        </is>
      </c>
      <c r="E80" s="212" t="inlineStr">
        <is>
          <t>PCW배관공사</t>
        </is>
      </c>
      <c r="F80" s="212" t="inlineStr">
        <is>
          <t>A2-2. STS304 10S PIPING FOR 20℃ PCW</t>
        </is>
      </c>
      <c r="G80" s="212" t="inlineStr">
        <is>
          <t xml:space="preserve">F02 6F/PCW 20 배관 </t>
        </is>
      </c>
      <c r="H80" s="286" t="inlineStr">
        <is>
          <t>6F X33~34 Y9-12 PCW20배관 양중 작업</t>
        </is>
      </c>
      <c r="I80" s="213" t="n"/>
      <c r="J80" s="213" t="n">
        <v>1</v>
      </c>
      <c r="K80" s="213" t="n"/>
      <c r="L80" s="213" t="n"/>
      <c r="M80" s="213" t="n"/>
      <c r="N80" s="214" t="n"/>
      <c r="Q80" s="127">
        <f>'2.직종별 인원현황'!F81</f>
        <v/>
      </c>
      <c r="R80" s="213">
        <f>SUMIF(표2[[직종구분]:[작업 위치_코드]],$Q80,표2[조출])</f>
        <v/>
      </c>
      <c r="S80" s="213">
        <f>SUMIF(표2[[직종구분]:[작업 위치_코드]],$Q80,표2[주간])</f>
        <v/>
      </c>
      <c r="T80" s="213">
        <f>SUMIF(표2[[직종구분]:[작업 위치_코드]],$Q80,표2[연장])</f>
        <v/>
      </c>
      <c r="U80" s="213">
        <f>SUMIF(표2[[직종구분]:[작업 위치_코드]],$Q80,표2[야간])</f>
        <v/>
      </c>
      <c r="V80" s="213">
        <f>SUMIF(표2[[직종구분]:[작업 위치_코드]],$Q80,표2[철야])</f>
        <v/>
      </c>
      <c r="W80" s="213">
        <f>SUM(R80:V80)</f>
        <v/>
      </c>
    </row>
    <row r="81" ht="20.1" customHeight="1" s="362">
      <c r="A81" s="211">
        <f>A80+1</f>
        <v/>
      </c>
      <c r="B81" s="215" t="inlineStr">
        <is>
          <t>정진희</t>
        </is>
      </c>
      <c r="C81" s="212" t="inlineStr">
        <is>
          <t>유도원</t>
        </is>
      </c>
      <c r="D81" s="212" t="inlineStr">
        <is>
          <t>PCW배관공사</t>
        </is>
      </c>
      <c r="E81" s="212" t="inlineStr">
        <is>
          <t>PCW배관공사</t>
        </is>
      </c>
      <c r="F81" s="212" t="inlineStr">
        <is>
          <t>A2-2. STS304 10S PIPING FOR 20℃ PCW</t>
        </is>
      </c>
      <c r="G81" s="212" t="inlineStr">
        <is>
          <t xml:space="preserve">F02 6F/PCW 20 배관 </t>
        </is>
      </c>
      <c r="H81" s="286" t="inlineStr">
        <is>
          <t>6F X33~34 Y9-12 PCW20배관 양중 작업</t>
        </is>
      </c>
      <c r="I81" s="213" t="n"/>
      <c r="J81" s="213" t="n">
        <v>1</v>
      </c>
      <c r="K81" s="213" t="n"/>
      <c r="L81" s="213" t="n"/>
      <c r="M81" s="213" t="n"/>
      <c r="N81" s="214" t="n"/>
      <c r="Q81" s="127">
        <f>'2.직종별 인원현황'!F82</f>
        <v/>
      </c>
      <c r="R81" s="213">
        <f>SUMIF(표2[[직종구분]:[작업 위치_코드]],$Q81,표2[조출])</f>
        <v/>
      </c>
      <c r="S81" s="213">
        <f>SUMIF(표2[[직종구분]:[작업 위치_코드]],$Q81,표2[주간])</f>
        <v/>
      </c>
      <c r="T81" s="213">
        <f>SUMIF(표2[[직종구분]:[작업 위치_코드]],$Q81,표2[연장])</f>
        <v/>
      </c>
      <c r="U81" s="213">
        <f>SUMIF(표2[[직종구분]:[작업 위치_코드]],$Q81,표2[야간])</f>
        <v/>
      </c>
      <c r="V81" s="213">
        <f>SUMIF(표2[[직종구분]:[작업 위치_코드]],$Q81,표2[철야])</f>
        <v/>
      </c>
      <c r="W81" s="213">
        <f>SUM(R81:V81)</f>
        <v/>
      </c>
    </row>
    <row r="82" ht="20.1" customHeight="1" s="362">
      <c r="A82" s="211">
        <f>A81+1</f>
        <v/>
      </c>
      <c r="B82" s="215" t="inlineStr">
        <is>
          <t>김성진</t>
        </is>
      </c>
      <c r="C82" s="212" t="inlineStr">
        <is>
          <t>배관공</t>
        </is>
      </c>
      <c r="D82" s="212" t="inlineStr">
        <is>
          <t>PCW배관공사</t>
        </is>
      </c>
      <c r="E82" s="212" t="inlineStr">
        <is>
          <t>PCW배관공사</t>
        </is>
      </c>
      <c r="F82" s="212" t="inlineStr">
        <is>
          <t>A2-2. STS304 10S PIPING FOR 20℃ PCW</t>
        </is>
      </c>
      <c r="G82" s="212" t="inlineStr">
        <is>
          <t xml:space="preserve">F02 6F/PCW 20 배관 </t>
        </is>
      </c>
      <c r="H82" s="286" t="inlineStr">
        <is>
          <t>6F X33~34 Y9-12 PCW20배관 양중 작업</t>
        </is>
      </c>
      <c r="I82" s="213" t="n"/>
      <c r="J82" s="213" t="n">
        <v>1</v>
      </c>
      <c r="K82" s="213" t="n"/>
      <c r="L82" s="213" t="n"/>
      <c r="M82" s="213" t="n"/>
      <c r="N82" s="214" t="n"/>
      <c r="Q82" s="127">
        <f>'2.직종별 인원현황'!F83</f>
        <v/>
      </c>
      <c r="R82" s="213">
        <f>SUMIF(표2[[직종구분]:[작업 위치_코드]],$Q82,표2[조출])</f>
        <v/>
      </c>
      <c r="S82" s="213">
        <f>SUMIF(표2[[직종구분]:[작업 위치_코드]],$Q82,표2[주간])</f>
        <v/>
      </c>
      <c r="T82" s="213">
        <f>SUMIF(표2[[직종구분]:[작업 위치_코드]],$Q82,표2[연장])</f>
        <v/>
      </c>
      <c r="U82" s="213">
        <f>SUMIF(표2[[직종구분]:[작업 위치_코드]],$Q82,표2[야간])</f>
        <v/>
      </c>
      <c r="V82" s="213">
        <f>SUMIF(표2[[직종구분]:[작업 위치_코드]],$Q82,표2[철야])</f>
        <v/>
      </c>
      <c r="W82" s="213">
        <f>SUM(R82:V82)</f>
        <v/>
      </c>
    </row>
    <row r="83" ht="20.1" customHeight="1" s="362">
      <c r="A83" s="211">
        <f>A82+1</f>
        <v/>
      </c>
      <c r="B83" s="215" t="inlineStr">
        <is>
          <t>이우철</t>
        </is>
      </c>
      <c r="C83" s="212" t="inlineStr">
        <is>
          <t>보통인부</t>
        </is>
      </c>
      <c r="D83" s="212" t="inlineStr">
        <is>
          <t>PCW배관공사</t>
        </is>
      </c>
      <c r="E83" s="212" t="inlineStr">
        <is>
          <t>PCW배관공사</t>
        </is>
      </c>
      <c r="F83" s="212" t="inlineStr">
        <is>
          <t>A2-2. STS304 10S PIPING FOR 20℃ PCW</t>
        </is>
      </c>
      <c r="G83" s="212" t="inlineStr">
        <is>
          <t xml:space="preserve">F02 6F/PCW 20 배관 </t>
        </is>
      </c>
      <c r="H83" s="286" t="inlineStr">
        <is>
          <t>6F X33~34 Y9-12 PCW20배관 양중 작업</t>
        </is>
      </c>
      <c r="I83" s="213" t="n"/>
      <c r="J83" s="213" t="n">
        <v>1</v>
      </c>
      <c r="K83" s="213" t="n"/>
      <c r="L83" s="213" t="n"/>
      <c r="M83" s="213" t="n"/>
      <c r="N83" s="214" t="n"/>
      <c r="Q83" s="127">
        <f>'2.직종별 인원현황'!F84</f>
        <v/>
      </c>
      <c r="R83" s="213">
        <f>SUMIF(표2[[직종구분]:[작업 위치_코드]],$Q83,표2[조출])</f>
        <v/>
      </c>
      <c r="S83" s="213">
        <f>SUMIF(표2[[직종구분]:[작업 위치_코드]],$Q83,표2[주간])</f>
        <v/>
      </c>
      <c r="T83" s="213">
        <f>SUMIF(표2[[직종구분]:[작업 위치_코드]],$Q83,표2[연장])</f>
        <v/>
      </c>
      <c r="U83" s="213">
        <f>SUMIF(표2[[직종구분]:[작업 위치_코드]],$Q83,표2[야간])</f>
        <v/>
      </c>
      <c r="V83" s="213">
        <f>SUMIF(표2[[직종구분]:[작업 위치_코드]],$Q83,표2[철야])</f>
        <v/>
      </c>
      <c r="W83" s="213">
        <f>SUM(R83:V83)</f>
        <v/>
      </c>
    </row>
    <row r="84" ht="20.1" customHeight="1" s="362">
      <c r="A84" s="211">
        <f>A83+1</f>
        <v/>
      </c>
      <c r="B84" s="215" t="inlineStr">
        <is>
          <t>박유리</t>
        </is>
      </c>
      <c r="C84" s="212" t="inlineStr">
        <is>
          <t>유도원</t>
        </is>
      </c>
      <c r="D84" s="212" t="inlineStr">
        <is>
          <t>PCW배관공사</t>
        </is>
      </c>
      <c r="E84" s="212" t="inlineStr">
        <is>
          <t>PCW배관공사</t>
        </is>
      </c>
      <c r="F84" s="212" t="inlineStr">
        <is>
          <t>A2-2. STS304 10S PIPING FOR 20℃ PCW</t>
        </is>
      </c>
      <c r="G84" s="212" t="inlineStr">
        <is>
          <t xml:space="preserve">F02 6F/PCW 20 배관 </t>
        </is>
      </c>
      <c r="H84" s="286" t="inlineStr">
        <is>
          <t>6F X33~34 Y9-12 PCW20배관 양중 작업</t>
        </is>
      </c>
      <c r="I84" s="213" t="n"/>
      <c r="J84" s="213" t="n">
        <v>1</v>
      </c>
      <c r="K84" s="213" t="n"/>
      <c r="L84" s="213" t="n"/>
      <c r="M84" s="213" t="n"/>
      <c r="N84" s="214" t="n"/>
      <c r="Q84" s="127">
        <f>'2.직종별 인원현황'!F85</f>
        <v/>
      </c>
      <c r="R84" s="213">
        <f>SUMIF(표2[[직종구분]:[작업 위치_코드]],$Q84,표2[조출])</f>
        <v/>
      </c>
      <c r="S84" s="213">
        <f>SUMIF(표2[[직종구분]:[작업 위치_코드]],$Q84,표2[주간])</f>
        <v/>
      </c>
      <c r="T84" s="213">
        <f>SUMIF(표2[[직종구분]:[작업 위치_코드]],$Q84,표2[연장])</f>
        <v/>
      </c>
      <c r="U84" s="213">
        <f>SUMIF(표2[[직종구분]:[작업 위치_코드]],$Q84,표2[야간])</f>
        <v/>
      </c>
      <c r="V84" s="213">
        <f>SUMIF(표2[[직종구분]:[작업 위치_코드]],$Q84,표2[철야])</f>
        <v/>
      </c>
      <c r="W84" s="213">
        <f>SUM(R84:V84)</f>
        <v/>
      </c>
    </row>
    <row r="85" ht="20.1" customHeight="1" s="362">
      <c r="A85" s="211">
        <f>A84+1</f>
        <v/>
      </c>
      <c r="B85" s="215" t="inlineStr">
        <is>
          <t>한성만</t>
        </is>
      </c>
      <c r="C85" s="212" t="inlineStr">
        <is>
          <t>배관공</t>
        </is>
      </c>
      <c r="D85" s="212" t="inlineStr">
        <is>
          <t>PCW배관공사</t>
        </is>
      </c>
      <c r="E85" s="212" t="inlineStr">
        <is>
          <t>PCW배관공사</t>
        </is>
      </c>
      <c r="F85" s="212" t="inlineStr">
        <is>
          <t>A2-2. STS304 10S PIPING FOR 20℃ PCW</t>
        </is>
      </c>
      <c r="G85" s="212" t="inlineStr">
        <is>
          <t xml:space="preserve">F02 6F/PCW 20 배관 </t>
        </is>
      </c>
      <c r="H85" s="286" t="inlineStr">
        <is>
          <t>6F X33~34 Y9-12 PCW20배관 양중 작업</t>
        </is>
      </c>
      <c r="I85" s="213" t="n"/>
      <c r="J85" s="213" t="n">
        <v>1</v>
      </c>
      <c r="K85" s="213" t="n"/>
      <c r="L85" s="213" t="n"/>
      <c r="M85" s="213" t="n"/>
      <c r="N85" s="214" t="n"/>
      <c r="Q85" s="289">
        <f>'2.직종별 인원현황'!F86</f>
        <v/>
      </c>
      <c r="R85" s="213">
        <f>SUMIF(표2[[직종구분]:[작업 위치_코드]],$Q85,표2[조출])</f>
        <v/>
      </c>
      <c r="S85" s="213">
        <f>SUMIF(표2[[직종구분]:[작업 위치_코드]],$Q85,표2[주간])</f>
        <v/>
      </c>
      <c r="T85" s="213">
        <f>SUMIF(표2[[직종구분]:[작업 위치_코드]],$Q85,표2[연장])</f>
        <v/>
      </c>
      <c r="U85" s="213">
        <f>SUMIF(표2[[직종구분]:[작업 위치_코드]],$Q85,표2[야간])</f>
        <v/>
      </c>
      <c r="V85" s="213">
        <f>SUMIF(표2[[직종구분]:[작업 위치_코드]],$Q85,표2[철야])</f>
        <v/>
      </c>
      <c r="W85" s="290">
        <f>SUM(R85:V85)</f>
        <v/>
      </c>
    </row>
    <row r="86" ht="20.1" customHeight="1" s="362">
      <c r="A86" s="211">
        <f>A85+1</f>
        <v/>
      </c>
      <c r="B86" s="215" t="inlineStr">
        <is>
          <t>김명남</t>
        </is>
      </c>
      <c r="C86" s="212" t="inlineStr">
        <is>
          <t>보통인부</t>
        </is>
      </c>
      <c r="D86" s="212" t="inlineStr">
        <is>
          <t>PCW배관공사</t>
        </is>
      </c>
      <c r="E86" s="212" t="inlineStr">
        <is>
          <t>PCW배관공사</t>
        </is>
      </c>
      <c r="F86" s="212" t="inlineStr">
        <is>
          <t>A2-2. STS304 10S PIPING FOR 20℃ PCW</t>
        </is>
      </c>
      <c r="G86" s="212" t="inlineStr">
        <is>
          <t xml:space="preserve">F02 6F/PCW 20 배관 </t>
        </is>
      </c>
      <c r="H86" s="286" t="inlineStr">
        <is>
          <t>6F X33~34 Y9-12 PCW20배관 양중 작업</t>
        </is>
      </c>
      <c r="I86" s="213" t="n"/>
      <c r="J86" s="213" t="n">
        <v>1</v>
      </c>
      <c r="K86" s="213" t="n"/>
      <c r="L86" s="213" t="n"/>
      <c r="M86" s="213" t="n"/>
      <c r="N86" s="214" t="n"/>
      <c r="Q86" s="209" t="inlineStr">
        <is>
          <t>관리자</t>
        </is>
      </c>
      <c r="R86" s="515">
        <f>SUM(R5:R14)</f>
        <v/>
      </c>
      <c r="S86" s="515">
        <f>SUM(S5:S14)</f>
        <v/>
      </c>
      <c r="T86" s="515">
        <f>SUM(T5:T14)</f>
        <v/>
      </c>
      <c r="U86" s="515">
        <f>SUM(U5:U14)</f>
        <v/>
      </c>
      <c r="V86" s="515">
        <f>SUM(V5:V14)</f>
        <v/>
      </c>
      <c r="W86" s="515">
        <f>SUM(W5:W14)</f>
        <v/>
      </c>
    </row>
    <row r="87" ht="20.1" customHeight="1" s="362">
      <c r="A87" s="211">
        <f>A86+1</f>
        <v/>
      </c>
      <c r="B87" s="215" t="inlineStr">
        <is>
          <t>정초희</t>
        </is>
      </c>
      <c r="C87" s="212" t="inlineStr">
        <is>
          <t>유도원</t>
        </is>
      </c>
      <c r="D87" s="212" t="inlineStr">
        <is>
          <t>PCW배관공사</t>
        </is>
      </c>
      <c r="E87" s="212" t="inlineStr">
        <is>
          <t>PCW배관공사</t>
        </is>
      </c>
      <c r="F87" s="212" t="inlineStr">
        <is>
          <t>A2-2. STS304 10S PIPING FOR 20℃ PCW</t>
        </is>
      </c>
      <c r="G87" s="212" t="inlineStr">
        <is>
          <t xml:space="preserve">F02 6F/PCW 20 배관 </t>
        </is>
      </c>
      <c r="H87" s="286" t="inlineStr">
        <is>
          <t>6F X33~34 Y9-12 PCW20배관 양중 작업</t>
        </is>
      </c>
      <c r="I87" s="213" t="n"/>
      <c r="J87" s="213" t="n">
        <v>1</v>
      </c>
      <c r="K87" s="213" t="n"/>
      <c r="L87" s="213" t="n"/>
      <c r="M87" s="213" t="n"/>
      <c r="N87" s="214" t="n"/>
      <c r="Q87" s="213" t="inlineStr">
        <is>
          <t>근로자</t>
        </is>
      </c>
      <c r="R87" s="516">
        <f>SUM(R15:R85)</f>
        <v/>
      </c>
      <c r="S87" s="516">
        <f>SUM(S15:S85)</f>
        <v/>
      </c>
      <c r="T87" s="516">
        <f>SUM(T15:T85)</f>
        <v/>
      </c>
      <c r="U87" s="516">
        <f>SUM(U15:U85)</f>
        <v/>
      </c>
      <c r="V87" s="516">
        <f>SUM(V15:V85)</f>
        <v/>
      </c>
      <c r="W87" s="516">
        <f>SUM(W15:W85)</f>
        <v/>
      </c>
    </row>
    <row r="88" ht="20.1" customHeight="1" s="362">
      <c r="A88" s="211">
        <f>A87+1</f>
        <v/>
      </c>
      <c r="B88" s="215" t="inlineStr">
        <is>
          <t>전휘</t>
        </is>
      </c>
      <c r="C88" s="212" t="inlineStr">
        <is>
          <t>배관공</t>
        </is>
      </c>
      <c r="D88" s="212" t="inlineStr">
        <is>
          <t>PCW배관공사</t>
        </is>
      </c>
      <c r="E88" s="212" t="inlineStr">
        <is>
          <t>PCW배관공사</t>
        </is>
      </c>
      <c r="F88" s="212" t="inlineStr">
        <is>
          <t>A2-2. STS304 10S PIPING FOR 20℃ PCW</t>
        </is>
      </c>
      <c r="G88" s="212" t="inlineStr">
        <is>
          <t xml:space="preserve">F02 6F/PCW 20 배관 </t>
        </is>
      </c>
      <c r="H88" s="286" t="inlineStr">
        <is>
          <t>6F X33~34 Y9-12 PCW20배관 양중 작업</t>
        </is>
      </c>
      <c r="I88" s="213" t="n"/>
      <c r="J88" s="213" t="n">
        <v>1</v>
      </c>
      <c r="K88" s="213" t="n"/>
      <c r="L88" s="213" t="n"/>
      <c r="M88" s="213" t="n"/>
      <c r="N88" s="214" t="n"/>
      <c r="Q88" s="290" t="inlineStr">
        <is>
          <t>Total</t>
        </is>
      </c>
      <c r="R88" s="517">
        <f>SUM(R5:R85)</f>
        <v/>
      </c>
      <c r="S88" s="517">
        <f>SUM(S5:S85)</f>
        <v/>
      </c>
      <c r="T88" s="517">
        <f>SUM(T5:T85)</f>
        <v/>
      </c>
      <c r="U88" s="517">
        <f>SUM(U5:U85)</f>
        <v/>
      </c>
      <c r="V88" s="517">
        <f>SUM(V5:V85)</f>
        <v/>
      </c>
      <c r="W88" s="517">
        <f>SUM(W5:W85)</f>
        <v/>
      </c>
    </row>
    <row r="89" ht="20.1" customHeight="1" s="362">
      <c r="A89" s="211">
        <f>A88+1</f>
        <v/>
      </c>
      <c r="B89" s="215" t="inlineStr">
        <is>
          <t>장진원</t>
        </is>
      </c>
      <c r="C89" s="212" t="inlineStr">
        <is>
          <t>보통인부</t>
        </is>
      </c>
      <c r="D89" s="212" t="inlineStr">
        <is>
          <t>PCW배관공사</t>
        </is>
      </c>
      <c r="E89" s="212" t="inlineStr">
        <is>
          <t>PCW배관공사</t>
        </is>
      </c>
      <c r="F89" s="212" t="inlineStr">
        <is>
          <t>A2-2. STS304 10S PIPING FOR 20℃ PCW</t>
        </is>
      </c>
      <c r="G89" s="212" t="inlineStr">
        <is>
          <t xml:space="preserve">F02 6F/PCW 20 배관 </t>
        </is>
      </c>
      <c r="H89" s="286" t="inlineStr">
        <is>
          <t>6F X33~34 Y9-12 PCW20배관 양중 작업</t>
        </is>
      </c>
      <c r="I89" s="213" t="n"/>
      <c r="J89" s="213" t="n">
        <v>1</v>
      </c>
      <c r="K89" s="213" t="n"/>
      <c r="L89" s="213" t="n"/>
      <c r="M89" s="213" t="n"/>
      <c r="N89" s="214" t="n"/>
    </row>
    <row r="90" ht="20.1" customHeight="1" s="362">
      <c r="A90" s="211">
        <f>A89+1</f>
        <v/>
      </c>
      <c r="B90" s="215" t="inlineStr">
        <is>
          <t>신성철</t>
        </is>
      </c>
      <c r="C90" s="212" t="inlineStr">
        <is>
          <t>보통인부</t>
        </is>
      </c>
      <c r="D90" s="212" t="inlineStr">
        <is>
          <t>PCW배관공사</t>
        </is>
      </c>
      <c r="E90" s="212" t="inlineStr">
        <is>
          <t>PCW배관공사</t>
        </is>
      </c>
      <c r="F90" s="212" t="inlineStr">
        <is>
          <t>A2-2. STS304 10S PIPING FOR 20℃ PCW</t>
        </is>
      </c>
      <c r="G90" s="212" t="inlineStr">
        <is>
          <t xml:space="preserve">F02 6F/PCW 20 배관 </t>
        </is>
      </c>
      <c r="H90" s="286" t="inlineStr">
        <is>
          <t>6F X33~34 Y9-12 PCW20배관 양중 작업</t>
        </is>
      </c>
      <c r="I90" s="213" t="n"/>
      <c r="J90" s="213" t="n">
        <v>1</v>
      </c>
      <c r="K90" s="213" t="n"/>
      <c r="L90" s="213" t="n"/>
      <c r="M90" s="213" t="n"/>
      <c r="N90" s="214" t="n"/>
    </row>
    <row r="91" ht="20.1" customHeight="1" s="362">
      <c r="A91" s="211">
        <f>A90+1</f>
        <v/>
      </c>
      <c r="B91" s="215" t="inlineStr">
        <is>
          <t>안은정</t>
        </is>
      </c>
      <c r="C91" s="212" t="inlineStr">
        <is>
          <t>유도원</t>
        </is>
      </c>
      <c r="D91" s="212" t="inlineStr">
        <is>
          <t>PCW배관공사</t>
        </is>
      </c>
      <c r="E91" s="212" t="inlineStr">
        <is>
          <t>PCW배관공사</t>
        </is>
      </c>
      <c r="F91" s="212" t="inlineStr">
        <is>
          <t>A2-2. STS304 10S PIPING FOR 20℃ PCW</t>
        </is>
      </c>
      <c r="G91" s="212" t="inlineStr">
        <is>
          <t xml:space="preserve">F02 6F/PCW 20 배관 </t>
        </is>
      </c>
      <c r="H91" s="286" t="inlineStr">
        <is>
          <t>6F X33~34 Y9-12 PCW20배관 양중 작업</t>
        </is>
      </c>
      <c r="I91" s="213" t="n"/>
      <c r="J91" s="213" t="n">
        <v>1</v>
      </c>
      <c r="K91" s="213" t="n"/>
      <c r="L91" s="213" t="n"/>
      <c r="M91" s="213" t="n"/>
      <c r="N91" s="214" t="n"/>
    </row>
    <row r="92" ht="20.1" customHeight="1" s="362">
      <c r="A92" s="211">
        <f>A91+1</f>
        <v/>
      </c>
      <c r="B92" s="215" t="inlineStr">
        <is>
          <t>박동호</t>
        </is>
      </c>
      <c r="C92" s="212" t="inlineStr">
        <is>
          <t>배관공</t>
        </is>
      </c>
      <c r="D92" s="212" t="inlineStr">
        <is>
          <t>PCW배관공사</t>
        </is>
      </c>
      <c r="E92" s="212" t="inlineStr">
        <is>
          <t>PCW배관공사</t>
        </is>
      </c>
      <c r="F92" s="212" t="inlineStr">
        <is>
          <t>A2-2. STS304 10S PIPING FOR 20℃ PCW</t>
        </is>
      </c>
      <c r="G92" s="212" t="inlineStr">
        <is>
          <t xml:space="preserve">F02 6F/PCW 20 배관 </t>
        </is>
      </c>
      <c r="H92" s="286" t="inlineStr">
        <is>
          <t>6F X33~34 Y9-12 PCW20배관 양중 작업</t>
        </is>
      </c>
      <c r="I92" s="213" t="n"/>
      <c r="J92" s="213" t="n">
        <v>1</v>
      </c>
      <c r="K92" s="213" t="n"/>
      <c r="L92" s="213" t="n"/>
      <c r="M92" s="213" t="n"/>
      <c r="N92" s="214" t="n"/>
    </row>
    <row r="93" ht="20.1" customHeight="1" s="362">
      <c r="A93" s="211">
        <f>A92+1</f>
        <v/>
      </c>
      <c r="B93" s="215" t="inlineStr">
        <is>
          <t>박영호</t>
        </is>
      </c>
      <c r="C93" s="212" t="inlineStr">
        <is>
          <t>보통인부</t>
        </is>
      </c>
      <c r="D93" s="212" t="inlineStr">
        <is>
          <t>PCW배관공사</t>
        </is>
      </c>
      <c r="E93" s="212" t="inlineStr">
        <is>
          <t>PCW배관공사</t>
        </is>
      </c>
      <c r="F93" s="212" t="inlineStr">
        <is>
          <t>A2-2. STS304 10S PIPING FOR 20℃ PCW</t>
        </is>
      </c>
      <c r="G93" s="212" t="inlineStr">
        <is>
          <t xml:space="preserve">F02 6F/PCW 20 배관 </t>
        </is>
      </c>
      <c r="H93" s="286" t="inlineStr">
        <is>
          <t>6F X33~34 Y9-12 PCW20배관 양중 작업</t>
        </is>
      </c>
      <c r="I93" s="213" t="n"/>
      <c r="J93" s="213" t="n">
        <v>1</v>
      </c>
      <c r="K93" s="213" t="n"/>
      <c r="L93" s="213" t="n"/>
      <c r="M93" s="213" t="n"/>
      <c r="N93" s="214" t="n"/>
    </row>
    <row r="94" ht="20.1" customHeight="1" s="362">
      <c r="A94" s="211">
        <f>A93+1</f>
        <v/>
      </c>
      <c r="B94" s="215" t="inlineStr">
        <is>
          <t>민병만</t>
        </is>
      </c>
      <c r="C94" s="212" t="inlineStr">
        <is>
          <t>보통인부</t>
        </is>
      </c>
      <c r="D94" s="212" t="inlineStr">
        <is>
          <t>PCW배관공사</t>
        </is>
      </c>
      <c r="E94" s="212" t="inlineStr">
        <is>
          <t>PCW배관공사</t>
        </is>
      </c>
      <c r="F94" s="212" t="inlineStr">
        <is>
          <t>A2-2. STS304 10S PIPING FOR 20℃ PCW</t>
        </is>
      </c>
      <c r="G94" s="212" t="inlineStr">
        <is>
          <t xml:space="preserve">F02 6F/PCW 20 배관 </t>
        </is>
      </c>
      <c r="H94" s="286" t="inlineStr">
        <is>
          <t>6F X33~34 Y9-12 PCW20배관 양중 작업</t>
        </is>
      </c>
      <c r="I94" s="213" t="n"/>
      <c r="J94" s="213" t="n">
        <v>1</v>
      </c>
      <c r="K94" s="213" t="n"/>
      <c r="L94" s="213" t="n"/>
      <c r="M94" s="213" t="n"/>
      <c r="N94" s="214" t="n"/>
    </row>
    <row r="95" ht="20.1" customHeight="1" s="362">
      <c r="A95" s="211">
        <f>A94+1</f>
        <v/>
      </c>
      <c r="B95" s="215" t="inlineStr">
        <is>
          <t>장형필</t>
        </is>
      </c>
      <c r="C95" s="212" t="inlineStr">
        <is>
          <t>보통인부</t>
        </is>
      </c>
      <c r="D95" s="212" t="inlineStr">
        <is>
          <t>PCW배관공사</t>
        </is>
      </c>
      <c r="E95" s="212" t="inlineStr">
        <is>
          <t>PCW배관공사</t>
        </is>
      </c>
      <c r="F95" s="212" t="inlineStr">
        <is>
          <t>A2-2. STS304 10S PIPING FOR 20℃ PCW</t>
        </is>
      </c>
      <c r="G95" s="212" t="inlineStr">
        <is>
          <t xml:space="preserve">F02 6F/PCW 20 배관 </t>
        </is>
      </c>
      <c r="H95" s="286" t="inlineStr">
        <is>
          <t>6F X33~34 Y9-12 PCW20배관 양중 작업</t>
        </is>
      </c>
      <c r="I95" s="213" t="n"/>
      <c r="J95" s="213" t="n">
        <v>1</v>
      </c>
      <c r="K95" s="213" t="n"/>
      <c r="L95" s="213" t="n"/>
      <c r="M95" s="213" t="n"/>
      <c r="N95" s="214" t="n"/>
    </row>
    <row r="96" ht="20.1" customHeight="1" s="362">
      <c r="A96" s="211">
        <f>A95+1</f>
        <v/>
      </c>
      <c r="B96" s="215" t="inlineStr">
        <is>
          <t>최지현</t>
        </is>
      </c>
      <c r="C96" s="212" t="inlineStr">
        <is>
          <t>유도원</t>
        </is>
      </c>
      <c r="D96" s="212" t="inlineStr">
        <is>
          <t>PCW배관공사</t>
        </is>
      </c>
      <c r="E96" s="212" t="inlineStr">
        <is>
          <t>PCW배관공사</t>
        </is>
      </c>
      <c r="F96" s="212" t="inlineStr">
        <is>
          <t>A2-2. STS304 10S PIPING FOR 20℃ PCW</t>
        </is>
      </c>
      <c r="G96" s="212" t="inlineStr">
        <is>
          <t xml:space="preserve">F02 6F/PCW 20 배관 </t>
        </is>
      </c>
      <c r="H96" s="286" t="inlineStr">
        <is>
          <t>6F X33~34 Y9-12 PCW20배관 양중 작업</t>
        </is>
      </c>
      <c r="I96" s="213" t="n"/>
      <c r="J96" s="213" t="n">
        <v>1</v>
      </c>
      <c r="K96" s="213" t="n"/>
      <c r="L96" s="213" t="n"/>
      <c r="M96" s="213" t="n"/>
      <c r="N96" s="214" t="n"/>
    </row>
    <row r="97" ht="20.1" customHeight="1" s="362">
      <c r="A97" s="211">
        <f>A96+1</f>
        <v/>
      </c>
      <c r="B97" s="215" t="inlineStr">
        <is>
          <t>한석현</t>
        </is>
      </c>
      <c r="C97" s="212" t="inlineStr">
        <is>
          <t>배관공</t>
        </is>
      </c>
      <c r="D97" s="212" t="inlineStr">
        <is>
          <t>PCW배관공사</t>
        </is>
      </c>
      <c r="E97" s="212" t="inlineStr">
        <is>
          <t>PCW배관공사</t>
        </is>
      </c>
      <c r="F97" s="212" t="inlineStr">
        <is>
          <t>A2-2. STS304 10S PIPING FOR 20℃ PCW</t>
        </is>
      </c>
      <c r="G97" s="212" t="inlineStr">
        <is>
          <t xml:space="preserve">F02 6F/PCW 20 배관 </t>
        </is>
      </c>
      <c r="H97" s="286" t="inlineStr">
        <is>
          <t>6F X33~34 Y9-12 PCW20배관 양중 작업</t>
        </is>
      </c>
      <c r="I97" s="213" t="n"/>
      <c r="J97" s="213" t="n">
        <v>1</v>
      </c>
      <c r="K97" s="213" t="n"/>
      <c r="L97" s="213" t="n"/>
      <c r="M97" s="213" t="n"/>
      <c r="N97" s="214" t="n"/>
    </row>
    <row r="98" ht="20.1" customHeight="1" s="362">
      <c r="A98" s="211">
        <f>A97+1</f>
        <v/>
      </c>
      <c r="B98" s="215" t="inlineStr">
        <is>
          <t>하재민</t>
        </is>
      </c>
      <c r="C98" s="212" t="inlineStr">
        <is>
          <t>보통인부</t>
        </is>
      </c>
      <c r="D98" s="212" t="inlineStr">
        <is>
          <t>PCW배관공사</t>
        </is>
      </c>
      <c r="E98" s="212" t="inlineStr">
        <is>
          <t>PCW배관공사</t>
        </is>
      </c>
      <c r="F98" s="212" t="inlineStr">
        <is>
          <t>A2-2. STS304 10S PIPING FOR 20℃ PCW</t>
        </is>
      </c>
      <c r="G98" s="212" t="inlineStr">
        <is>
          <t xml:space="preserve">F02 6F/PCW 20 배관 </t>
        </is>
      </c>
      <c r="H98" s="286" t="inlineStr">
        <is>
          <t>6F X33~34 Y9-12 PCW20배관 양중 작업</t>
        </is>
      </c>
      <c r="I98" s="213" t="n"/>
      <c r="J98" s="213" t="n">
        <v>1</v>
      </c>
      <c r="K98" s="213" t="n"/>
      <c r="L98" s="213" t="n"/>
      <c r="M98" s="213" t="n"/>
      <c r="N98" s="214" t="n"/>
    </row>
    <row r="99" ht="20.1" customHeight="1" s="362">
      <c r="A99" s="211">
        <f>A98+1</f>
        <v/>
      </c>
      <c r="B99" s="215" t="inlineStr">
        <is>
          <t>김희섭</t>
        </is>
      </c>
      <c r="C99" s="212" t="inlineStr">
        <is>
          <t>보통인부</t>
        </is>
      </c>
      <c r="D99" s="212" t="inlineStr">
        <is>
          <t>PCW배관공사</t>
        </is>
      </c>
      <c r="E99" s="212" t="inlineStr">
        <is>
          <t>PCW배관공사</t>
        </is>
      </c>
      <c r="F99" s="212" t="inlineStr">
        <is>
          <t>A2-2. STS304 10S PIPING FOR 20℃ PCW</t>
        </is>
      </c>
      <c r="G99" s="212" t="inlineStr">
        <is>
          <t xml:space="preserve">F02 6F/PCW 20 배관 </t>
        </is>
      </c>
      <c r="H99" s="286" t="inlineStr">
        <is>
          <t>6F X33~34 Y9-12 PCW20배관 양중 작업</t>
        </is>
      </c>
      <c r="I99" s="213" t="n"/>
      <c r="J99" s="213" t="n">
        <v>1</v>
      </c>
      <c r="K99" s="213" t="n"/>
      <c r="L99" s="213" t="n"/>
      <c r="M99" s="213" t="n"/>
      <c r="N99" s="214" t="n"/>
    </row>
    <row r="100" ht="20.1" customHeight="1" s="362">
      <c r="A100" s="211">
        <f>A99+1</f>
        <v/>
      </c>
      <c r="B100" s="215" t="inlineStr">
        <is>
          <t>최근준</t>
        </is>
      </c>
      <c r="C100" s="212" t="inlineStr">
        <is>
          <t>보통인부</t>
        </is>
      </c>
      <c r="D100" s="212" t="inlineStr">
        <is>
          <t>PCW배관공사</t>
        </is>
      </c>
      <c r="E100" s="212" t="inlineStr">
        <is>
          <t>PCW배관공사</t>
        </is>
      </c>
      <c r="F100" s="212" t="inlineStr">
        <is>
          <t>A2-2. STS304 10S PIPING FOR 20℃ PCW</t>
        </is>
      </c>
      <c r="G100" s="212" t="inlineStr">
        <is>
          <t xml:space="preserve">F02 6F/PCW 20 배관 </t>
        </is>
      </c>
      <c r="H100" s="286" t="inlineStr">
        <is>
          <t>6F X33~34 Y9-12 PCW20배관 양중 작업</t>
        </is>
      </c>
      <c r="I100" s="213" t="n"/>
      <c r="J100" s="213" t="n">
        <v>1</v>
      </c>
      <c r="K100" s="213" t="n"/>
      <c r="L100" s="213" t="n"/>
      <c r="M100" s="213" t="n"/>
      <c r="N100" s="214" t="n"/>
    </row>
    <row r="101" ht="20.1" customHeight="1" s="362">
      <c r="A101" s="211">
        <f>A100+1</f>
        <v/>
      </c>
      <c r="B101" s="215" t="inlineStr">
        <is>
          <t>이창숙</t>
        </is>
      </c>
      <c r="C101" s="212" t="inlineStr">
        <is>
          <t>보통인부</t>
        </is>
      </c>
      <c r="D101" s="212" t="inlineStr">
        <is>
          <t>PCW배관공사</t>
        </is>
      </c>
      <c r="E101" s="212" t="inlineStr">
        <is>
          <t>PCW배관공사</t>
        </is>
      </c>
      <c r="F101" s="212" t="inlineStr">
        <is>
          <t>A2-2. STS304 10S PIPING FOR 20℃ PCW</t>
        </is>
      </c>
      <c r="G101" s="212" t="inlineStr">
        <is>
          <t xml:space="preserve">F02 6F/PCW 20 배관 </t>
        </is>
      </c>
      <c r="H101" s="286" t="inlineStr">
        <is>
          <t>6F X33~34 Y9-12 PCW20배관 양중 작업</t>
        </is>
      </c>
      <c r="I101" s="213" t="n"/>
      <c r="J101" s="213" t="n">
        <v>1</v>
      </c>
      <c r="K101" s="213" t="n"/>
      <c r="L101" s="213" t="n"/>
      <c r="M101" s="213" t="n"/>
      <c r="N101" s="214" t="n"/>
    </row>
    <row r="102" ht="20.1" customHeight="1" s="362">
      <c r="A102" s="211">
        <f>A101+1</f>
        <v/>
      </c>
      <c r="B102" s="215" t="inlineStr">
        <is>
          <t>나성은</t>
        </is>
      </c>
      <c r="C102" s="212" t="inlineStr">
        <is>
          <t>유도원</t>
        </is>
      </c>
      <c r="D102" s="212" t="inlineStr">
        <is>
          <t>PCW배관공사</t>
        </is>
      </c>
      <c r="E102" s="212" t="inlineStr">
        <is>
          <t>PCW배관공사</t>
        </is>
      </c>
      <c r="F102" s="212" t="inlineStr">
        <is>
          <t>A2-2. STS304 10S PIPING FOR 20℃ PCW</t>
        </is>
      </c>
      <c r="G102" s="212" t="inlineStr">
        <is>
          <t xml:space="preserve">F02 6F/PCW 20 배관 </t>
        </is>
      </c>
      <c r="H102" s="286" t="inlineStr">
        <is>
          <t>6F X33~34 Y9-12 PCW20배관 양중 작업</t>
        </is>
      </c>
      <c r="I102" s="213" t="n"/>
      <c r="J102" s="213" t="n">
        <v>1</v>
      </c>
      <c r="K102" s="213" t="n"/>
      <c r="L102" s="213" t="n"/>
      <c r="M102" s="213" t="n"/>
      <c r="N102" s="214" t="n"/>
    </row>
    <row r="103" ht="20.1" customHeight="1" s="362">
      <c r="A103" s="211">
        <f>A102+1</f>
        <v/>
      </c>
      <c r="B103" s="215" t="inlineStr">
        <is>
          <t>이상옥</t>
        </is>
      </c>
      <c r="C103" s="212" t="inlineStr">
        <is>
          <t>배관공</t>
        </is>
      </c>
      <c r="D103" s="212" t="inlineStr">
        <is>
          <t>PCW배관공사</t>
        </is>
      </c>
      <c r="E103" s="212" t="inlineStr">
        <is>
          <t>PCW배관공사</t>
        </is>
      </c>
      <c r="F103" s="212" t="inlineStr">
        <is>
          <t>A2-2. STS304 10S PIPING FOR 20℃ PCW</t>
        </is>
      </c>
      <c r="G103" s="212" t="inlineStr">
        <is>
          <t xml:space="preserve">F02 6F/PCW 20 배관 </t>
        </is>
      </c>
      <c r="H103" s="286" t="inlineStr">
        <is>
          <t>6F X33~34 Y9-12 PCW20배관 양중 작업</t>
        </is>
      </c>
      <c r="I103" s="213" t="n"/>
      <c r="J103" s="213" t="n">
        <v>1</v>
      </c>
      <c r="K103" s="213" t="n"/>
      <c r="L103" s="213" t="n"/>
      <c r="M103" s="213" t="n"/>
      <c r="N103" s="214" t="n"/>
    </row>
    <row r="104" ht="20.1" customHeight="1" s="362">
      <c r="A104" s="211">
        <f>A103+1</f>
        <v/>
      </c>
      <c r="B104" s="215" t="inlineStr">
        <is>
          <t>신원준</t>
        </is>
      </c>
      <c r="C104" s="212" t="inlineStr">
        <is>
          <t>보통인부</t>
        </is>
      </c>
      <c r="D104" s="212" t="inlineStr">
        <is>
          <t>PCW배관공사</t>
        </is>
      </c>
      <c r="E104" s="212" t="inlineStr">
        <is>
          <t>PCW배관공사</t>
        </is>
      </c>
      <c r="F104" s="212" t="inlineStr">
        <is>
          <t>A2-2. STS304 10S PIPING FOR 20℃ PCW</t>
        </is>
      </c>
      <c r="G104" s="212" t="inlineStr">
        <is>
          <t xml:space="preserve">F02 6F/PCW 20 배관 </t>
        </is>
      </c>
      <c r="H104" s="286" t="inlineStr">
        <is>
          <t>6F X33~34 Y9-12 PCW20배관 양중 작업</t>
        </is>
      </c>
      <c r="I104" s="213" t="n"/>
      <c r="J104" s="213" t="n">
        <v>1</v>
      </c>
      <c r="K104" s="213" t="n"/>
      <c r="L104" s="213" t="n"/>
      <c r="M104" s="213" t="n"/>
      <c r="N104" s="214" t="n"/>
    </row>
    <row r="105" ht="20.1" customHeight="1" s="362">
      <c r="A105" s="211">
        <f>A104+1</f>
        <v/>
      </c>
      <c r="B105" s="215" t="inlineStr">
        <is>
          <t>최지영</t>
        </is>
      </c>
      <c r="C105" s="212" t="inlineStr">
        <is>
          <t>보통인부</t>
        </is>
      </c>
      <c r="D105" s="212" t="inlineStr">
        <is>
          <t>PCW배관공사</t>
        </is>
      </c>
      <c r="E105" s="212" t="inlineStr">
        <is>
          <t>PCW배관공사</t>
        </is>
      </c>
      <c r="F105" s="212" t="inlineStr">
        <is>
          <t>A2-2. STS304 10S PIPING FOR 20℃ PCW</t>
        </is>
      </c>
      <c r="G105" s="212" t="inlineStr">
        <is>
          <t xml:space="preserve">F02 6F/PCW 20 배관 </t>
        </is>
      </c>
      <c r="H105" s="286" t="inlineStr">
        <is>
          <t>6F X33~34 Y9-12 PCW20배관 양중 작업</t>
        </is>
      </c>
      <c r="I105" s="213" t="n"/>
      <c r="J105" s="213" t="n">
        <v>1</v>
      </c>
      <c r="K105" s="213" t="n"/>
      <c r="L105" s="213" t="n"/>
      <c r="M105" s="213" t="n"/>
      <c r="N105" s="214" t="n"/>
    </row>
    <row r="106" ht="20.1" customHeight="1" s="362">
      <c r="A106" s="211">
        <f>A105+1</f>
        <v/>
      </c>
      <c r="B106" s="215" t="inlineStr">
        <is>
          <t>이보름</t>
        </is>
      </c>
      <c r="C106" s="212" t="inlineStr">
        <is>
          <t>유도원</t>
        </is>
      </c>
      <c r="D106" s="212" t="inlineStr">
        <is>
          <t>PCW배관공사</t>
        </is>
      </c>
      <c r="E106" s="212" t="inlineStr">
        <is>
          <t>PCW배관공사</t>
        </is>
      </c>
      <c r="F106" s="212" t="inlineStr">
        <is>
          <t>A2-2. STS304 10S PIPING FOR 20℃ PCW</t>
        </is>
      </c>
      <c r="G106" s="212" t="inlineStr">
        <is>
          <t xml:space="preserve">F02 6F/PCW 20 배관 </t>
        </is>
      </c>
      <c r="H106" s="286" t="inlineStr">
        <is>
          <t>6F X33~34 Y9-12 PCW20배관 양중 작업</t>
        </is>
      </c>
      <c r="I106" s="213" t="n"/>
      <c r="J106" s="213" t="n">
        <v>1</v>
      </c>
      <c r="K106" s="213" t="n"/>
      <c r="L106" s="213" t="n"/>
      <c r="M106" s="213" t="n"/>
      <c r="N106" s="214" t="n"/>
    </row>
    <row r="107" ht="20.1" customHeight="1" s="362">
      <c r="A107" s="211">
        <f>A106+1</f>
        <v/>
      </c>
      <c r="B107" s="215" t="inlineStr">
        <is>
          <t>최병출</t>
        </is>
      </c>
      <c r="C107" s="212" t="inlineStr">
        <is>
          <t>배관공</t>
        </is>
      </c>
      <c r="D107" s="212" t="inlineStr">
        <is>
          <t>PCW배관공사</t>
        </is>
      </c>
      <c r="E107" s="212" t="inlineStr">
        <is>
          <t>PCW배관공사</t>
        </is>
      </c>
      <c r="F107" s="212" t="inlineStr">
        <is>
          <t>A2-2. STS304 10S PIPING FOR 20℃ PCW</t>
        </is>
      </c>
      <c r="G107" s="212" t="inlineStr">
        <is>
          <t xml:space="preserve">F02 6F/PCW 20 배관 </t>
        </is>
      </c>
      <c r="H107" s="286" t="inlineStr">
        <is>
          <t>6F X33~34 Y9-12 PCW20배관 양중 작업</t>
        </is>
      </c>
      <c r="I107" s="213" t="n"/>
      <c r="J107" s="213" t="n">
        <v>1</v>
      </c>
      <c r="K107" s="213" t="n"/>
      <c r="L107" s="213" t="n"/>
      <c r="M107" s="213" t="n"/>
      <c r="N107" s="214" t="n"/>
    </row>
    <row r="108" ht="20.1" customHeight="1" s="362">
      <c r="A108" s="211">
        <f>A107+1</f>
        <v/>
      </c>
      <c r="B108" s="215" t="inlineStr">
        <is>
          <t>김정우</t>
        </is>
      </c>
      <c r="C108" s="212" t="inlineStr">
        <is>
          <t>보통인부</t>
        </is>
      </c>
      <c r="D108" s="212" t="inlineStr">
        <is>
          <t>PCW배관공사</t>
        </is>
      </c>
      <c r="E108" s="212" t="inlineStr">
        <is>
          <t>PCW배관공사</t>
        </is>
      </c>
      <c r="F108" s="212" t="inlineStr">
        <is>
          <t>A2-2. STS304 10S PIPING FOR 20℃ PCW</t>
        </is>
      </c>
      <c r="G108" s="212" t="inlineStr">
        <is>
          <t xml:space="preserve">F02 6F/PCW 20 배관 </t>
        </is>
      </c>
      <c r="H108" s="286" t="inlineStr">
        <is>
          <t>6F X33~34 Y9-12 PCW20배관 양중 작업</t>
        </is>
      </c>
      <c r="I108" s="213" t="n"/>
      <c r="J108" s="213" t="n">
        <v>1</v>
      </c>
      <c r="K108" s="213" t="n"/>
      <c r="L108" s="213" t="n"/>
      <c r="M108" s="213" t="n"/>
      <c r="N108" s="214" t="n"/>
    </row>
    <row r="109" ht="20.1" customHeight="1" s="362">
      <c r="A109" s="211">
        <f>A108+1</f>
        <v/>
      </c>
      <c r="B109" s="215" t="inlineStr">
        <is>
          <t>김세웅</t>
        </is>
      </c>
      <c r="C109" s="212" t="inlineStr">
        <is>
          <t>보통인부</t>
        </is>
      </c>
      <c r="D109" s="212" t="inlineStr">
        <is>
          <t>PCW배관공사</t>
        </is>
      </c>
      <c r="E109" s="212" t="inlineStr">
        <is>
          <t>PCW배관공사</t>
        </is>
      </c>
      <c r="F109" s="212" t="inlineStr">
        <is>
          <t>A2-2. STS304 10S PIPING FOR 20℃ PCW</t>
        </is>
      </c>
      <c r="G109" s="212" t="inlineStr">
        <is>
          <t xml:space="preserve">F02 6F/PCW 20 배관 </t>
        </is>
      </c>
      <c r="H109" s="286" t="inlineStr">
        <is>
          <t>6F X33~34 Y9-12 PCW20배관 양중 작업</t>
        </is>
      </c>
      <c r="I109" s="213" t="n"/>
      <c r="J109" s="213" t="n">
        <v>1</v>
      </c>
      <c r="K109" s="213" t="n"/>
      <c r="L109" s="213" t="n"/>
      <c r="M109" s="213" t="n"/>
      <c r="N109" s="214" t="n"/>
    </row>
    <row r="110" ht="20.1" customHeight="1" s="362">
      <c r="A110" s="211">
        <f>A109+1</f>
        <v/>
      </c>
      <c r="B110" s="215" t="inlineStr">
        <is>
          <t>정효진</t>
        </is>
      </c>
      <c r="C110" s="212" t="inlineStr">
        <is>
          <t>유도원</t>
        </is>
      </c>
      <c r="D110" s="212" t="inlineStr">
        <is>
          <t>PCW배관공사</t>
        </is>
      </c>
      <c r="E110" s="212" t="inlineStr">
        <is>
          <t>PCW배관공사</t>
        </is>
      </c>
      <c r="F110" s="212" t="inlineStr">
        <is>
          <t>A2-2. STS304 10S PIPING FOR 20℃ PCW</t>
        </is>
      </c>
      <c r="G110" s="212" t="inlineStr">
        <is>
          <t xml:space="preserve">F02 6F/PCW 20 배관 </t>
        </is>
      </c>
      <c r="H110" s="286" t="inlineStr">
        <is>
          <t>6F X33~34 Y9-12 PCW20배관 양중 작업</t>
        </is>
      </c>
      <c r="I110" s="213" t="n"/>
      <c r="J110" s="213" t="n">
        <v>1</v>
      </c>
      <c r="K110" s="213" t="n"/>
      <c r="L110" s="213" t="n"/>
      <c r="M110" s="213" t="n"/>
      <c r="N110" s="214" t="n"/>
    </row>
    <row r="111" ht="20.1" customHeight="1" s="362">
      <c r="A111" s="211">
        <f>A110+1</f>
        <v/>
      </c>
      <c r="B111" s="215" t="inlineStr">
        <is>
          <t>김인식</t>
        </is>
      </c>
      <c r="C111" s="212" t="inlineStr">
        <is>
          <t>배관공</t>
        </is>
      </c>
      <c r="D111" s="212" t="inlineStr">
        <is>
          <t>PCW배관공사</t>
        </is>
      </c>
      <c r="E111" s="212" t="inlineStr">
        <is>
          <t>PCW배관공사</t>
        </is>
      </c>
      <c r="F111" s="212" t="inlineStr">
        <is>
          <t>A2-2. STS304 10S PIPING FOR 20℃ PCW</t>
        </is>
      </c>
      <c r="G111" s="212" t="inlineStr">
        <is>
          <t xml:space="preserve">F02 6F/PCW 20 배관 </t>
        </is>
      </c>
      <c r="H111" s="286" t="inlineStr">
        <is>
          <t>6F X33~34 Y9-12 PCW20배관 양중 작업</t>
        </is>
      </c>
      <c r="I111" s="213" t="n"/>
      <c r="J111" s="213" t="n">
        <v>1</v>
      </c>
      <c r="K111" s="213" t="n"/>
      <c r="L111" s="213" t="n"/>
      <c r="M111" s="213" t="n"/>
      <c r="N111" s="214" t="n"/>
    </row>
    <row r="112" ht="20.1" customHeight="1" s="362">
      <c r="A112" s="211">
        <f>A111+1</f>
        <v/>
      </c>
      <c r="B112" s="215" t="inlineStr">
        <is>
          <t>윤성길</t>
        </is>
      </c>
      <c r="C112" s="212" t="inlineStr">
        <is>
          <t>용접공</t>
        </is>
      </c>
      <c r="D112" s="212" t="inlineStr">
        <is>
          <t>PCW배관공사</t>
        </is>
      </c>
      <c r="E112" s="212" t="inlineStr">
        <is>
          <t>PCW배관공사</t>
        </is>
      </c>
      <c r="F112" s="212" t="inlineStr">
        <is>
          <t>A2-2. STS304 10S PIPING FOR 20℃ PCW</t>
        </is>
      </c>
      <c r="G112" s="212" t="inlineStr">
        <is>
          <t xml:space="preserve">F02 6F/PCW 20 배관 </t>
        </is>
      </c>
      <c r="H112" s="286" t="inlineStr">
        <is>
          <t>6F X33~34 Y9-12 PCW20배관 양중 작업</t>
        </is>
      </c>
      <c r="I112" s="213" t="n"/>
      <c r="J112" s="213" t="n">
        <v>1</v>
      </c>
      <c r="K112" s="213" t="n"/>
      <c r="L112" s="213" t="n"/>
      <c r="M112" s="213" t="n"/>
      <c r="N112" s="214" t="n"/>
    </row>
    <row r="113" ht="20.1" customHeight="1" s="362">
      <c r="A113" s="211">
        <f>A112+1</f>
        <v/>
      </c>
      <c r="B113" s="215" t="inlineStr">
        <is>
          <t>이선호</t>
        </is>
      </c>
      <c r="C113" s="212" t="inlineStr">
        <is>
          <t>용접공</t>
        </is>
      </c>
      <c r="D113" s="212" t="inlineStr">
        <is>
          <t>PCW배관공사</t>
        </is>
      </c>
      <c r="E113" s="212" t="inlineStr">
        <is>
          <t>PCW배관공사</t>
        </is>
      </c>
      <c r="F113" s="212" t="inlineStr">
        <is>
          <t>A2-2. STS304 10S PIPING FOR 20℃ PCW</t>
        </is>
      </c>
      <c r="G113" s="212" t="inlineStr">
        <is>
          <t xml:space="preserve">F02 6F/PCW 20 배관 </t>
        </is>
      </c>
      <c r="H113" s="286" t="inlineStr">
        <is>
          <t>6F X33~34 Y9-12 PCW20배관 양중 작업</t>
        </is>
      </c>
      <c r="I113" s="213" t="n"/>
      <c r="J113" s="213" t="n">
        <v>1</v>
      </c>
      <c r="K113" s="213" t="n"/>
      <c r="L113" s="213" t="n"/>
      <c r="M113" s="213" t="n"/>
      <c r="N113" s="214" t="n"/>
    </row>
    <row r="114" ht="20.1" customHeight="1" s="362">
      <c r="A114" s="211">
        <f>A113+1</f>
        <v/>
      </c>
      <c r="B114" s="215" t="inlineStr">
        <is>
          <t>송태진</t>
        </is>
      </c>
      <c r="C114" s="212" t="inlineStr">
        <is>
          <t>용접공</t>
        </is>
      </c>
      <c r="D114" s="212" t="inlineStr">
        <is>
          <t>PCW배관공사</t>
        </is>
      </c>
      <c r="E114" s="212" t="inlineStr">
        <is>
          <t>PCW배관공사</t>
        </is>
      </c>
      <c r="F114" s="212" t="inlineStr">
        <is>
          <t>A2-2. STS304 10S PIPING FOR 20℃ PCW</t>
        </is>
      </c>
      <c r="G114" s="212" t="inlineStr">
        <is>
          <t xml:space="preserve">F02 6F/PCW 20 배관 </t>
        </is>
      </c>
      <c r="H114" s="286" t="inlineStr">
        <is>
          <t>6F X33~34 Y9-12 PCW20배관 양중 작업</t>
        </is>
      </c>
      <c r="I114" s="213" t="n"/>
      <c r="J114" s="213" t="n">
        <v>1</v>
      </c>
      <c r="K114" s="213" t="n"/>
      <c r="L114" s="213" t="n"/>
      <c r="M114" s="213" t="n"/>
      <c r="N114" s="214" t="n"/>
    </row>
    <row r="115" ht="20.1" customHeight="1" s="362">
      <c r="A115" s="211">
        <f>A114+1</f>
        <v/>
      </c>
      <c r="B115" s="215" t="inlineStr">
        <is>
          <t>이덕성</t>
        </is>
      </c>
      <c r="C115" s="212" t="inlineStr">
        <is>
          <t>용접공</t>
        </is>
      </c>
      <c r="D115" s="212" t="inlineStr">
        <is>
          <t>PCW배관공사</t>
        </is>
      </c>
      <c r="E115" s="212" t="inlineStr">
        <is>
          <t>PCW배관공사</t>
        </is>
      </c>
      <c r="F115" s="212" t="inlineStr">
        <is>
          <t>A2-2. STS304 10S PIPING FOR 20℃ PCW</t>
        </is>
      </c>
      <c r="G115" s="212" t="inlineStr">
        <is>
          <t xml:space="preserve">F02 6F/PCW 20 배관 </t>
        </is>
      </c>
      <c r="H115" s="286" t="inlineStr">
        <is>
          <t>6F X33~34 Y9-12 PCW20배관 양중 작업</t>
        </is>
      </c>
      <c r="I115" s="213" t="n"/>
      <c r="J115" s="213" t="n">
        <v>1</v>
      </c>
      <c r="K115" s="213" t="n"/>
      <c r="L115" s="213" t="n"/>
      <c r="M115" s="213" t="n"/>
      <c r="N115" s="214" t="n"/>
    </row>
    <row r="116" ht="20.1" customHeight="1" s="362">
      <c r="A116" s="211">
        <f>A115+1</f>
        <v/>
      </c>
      <c r="B116" s="215" t="inlineStr">
        <is>
          <t>최원일</t>
        </is>
      </c>
      <c r="C116" s="212" t="inlineStr">
        <is>
          <t>용접공</t>
        </is>
      </c>
      <c r="D116" s="212" t="inlineStr">
        <is>
          <t>PCW배관공사</t>
        </is>
      </c>
      <c r="E116" s="212" t="inlineStr">
        <is>
          <t>PCW배관공사</t>
        </is>
      </c>
      <c r="F116" s="212" t="inlineStr">
        <is>
          <t>A2-2. STS304 10S PIPING FOR 20℃ PCW</t>
        </is>
      </c>
      <c r="G116" s="212" t="inlineStr">
        <is>
          <t xml:space="preserve">F02 6F/PCW 20 배관 </t>
        </is>
      </c>
      <c r="H116" s="286" t="inlineStr">
        <is>
          <t>6F X33~34 Y9-12 PCW20배관 양중 작업</t>
        </is>
      </c>
      <c r="I116" s="213" t="n"/>
      <c r="J116" s="213" t="n">
        <v>1</v>
      </c>
      <c r="K116" s="213" t="n"/>
      <c r="L116" s="213" t="n"/>
      <c r="M116" s="213" t="n"/>
      <c r="N116" s="214" t="n"/>
    </row>
    <row r="117" ht="20.1" customHeight="1" s="362">
      <c r="A117" s="211">
        <f>A116+1</f>
        <v/>
      </c>
      <c r="B117" s="215" t="inlineStr">
        <is>
          <t>노형식</t>
        </is>
      </c>
      <c r="C117" s="212" t="inlineStr">
        <is>
          <t>용접공</t>
        </is>
      </c>
      <c r="D117" s="212" t="inlineStr">
        <is>
          <t>PCW배관공사</t>
        </is>
      </c>
      <c r="E117" s="212" t="inlineStr">
        <is>
          <t>PCW배관공사</t>
        </is>
      </c>
      <c r="F117" s="212" t="inlineStr">
        <is>
          <t>A2-2. STS304 10S PIPING FOR 20℃ PCW</t>
        </is>
      </c>
      <c r="G117" s="212" t="inlineStr">
        <is>
          <t xml:space="preserve">F02 6F/PCW 20 배관 </t>
        </is>
      </c>
      <c r="H117" s="286" t="inlineStr">
        <is>
          <t>6F X33~34 Y9-12 PCW20배관 양중 작업</t>
        </is>
      </c>
      <c r="I117" s="213" t="n"/>
      <c r="J117" s="213" t="n">
        <v>1</v>
      </c>
      <c r="K117" s="213" t="n"/>
      <c r="L117" s="213" t="n"/>
      <c r="M117" s="213" t="n"/>
      <c r="N117" s="214" t="n"/>
    </row>
    <row r="118" ht="20.1" customHeight="1" s="362">
      <c r="A118" s="211">
        <f>A117+1</f>
        <v/>
      </c>
      <c r="B118" s="215" t="inlineStr">
        <is>
          <t>류두현</t>
        </is>
      </c>
      <c r="C118" s="212" t="inlineStr">
        <is>
          <t>용접공</t>
        </is>
      </c>
      <c r="D118" s="212" t="inlineStr">
        <is>
          <t>PCW배관공사</t>
        </is>
      </c>
      <c r="E118" s="212" t="inlineStr">
        <is>
          <t>PCW배관공사</t>
        </is>
      </c>
      <c r="F118" s="212" t="inlineStr">
        <is>
          <t>A2-2. STS304 10S PIPING FOR 20℃ PCW</t>
        </is>
      </c>
      <c r="G118" s="212" t="inlineStr">
        <is>
          <t xml:space="preserve">F02 6F/PCW 20 배관 </t>
        </is>
      </c>
      <c r="H118" s="286" t="inlineStr">
        <is>
          <t>6F X33~34 Y9-12 PCW20배관 양중 작업</t>
        </is>
      </c>
      <c r="I118" s="213" t="n"/>
      <c r="J118" s="213" t="n">
        <v>1</v>
      </c>
      <c r="K118" s="213" t="n"/>
      <c r="L118" s="213" t="n"/>
      <c r="M118" s="213" t="n"/>
      <c r="N118" s="214" t="n"/>
    </row>
    <row r="119" ht="20.1" customHeight="1" s="362">
      <c r="A119" s="211">
        <f>A118+1</f>
        <v/>
      </c>
      <c r="B119" s="215" t="inlineStr">
        <is>
          <t>이재광</t>
        </is>
      </c>
      <c r="C119" s="212" t="inlineStr">
        <is>
          <t>신호수</t>
        </is>
      </c>
      <c r="D119" s="212" t="inlineStr">
        <is>
          <t>PCW배관공사</t>
        </is>
      </c>
      <c r="E119" s="212" t="inlineStr">
        <is>
          <t>PCW배관공사</t>
        </is>
      </c>
      <c r="F119" s="212" t="inlineStr">
        <is>
          <t>A2-2. STS304 10S PIPING FOR 20℃ PCW</t>
        </is>
      </c>
      <c r="G119" s="212" t="inlineStr">
        <is>
          <t xml:space="preserve">F02 5F/PCW 20 배관 </t>
        </is>
      </c>
      <c r="H119" s="286" t="inlineStr">
        <is>
          <t>5F X46 9-12, X44-47, X47 Y5-8  PCW20배관 양중 작업</t>
        </is>
      </c>
      <c r="I119" s="213" t="n"/>
      <c r="J119" s="213" t="n">
        <v>1</v>
      </c>
      <c r="K119" s="213" t="n"/>
      <c r="L119" s="213" t="n"/>
      <c r="M119" s="213" t="n"/>
      <c r="N119" s="214" t="n"/>
    </row>
    <row r="120" ht="20.1" customHeight="1" s="362">
      <c r="A120" s="211">
        <f>A119+1</f>
        <v/>
      </c>
      <c r="B120" s="215" t="inlineStr">
        <is>
          <t>최관수</t>
        </is>
      </c>
      <c r="C120" s="212" t="inlineStr">
        <is>
          <t>보통인부</t>
        </is>
      </c>
      <c r="D120" s="212" t="inlineStr">
        <is>
          <t>PCW배관공사</t>
        </is>
      </c>
      <c r="E120" s="212" t="inlineStr">
        <is>
          <t>PCW배관공사</t>
        </is>
      </c>
      <c r="F120" s="212" t="inlineStr">
        <is>
          <t>A2-2. STS304 10S PIPING FOR 20℃ PCW</t>
        </is>
      </c>
      <c r="G120" s="212" t="inlineStr">
        <is>
          <t xml:space="preserve">F02 5F/PCW 20 배관 </t>
        </is>
      </c>
      <c r="H120" s="286" t="inlineStr">
        <is>
          <t>5F X46 9-12, X44-47, X47 Y5-8  PCW20배관 양중 작업</t>
        </is>
      </c>
      <c r="I120" s="213" t="n"/>
      <c r="J120" s="213" t="n">
        <v>1</v>
      </c>
      <c r="K120" s="213" t="n"/>
      <c r="L120" s="213" t="n"/>
      <c r="M120" s="213" t="n"/>
      <c r="N120" s="214" t="n"/>
    </row>
    <row r="121" ht="20.1" customHeight="1" s="362">
      <c r="A121" s="211">
        <f>A120+1</f>
        <v/>
      </c>
      <c r="B121" s="216" t="inlineStr">
        <is>
          <t>황창한</t>
        </is>
      </c>
      <c r="C121" s="284" t="inlineStr">
        <is>
          <t>보통인부</t>
        </is>
      </c>
      <c r="D121" s="212" t="inlineStr">
        <is>
          <t>PCW배관공사</t>
        </is>
      </c>
      <c r="E121" s="212" t="inlineStr">
        <is>
          <t>PCW배관공사</t>
        </is>
      </c>
      <c r="F121" s="212" t="inlineStr">
        <is>
          <t>A2-2. STS304 10S PIPING FOR 20℃ PCW</t>
        </is>
      </c>
      <c r="G121" s="212" t="inlineStr">
        <is>
          <t xml:space="preserve">F02 5F/PCW 20 배관 </t>
        </is>
      </c>
      <c r="H121" s="286" t="inlineStr">
        <is>
          <t>5F X46 9-12, X44-47, X47 Y5-8  PCW20배관 양중 작업</t>
        </is>
      </c>
      <c r="I121" s="213" t="n"/>
      <c r="J121" s="213" t="n">
        <v>1</v>
      </c>
      <c r="K121" s="213" t="n"/>
      <c r="L121" s="213" t="n"/>
      <c r="M121" s="213" t="n"/>
      <c r="N121" s="214" t="n"/>
    </row>
    <row r="122" ht="20.1" customHeight="1" s="362">
      <c r="A122" s="211">
        <f>A121+1</f>
        <v/>
      </c>
      <c r="B122" s="216" t="inlineStr">
        <is>
          <t>이지수</t>
        </is>
      </c>
      <c r="C122" s="284" t="inlineStr">
        <is>
          <t>보통인부</t>
        </is>
      </c>
      <c r="D122" s="212" t="inlineStr">
        <is>
          <t>PCW배관공사</t>
        </is>
      </c>
      <c r="E122" s="212" t="inlineStr">
        <is>
          <t>PCW배관공사</t>
        </is>
      </c>
      <c r="F122" s="212" t="inlineStr">
        <is>
          <t>A2-2. STS304 10S PIPING FOR 20℃ PCW</t>
        </is>
      </c>
      <c r="G122" s="212" t="inlineStr">
        <is>
          <t xml:space="preserve">F02 5F/PCW 20 배관 </t>
        </is>
      </c>
      <c r="H122" s="286" t="inlineStr">
        <is>
          <t>5F X46 9-12, X44-47, X47 Y5-8  PCW20배관 양중 작업</t>
        </is>
      </c>
      <c r="I122" s="213" t="n"/>
      <c r="J122" s="213" t="n">
        <v>1</v>
      </c>
      <c r="K122" s="213" t="n"/>
      <c r="L122" s="213" t="n"/>
      <c r="M122" s="213" t="n"/>
      <c r="N122" s="214" t="n"/>
    </row>
    <row r="123" ht="20.1" customHeight="1" s="362">
      <c r="A123" s="211">
        <f>A122+1</f>
        <v/>
      </c>
      <c r="B123" s="216" t="inlineStr">
        <is>
          <t>정재인</t>
        </is>
      </c>
      <c r="C123" s="284" t="inlineStr">
        <is>
          <t>보통인부</t>
        </is>
      </c>
      <c r="D123" s="212" t="inlineStr">
        <is>
          <t>PCW배관공사</t>
        </is>
      </c>
      <c r="E123" s="212" t="inlineStr">
        <is>
          <t>PCW배관공사</t>
        </is>
      </c>
      <c r="F123" s="212" t="inlineStr">
        <is>
          <t>A2-2. STS304 10S PIPING FOR 20℃ PCW</t>
        </is>
      </c>
      <c r="G123" s="212" t="inlineStr">
        <is>
          <t xml:space="preserve">F02 5F/PCW 20 배관 </t>
        </is>
      </c>
      <c r="H123" s="286" t="inlineStr">
        <is>
          <t>5F X46 9-12, X44-47, X47 Y5-8  PCW20배관 양중 작업</t>
        </is>
      </c>
      <c r="I123" s="213" t="n"/>
      <c r="J123" s="213" t="n">
        <v>1</v>
      </c>
      <c r="K123" s="213" t="n"/>
      <c r="L123" s="213" t="n"/>
      <c r="M123" s="213" t="n"/>
      <c r="N123" s="214" t="n"/>
    </row>
    <row r="124" ht="20.1" customHeight="1" s="362">
      <c r="A124" s="211">
        <f>A123+1</f>
        <v/>
      </c>
      <c r="B124" s="216" t="inlineStr">
        <is>
          <t>조민규</t>
        </is>
      </c>
      <c r="C124" s="284" t="inlineStr">
        <is>
          <t>보통인부</t>
        </is>
      </c>
      <c r="D124" s="212" t="inlineStr">
        <is>
          <t>PCW배관공사</t>
        </is>
      </c>
      <c r="E124" s="212" t="inlineStr">
        <is>
          <t>PCW배관공사</t>
        </is>
      </c>
      <c r="F124" s="212" t="inlineStr">
        <is>
          <t>A2-2. STS304 10S PIPING FOR 20℃ PCW</t>
        </is>
      </c>
      <c r="G124" s="212" t="inlineStr">
        <is>
          <t xml:space="preserve">F02 5F/PCW 20 배관 </t>
        </is>
      </c>
      <c r="H124" s="286" t="inlineStr">
        <is>
          <t>5F X46 9-12, X44-47, X47 Y5-8  PCW20배관 양중 작업</t>
        </is>
      </c>
      <c r="I124" s="213" t="n"/>
      <c r="J124" s="213" t="n">
        <v>1</v>
      </c>
      <c r="K124" s="213" t="n"/>
      <c r="L124" s="213" t="n"/>
      <c r="M124" s="213" t="n"/>
      <c r="N124" s="214" t="n"/>
    </row>
    <row r="125" ht="20.1" customHeight="1" s="362">
      <c r="A125" s="211">
        <f>A124+1</f>
        <v/>
      </c>
      <c r="B125" s="216" t="inlineStr">
        <is>
          <t>박성식</t>
        </is>
      </c>
      <c r="C125" s="284" t="inlineStr">
        <is>
          <t>보통인부</t>
        </is>
      </c>
      <c r="D125" s="212" t="inlineStr">
        <is>
          <t>PCW배관공사</t>
        </is>
      </c>
      <c r="E125" s="212" t="inlineStr">
        <is>
          <t>PCW배관공사</t>
        </is>
      </c>
      <c r="F125" s="212" t="inlineStr">
        <is>
          <t>A2-2. STS304 10S PIPING FOR 20℃ PCW</t>
        </is>
      </c>
      <c r="G125" s="212" t="inlineStr">
        <is>
          <t xml:space="preserve">F02 5F/PCW 20 배관 </t>
        </is>
      </c>
      <c r="H125" s="286" t="inlineStr">
        <is>
          <t>5F X46 9-12, X44-47, X47 Y5-8  PCW20배관 양중 작업</t>
        </is>
      </c>
      <c r="I125" s="213" t="n"/>
      <c r="J125" s="213" t="n">
        <v>1</v>
      </c>
      <c r="K125" s="213" t="n"/>
      <c r="L125" s="213" t="n"/>
      <c r="M125" s="213" t="n"/>
      <c r="N125" s="214" t="n"/>
    </row>
    <row r="126" ht="20.1" customHeight="1" s="362">
      <c r="A126" s="211">
        <f>A125+1</f>
        <v/>
      </c>
      <c r="B126" s="216" t="inlineStr">
        <is>
          <t>최재봉</t>
        </is>
      </c>
      <c r="C126" s="284" t="inlineStr">
        <is>
          <t>보통인부</t>
        </is>
      </c>
      <c r="D126" s="212" t="inlineStr">
        <is>
          <t>PCW배관공사</t>
        </is>
      </c>
      <c r="E126" s="212" t="inlineStr">
        <is>
          <t>PCW배관공사</t>
        </is>
      </c>
      <c r="F126" s="212" t="inlineStr">
        <is>
          <t>A2-2. STS304 10S PIPING FOR 20℃ PCW</t>
        </is>
      </c>
      <c r="G126" s="212" t="inlineStr">
        <is>
          <t xml:space="preserve">F02 5F/PCW 20 배관 </t>
        </is>
      </c>
      <c r="H126" s="286" t="inlineStr">
        <is>
          <t>5F X46 9-12, X44-47, X47 Y5-8  PCW20배관 양중 작업</t>
        </is>
      </c>
      <c r="I126" s="213" t="n"/>
      <c r="J126" s="213" t="n">
        <v>1</v>
      </c>
      <c r="K126" s="213" t="n"/>
      <c r="L126" s="213" t="n"/>
      <c r="M126" s="213" t="n"/>
      <c r="N126" s="214" t="n"/>
    </row>
    <row r="127" ht="20.1" customHeight="1" s="362">
      <c r="A127" s="211">
        <f>A126+1</f>
        <v/>
      </c>
      <c r="B127" s="284" t="inlineStr">
        <is>
          <t>김보산</t>
        </is>
      </c>
      <c r="C127" s="284" t="inlineStr">
        <is>
          <t>보통인부</t>
        </is>
      </c>
      <c r="D127" s="212" t="inlineStr">
        <is>
          <t>PCW배관공사</t>
        </is>
      </c>
      <c r="E127" s="212" t="inlineStr">
        <is>
          <t>PCW배관공사</t>
        </is>
      </c>
      <c r="F127" s="212" t="inlineStr">
        <is>
          <t>A2-2. STS304 10S PIPING FOR 20℃ PCW</t>
        </is>
      </c>
      <c r="G127" s="212" t="inlineStr">
        <is>
          <t xml:space="preserve">F02 5F/PCW 20 배관 </t>
        </is>
      </c>
      <c r="H127" s="286" t="inlineStr">
        <is>
          <t>5F X46 9-12, X44-47, X47 Y5-8  PCW20배관 양중 작업</t>
        </is>
      </c>
      <c r="I127" s="213" t="n"/>
      <c r="J127" s="213" t="n">
        <v>1</v>
      </c>
      <c r="K127" s="213" t="n"/>
      <c r="L127" s="213" t="n"/>
      <c r="M127" s="213" t="n"/>
      <c r="N127" s="214" t="n"/>
    </row>
    <row r="128" ht="20.1" customHeight="1" s="362">
      <c r="A128" s="211">
        <f>A127+1</f>
        <v/>
      </c>
      <c r="B128" s="284" t="inlineStr">
        <is>
          <t>서형걸</t>
        </is>
      </c>
      <c r="C128" s="284" t="inlineStr">
        <is>
          <t>보통인부</t>
        </is>
      </c>
      <c r="D128" s="212" t="inlineStr">
        <is>
          <t>PCW배관공사</t>
        </is>
      </c>
      <c r="E128" s="212" t="inlineStr">
        <is>
          <t>PCW배관공사</t>
        </is>
      </c>
      <c r="F128" s="212" t="inlineStr">
        <is>
          <t>A2-2. STS304 10S PIPING FOR 20℃ PCW</t>
        </is>
      </c>
      <c r="G128" s="212" t="inlineStr">
        <is>
          <t xml:space="preserve">F02 5F/PCW 20 배관 </t>
        </is>
      </c>
      <c r="H128" s="286" t="inlineStr">
        <is>
          <t>5F X46 9-12, X44-47, X47 Y5-8  PCW20배관 양중 작업</t>
        </is>
      </c>
      <c r="I128" s="213" t="n"/>
      <c r="J128" s="213" t="n">
        <v>1</v>
      </c>
      <c r="K128" s="213" t="n"/>
      <c r="L128" s="213" t="n"/>
      <c r="M128" s="213" t="n"/>
      <c r="N128" s="214" t="n"/>
    </row>
    <row r="129" ht="20.1" customHeight="1" s="362">
      <c r="A129" s="211">
        <f>A128+1</f>
        <v/>
      </c>
      <c r="B129" s="284" t="inlineStr">
        <is>
          <t>서태준</t>
        </is>
      </c>
      <c r="C129" s="284" t="inlineStr">
        <is>
          <t>보통인부</t>
        </is>
      </c>
      <c r="D129" s="212" t="inlineStr">
        <is>
          <t>PCW배관공사</t>
        </is>
      </c>
      <c r="E129" s="212" t="inlineStr">
        <is>
          <t>PCW배관공사</t>
        </is>
      </c>
      <c r="F129" s="212" t="inlineStr">
        <is>
          <t>A2-2. STS304 10S PIPING FOR 20℃ PCW</t>
        </is>
      </c>
      <c r="G129" s="212" t="inlineStr">
        <is>
          <t xml:space="preserve">F02 5F/PCW 20 배관 </t>
        </is>
      </c>
      <c r="H129" s="286" t="inlineStr">
        <is>
          <t>5F X46 9-12, X44-47, X47 Y5-8  PCW20배관 양중 작업</t>
        </is>
      </c>
      <c r="I129" s="213" t="n"/>
      <c r="J129" s="213" t="n">
        <v>1</v>
      </c>
      <c r="K129" s="213" t="n"/>
      <c r="L129" s="213" t="n"/>
      <c r="M129" s="213" t="n"/>
      <c r="N129" s="214" t="n"/>
    </row>
    <row r="130" ht="20.1" customHeight="1" s="362">
      <c r="A130" s="211">
        <f>A129+1</f>
        <v/>
      </c>
      <c r="B130" s="284" t="inlineStr">
        <is>
          <t>김견희</t>
        </is>
      </c>
      <c r="C130" s="284" t="inlineStr">
        <is>
          <t>유도원</t>
        </is>
      </c>
      <c r="D130" s="212" t="inlineStr">
        <is>
          <t>PCW배관공사</t>
        </is>
      </c>
      <c r="E130" s="212" t="inlineStr">
        <is>
          <t>PCW배관공사</t>
        </is>
      </c>
      <c r="F130" s="212" t="inlineStr">
        <is>
          <t>A2-2. STS304 10S PIPING FOR 20℃ PCW</t>
        </is>
      </c>
      <c r="G130" s="212" t="inlineStr">
        <is>
          <t xml:space="preserve">F02 5F/PCW 20 배관 </t>
        </is>
      </c>
      <c r="H130" s="286" t="inlineStr">
        <is>
          <t>5F X46 9-12, X44-47, X47 Y5-8  PCW20배관 양중 작업</t>
        </is>
      </c>
      <c r="I130" s="213" t="n"/>
      <c r="J130" s="213" t="n">
        <v>1</v>
      </c>
      <c r="K130" s="213" t="n"/>
      <c r="L130" s="213" t="n"/>
      <c r="M130" s="213" t="n"/>
      <c r="N130" s="214" t="n"/>
    </row>
    <row r="131" ht="20.1" customHeight="1" s="362">
      <c r="A131" s="211">
        <f>A130+1</f>
        <v/>
      </c>
      <c r="B131" s="284" t="inlineStr">
        <is>
          <t>이향석</t>
        </is>
      </c>
      <c r="C131" s="284" t="inlineStr">
        <is>
          <t>유도원</t>
        </is>
      </c>
      <c r="D131" s="212" t="inlineStr">
        <is>
          <t>PCW배관공사</t>
        </is>
      </c>
      <c r="E131" s="212" t="inlineStr">
        <is>
          <t>PCW배관공사</t>
        </is>
      </c>
      <c r="F131" s="212" t="inlineStr">
        <is>
          <t>A2-2. STS304 10S PIPING FOR 20℃ PCW</t>
        </is>
      </c>
      <c r="G131" s="212" t="inlineStr">
        <is>
          <t xml:space="preserve">F02 5F/PCW 20 배관 </t>
        </is>
      </c>
      <c r="H131" s="286" t="inlineStr">
        <is>
          <t>5F X46 9-12, X44-47, X47 Y5-8  PCW20배관 양중 작업</t>
        </is>
      </c>
      <c r="I131" s="213" t="n"/>
      <c r="J131" s="213" t="n">
        <v>1</v>
      </c>
      <c r="K131" s="213" t="n"/>
      <c r="L131" s="213" t="n"/>
      <c r="M131" s="213" t="n"/>
      <c r="N131" s="214" t="n"/>
    </row>
    <row r="132" ht="20.1" customHeight="1" s="362">
      <c r="A132" s="211">
        <f>A131+1</f>
        <v/>
      </c>
      <c r="B132" s="284" t="inlineStr">
        <is>
          <t>주선호</t>
        </is>
      </c>
      <c r="C132" s="284" t="inlineStr">
        <is>
          <t>배관공</t>
        </is>
      </c>
      <c r="D132" s="212" t="inlineStr">
        <is>
          <t>PCW배관공사</t>
        </is>
      </c>
      <c r="E132" s="212" t="inlineStr">
        <is>
          <t>PCW배관공사</t>
        </is>
      </c>
      <c r="F132" s="212" t="inlineStr">
        <is>
          <t>A2-2. STS304 10S PIPING FOR 20℃ PCW</t>
        </is>
      </c>
      <c r="G132" s="212" t="inlineStr">
        <is>
          <t xml:space="preserve">F02 5F/PCW 20 배관 </t>
        </is>
      </c>
      <c r="H132" s="286" t="inlineStr">
        <is>
          <t>5F X46 9-12, X44-47, X47 Y5-8  PCW20배관 양중 작업</t>
        </is>
      </c>
      <c r="I132" s="213" t="n"/>
      <c r="J132" s="213" t="n">
        <v>1</v>
      </c>
      <c r="K132" s="213" t="n"/>
      <c r="L132" s="213" t="n"/>
      <c r="M132" s="213" t="n"/>
      <c r="N132" s="214" t="n"/>
    </row>
    <row r="133" ht="20.1" customHeight="1" s="362">
      <c r="A133" s="211">
        <f>A132+1</f>
        <v/>
      </c>
      <c r="B133" s="284" t="inlineStr">
        <is>
          <t>신형식</t>
        </is>
      </c>
      <c r="C133" s="284" t="inlineStr">
        <is>
          <t>배관공</t>
        </is>
      </c>
      <c r="D133" s="212" t="inlineStr">
        <is>
          <t>PCW배관공사</t>
        </is>
      </c>
      <c r="E133" s="212" t="inlineStr">
        <is>
          <t>PCW배관공사</t>
        </is>
      </c>
      <c r="F133" s="212" t="inlineStr">
        <is>
          <t>A2-2. STS304 10S PIPING FOR 20℃ PCW</t>
        </is>
      </c>
      <c r="G133" s="212" t="inlineStr">
        <is>
          <t xml:space="preserve">F02 5F/PCW 20 배관 </t>
        </is>
      </c>
      <c r="H133" s="286" t="inlineStr">
        <is>
          <t>5F X46 9-12, X44-47, X47 Y5-8  PCW20배관 양중 작업</t>
        </is>
      </c>
      <c r="I133" s="213" t="n"/>
      <c r="J133" s="213" t="n">
        <v>1</v>
      </c>
      <c r="K133" s="213" t="n"/>
      <c r="L133" s="213" t="n"/>
      <c r="M133" s="213" t="n"/>
      <c r="N133" s="214" t="n"/>
    </row>
    <row r="134" ht="20.1" customHeight="1" s="362">
      <c r="A134" s="211">
        <f>A133+1</f>
        <v/>
      </c>
      <c r="B134" s="284" t="inlineStr">
        <is>
          <t>권예지</t>
        </is>
      </c>
      <c r="C134" s="284" t="inlineStr">
        <is>
          <t>보통인부</t>
        </is>
      </c>
      <c r="D134" s="212" t="inlineStr">
        <is>
          <t>PCW배관공사</t>
        </is>
      </c>
      <c r="E134" s="212" t="inlineStr">
        <is>
          <t>PCW배관공사</t>
        </is>
      </c>
      <c r="F134" s="212" t="inlineStr">
        <is>
          <t>A2-2. STS304 10S PIPING FOR 20℃ PCW</t>
        </is>
      </c>
      <c r="G134" s="212" t="inlineStr">
        <is>
          <t xml:space="preserve">F02 5F/PCW 20 배관 </t>
        </is>
      </c>
      <c r="H134" s="286" t="inlineStr">
        <is>
          <t>5F X46 9-12, X44-47, X47 Y5-8  PCW20배관 양중 작업</t>
        </is>
      </c>
      <c r="I134" s="213" t="n"/>
      <c r="J134" s="213" t="n">
        <v>1</v>
      </c>
      <c r="K134" s="213" t="n"/>
      <c r="L134" s="213" t="n"/>
      <c r="M134" s="213" t="n"/>
      <c r="N134" s="214" t="n"/>
    </row>
    <row r="135" ht="20.1" customHeight="1" s="362">
      <c r="A135" s="211">
        <f>A134+1</f>
        <v/>
      </c>
      <c r="B135" s="284" t="inlineStr">
        <is>
          <t>이철진</t>
        </is>
      </c>
      <c r="C135" s="284" t="inlineStr">
        <is>
          <t>배관공</t>
        </is>
      </c>
      <c r="D135" s="212" t="inlineStr">
        <is>
          <t>PCW배관공사</t>
        </is>
      </c>
      <c r="E135" s="212" t="inlineStr">
        <is>
          <t>PCW배관공사</t>
        </is>
      </c>
      <c r="F135" s="212" t="inlineStr">
        <is>
          <t>A2-2. STS304 10S PIPING FOR 20℃ PCW</t>
        </is>
      </c>
      <c r="G135" s="212" t="inlineStr">
        <is>
          <t xml:space="preserve">F02 5F/PCW 20 배관 </t>
        </is>
      </c>
      <c r="H135" s="286" t="inlineStr">
        <is>
          <t>5F X46 9-12, X44-47, X47 Y5-8  PCW20배관 양중 작업</t>
        </is>
      </c>
      <c r="I135" s="213" t="n"/>
      <c r="J135" s="213" t="n">
        <v>1</v>
      </c>
      <c r="K135" s="213" t="n"/>
      <c r="L135" s="213" t="n"/>
      <c r="M135" s="213" t="n"/>
      <c r="N135" s="214" t="n"/>
    </row>
    <row r="136" ht="20.1" customHeight="1" s="362">
      <c r="A136" s="211">
        <f>A135+1</f>
        <v/>
      </c>
      <c r="B136" s="284" t="inlineStr">
        <is>
          <t>윤영학</t>
        </is>
      </c>
      <c r="C136" s="284" t="inlineStr">
        <is>
          <t>보통인부</t>
        </is>
      </c>
      <c r="D136" s="212" t="inlineStr">
        <is>
          <t>PCW배관공사</t>
        </is>
      </c>
      <c r="E136" s="212" t="inlineStr">
        <is>
          <t>PCW배관공사</t>
        </is>
      </c>
      <c r="F136" s="212" t="inlineStr">
        <is>
          <t>A2-2. STS304 10S PIPING FOR 20℃ PCW</t>
        </is>
      </c>
      <c r="G136" s="212" t="inlineStr">
        <is>
          <t xml:space="preserve">F02 5F/PCW 20 배관 </t>
        </is>
      </c>
      <c r="H136" s="286" t="inlineStr">
        <is>
          <t>5F X46 9-12, X44-47, X47 Y5-8  PCW20배관 양중 작업</t>
        </is>
      </c>
      <c r="I136" s="213" t="n"/>
      <c r="J136" s="213" t="n">
        <v>1</v>
      </c>
      <c r="K136" s="213" t="n"/>
      <c r="L136" s="213" t="n"/>
      <c r="M136" s="213" t="n"/>
      <c r="N136" s="214" t="n"/>
    </row>
    <row r="137" ht="20.1" customHeight="1" s="362">
      <c r="A137" s="211">
        <f>A136+1</f>
        <v/>
      </c>
      <c r="B137" s="284" t="inlineStr">
        <is>
          <t>고덕철</t>
        </is>
      </c>
      <c r="C137" s="284" t="inlineStr">
        <is>
          <t>보통인부</t>
        </is>
      </c>
      <c r="D137" s="212" t="inlineStr">
        <is>
          <t>PCW배관공사</t>
        </is>
      </c>
      <c r="E137" s="212" t="inlineStr">
        <is>
          <t>PCW배관공사</t>
        </is>
      </c>
      <c r="F137" s="212" t="inlineStr">
        <is>
          <t>A2-2. STS304 10S PIPING FOR 20℃ PCW</t>
        </is>
      </c>
      <c r="G137" s="212" t="inlineStr">
        <is>
          <t xml:space="preserve">F02 5F/PCW 20 배관 </t>
        </is>
      </c>
      <c r="H137" s="286" t="inlineStr">
        <is>
          <t>5F X46 9-12, X44-47, X47 Y5-8  PCW20배관 양중 작업</t>
        </is>
      </c>
      <c r="I137" s="213" t="n"/>
      <c r="J137" s="213" t="n">
        <v>1</v>
      </c>
      <c r="K137" s="213" t="n"/>
      <c r="L137" s="213" t="n"/>
      <c r="M137" s="213" t="n"/>
      <c r="N137" s="214" t="n"/>
    </row>
    <row r="138" ht="20.1" customHeight="1" s="362">
      <c r="A138" s="211">
        <f>A137+1</f>
        <v/>
      </c>
      <c r="B138" s="284" t="inlineStr">
        <is>
          <t>유완철</t>
        </is>
      </c>
      <c r="C138" s="284" t="inlineStr">
        <is>
          <t>보통인부</t>
        </is>
      </c>
      <c r="D138" s="212" t="inlineStr">
        <is>
          <t>PCW배관공사</t>
        </is>
      </c>
      <c r="E138" s="212" t="inlineStr">
        <is>
          <t>PCW배관공사</t>
        </is>
      </c>
      <c r="F138" s="212" t="inlineStr">
        <is>
          <t>A2-2. STS304 10S PIPING FOR 20℃ PCW</t>
        </is>
      </c>
      <c r="G138" s="212" t="inlineStr">
        <is>
          <t xml:space="preserve">F02 5F/PCW 20 배관 </t>
        </is>
      </c>
      <c r="H138" s="286" t="inlineStr">
        <is>
          <t>5F X46 9-12, X44-47, X47 Y5-8  PCW20배관 양중 작업</t>
        </is>
      </c>
      <c r="I138" s="213" t="n"/>
      <c r="J138" s="213" t="n">
        <v>1</v>
      </c>
      <c r="K138" s="213" t="n"/>
      <c r="L138" s="213" t="n"/>
      <c r="M138" s="213" t="n"/>
      <c r="N138" s="214" t="n"/>
    </row>
    <row r="139" ht="20.1" customHeight="1" s="362">
      <c r="A139" s="211">
        <f>A138+1</f>
        <v/>
      </c>
      <c r="B139" s="284" t="inlineStr">
        <is>
          <t>김현지</t>
        </is>
      </c>
      <c r="C139" s="284" t="inlineStr">
        <is>
          <t>유도원</t>
        </is>
      </c>
      <c r="D139" s="212" t="inlineStr">
        <is>
          <t>PCW배관공사</t>
        </is>
      </c>
      <c r="E139" s="212" t="inlineStr">
        <is>
          <t>PCW배관공사</t>
        </is>
      </c>
      <c r="F139" s="212" t="inlineStr">
        <is>
          <t>A2-2. STS304 10S PIPING FOR 20℃ PCW</t>
        </is>
      </c>
      <c r="G139" s="212" t="inlineStr">
        <is>
          <t xml:space="preserve">F02 5F/PCW 20 배관 </t>
        </is>
      </c>
      <c r="H139" s="286" t="inlineStr">
        <is>
          <t>5F X46 9-12, X44-47, X47 Y5-8  PCW20배관 양중 작업</t>
        </is>
      </c>
      <c r="I139" s="213" t="n"/>
      <c r="J139" s="213" t="n">
        <v>1</v>
      </c>
      <c r="K139" s="213" t="n"/>
      <c r="L139" s="213" t="n"/>
      <c r="M139" s="213" t="n"/>
      <c r="N139" s="214" t="n"/>
    </row>
    <row r="140" ht="20.1" customHeight="1" s="362">
      <c r="A140" s="211">
        <f>A139+1</f>
        <v/>
      </c>
      <c r="B140" s="284" t="inlineStr">
        <is>
          <t>김영희</t>
        </is>
      </c>
      <c r="C140" s="284" t="inlineStr">
        <is>
          <t>유도원</t>
        </is>
      </c>
      <c r="D140" s="212" t="inlineStr">
        <is>
          <t>PCW배관공사</t>
        </is>
      </c>
      <c r="E140" s="212" t="inlineStr">
        <is>
          <t>PCW배관공사</t>
        </is>
      </c>
      <c r="F140" s="212" t="inlineStr">
        <is>
          <t>A2-2. STS304 10S PIPING FOR 20℃ PCW</t>
        </is>
      </c>
      <c r="G140" s="212" t="inlineStr">
        <is>
          <t xml:space="preserve">F02 5F/PCW 20 배관 </t>
        </is>
      </c>
      <c r="H140" s="286" t="inlineStr">
        <is>
          <t>5F X46 9-12, X44-47, X47 Y5-8  PCW20배관 양중 작업</t>
        </is>
      </c>
      <c r="I140" s="213" t="n"/>
      <c r="J140" s="213" t="n">
        <v>1</v>
      </c>
      <c r="K140" s="213" t="n"/>
      <c r="L140" s="213" t="n"/>
      <c r="M140" s="213" t="n"/>
      <c r="N140" s="214" t="n"/>
    </row>
    <row r="141" ht="20.1" customHeight="1" s="362">
      <c r="A141" s="211">
        <f>A140+1</f>
        <v/>
      </c>
      <c r="B141" s="284" t="inlineStr">
        <is>
          <t>이주현</t>
        </is>
      </c>
      <c r="C141" s="284" t="inlineStr">
        <is>
          <t>배관공</t>
        </is>
      </c>
      <c r="D141" s="212" t="inlineStr">
        <is>
          <t>PCW배관공사</t>
        </is>
      </c>
      <c r="E141" s="212" t="inlineStr">
        <is>
          <t>PCW배관공사</t>
        </is>
      </c>
      <c r="F141" s="212" t="inlineStr">
        <is>
          <t>A2-2. STS304 10S PIPING FOR 20℃ PCW</t>
        </is>
      </c>
      <c r="G141" s="212" t="inlineStr">
        <is>
          <t xml:space="preserve">F02 5F/PCW 20 배관 </t>
        </is>
      </c>
      <c r="H141" s="286" t="inlineStr">
        <is>
          <t>5F X46 9-12, X44-47, X47 Y5-8  PCW20배관 양중 작업</t>
        </is>
      </c>
      <c r="I141" s="213" t="n"/>
      <c r="J141" s="213" t="n">
        <v>1</v>
      </c>
      <c r="K141" s="213" t="n"/>
      <c r="L141" s="213" t="n"/>
      <c r="M141" s="213" t="n"/>
      <c r="N141" s="214" t="n"/>
    </row>
    <row r="142" ht="20.1" customHeight="1" s="362">
      <c r="A142" s="211">
        <f>A141+1</f>
        <v/>
      </c>
      <c r="B142" s="284" t="inlineStr">
        <is>
          <t>정미경</t>
        </is>
      </c>
      <c r="C142" s="284" t="inlineStr">
        <is>
          <t>보통인부</t>
        </is>
      </c>
      <c r="D142" s="212" t="inlineStr">
        <is>
          <t>PCW배관공사</t>
        </is>
      </c>
      <c r="E142" s="212" t="inlineStr">
        <is>
          <t>PCW배관공사</t>
        </is>
      </c>
      <c r="F142" s="212" t="inlineStr">
        <is>
          <t>A2-2. STS304 10S PIPING FOR 20℃ PCW</t>
        </is>
      </c>
      <c r="G142" s="212" t="inlineStr">
        <is>
          <t xml:space="preserve">F02 5F/PCW 20 배관 </t>
        </is>
      </c>
      <c r="H142" s="286" t="inlineStr">
        <is>
          <t>5F X46 9-12, X44-47, X47 Y5-8  PCW20배관 양중 작업</t>
        </is>
      </c>
      <c r="I142" s="213" t="n"/>
      <c r="J142" s="213" t="n">
        <v>1</v>
      </c>
      <c r="K142" s="213" t="n"/>
      <c r="L142" s="213" t="n"/>
      <c r="M142" s="213" t="n"/>
      <c r="N142" s="214" t="n"/>
    </row>
    <row r="143" ht="20.1" customHeight="1" s="362">
      <c r="A143" s="211">
        <f>A142+1</f>
        <v/>
      </c>
      <c r="B143" s="284" t="inlineStr">
        <is>
          <t>아한우</t>
        </is>
      </c>
      <c r="C143" s="284" t="inlineStr">
        <is>
          <t>보통인부</t>
        </is>
      </c>
      <c r="D143" s="212" t="inlineStr">
        <is>
          <t>PCW배관공사</t>
        </is>
      </c>
      <c r="E143" s="212" t="inlineStr">
        <is>
          <t>PCW배관공사</t>
        </is>
      </c>
      <c r="F143" s="212" t="inlineStr">
        <is>
          <t>A2-2. STS304 10S PIPING FOR 20℃ PCW</t>
        </is>
      </c>
      <c r="G143" s="212" t="inlineStr">
        <is>
          <t xml:space="preserve">F02 5F/PCW 20 배관 </t>
        </is>
      </c>
      <c r="H143" s="286" t="inlineStr">
        <is>
          <t>5F X46 9-12, X44-47, X47 Y5-8  PCW20배관 양중 작업</t>
        </is>
      </c>
      <c r="I143" s="213" t="n"/>
      <c r="J143" s="213" t="n">
        <v>1</v>
      </c>
      <c r="K143" s="213" t="n"/>
      <c r="L143" s="213" t="n"/>
      <c r="M143" s="213" t="n"/>
      <c r="N143" s="214" t="n"/>
    </row>
    <row r="144" ht="20.1" customHeight="1" s="362">
      <c r="A144" s="211">
        <f>A143+1</f>
        <v/>
      </c>
      <c r="B144" s="284" t="inlineStr">
        <is>
          <t>김순영</t>
        </is>
      </c>
      <c r="C144" s="284" t="inlineStr">
        <is>
          <t>유도원</t>
        </is>
      </c>
      <c r="D144" s="212" t="inlineStr">
        <is>
          <t>PCW배관공사</t>
        </is>
      </c>
      <c r="E144" s="212" t="inlineStr">
        <is>
          <t>PCW배관공사</t>
        </is>
      </c>
      <c r="F144" s="212" t="inlineStr">
        <is>
          <t>A2-2. STS304 10S PIPING FOR 20℃ PCW</t>
        </is>
      </c>
      <c r="G144" s="212" t="inlineStr">
        <is>
          <t xml:space="preserve">F02 5F/PCW 20 배관 </t>
        </is>
      </c>
      <c r="H144" s="286" t="inlineStr">
        <is>
          <t>5F X46 9-12, X44-47, X47 Y5-8  PCW20배관 양중 작업</t>
        </is>
      </c>
      <c r="I144" s="213" t="n"/>
      <c r="J144" s="213" t="n">
        <v>1</v>
      </c>
      <c r="K144" s="213" t="n"/>
      <c r="L144" s="213" t="n"/>
      <c r="M144" s="213" t="n"/>
      <c r="N144" s="214" t="n"/>
    </row>
    <row r="145" ht="20.1" customHeight="1" s="362">
      <c r="A145" s="211">
        <f>A144+1</f>
        <v/>
      </c>
      <c r="B145" s="284" t="inlineStr">
        <is>
          <t>진종언</t>
        </is>
      </c>
      <c r="C145" s="284" t="inlineStr">
        <is>
          <t>배관공</t>
        </is>
      </c>
      <c r="D145" s="212" t="inlineStr">
        <is>
          <t>PCW배관공사</t>
        </is>
      </c>
      <c r="E145" s="212" t="inlineStr">
        <is>
          <t>PCW배관공사</t>
        </is>
      </c>
      <c r="F145" s="212" t="inlineStr">
        <is>
          <t>A2-2. STS304 10S PIPING FOR 20℃ PCW</t>
        </is>
      </c>
      <c r="G145" s="212" t="inlineStr">
        <is>
          <t xml:space="preserve">F02 5F/PCW 20 배관 </t>
        </is>
      </c>
      <c r="H145" s="286" t="inlineStr">
        <is>
          <t>5F X46 9-12, X44-47, X47 Y5-8  PCW20배관 양중 작업</t>
        </is>
      </c>
      <c r="I145" s="213" t="n"/>
      <c r="J145" s="213" t="n">
        <v>1</v>
      </c>
      <c r="K145" s="213" t="n"/>
      <c r="L145" s="213" t="n"/>
      <c r="M145" s="213" t="n"/>
      <c r="N145" s="214" t="n"/>
    </row>
    <row r="146" ht="20.1" customHeight="1" s="362">
      <c r="A146" s="211">
        <f>A145+1</f>
        <v/>
      </c>
      <c r="B146" s="284" t="inlineStr">
        <is>
          <t>이운기</t>
        </is>
      </c>
      <c r="C146" s="284" t="inlineStr">
        <is>
          <t>보통인부</t>
        </is>
      </c>
      <c r="D146" s="212" t="inlineStr">
        <is>
          <t>PCW배관공사</t>
        </is>
      </c>
      <c r="E146" s="212" t="inlineStr">
        <is>
          <t>PCW배관공사</t>
        </is>
      </c>
      <c r="F146" s="212" t="inlineStr">
        <is>
          <t>A2-2. STS304 10S PIPING FOR 20℃ PCW</t>
        </is>
      </c>
      <c r="G146" s="212" t="inlineStr">
        <is>
          <t xml:space="preserve">F02 5F/PCW 20 배관 </t>
        </is>
      </c>
      <c r="H146" s="286" t="inlineStr">
        <is>
          <t>5F X46 9-12, X44-47, X47 Y5-8  PCW20배관 양중 작업</t>
        </is>
      </c>
      <c r="I146" s="213" t="n"/>
      <c r="J146" s="213" t="n">
        <v>1</v>
      </c>
      <c r="K146" s="213" t="n"/>
      <c r="L146" s="213" t="n"/>
      <c r="M146" s="213" t="n"/>
      <c r="N146" s="214" t="n"/>
    </row>
    <row r="147" ht="20.1" customHeight="1" s="362">
      <c r="A147" s="211">
        <f>A146+1</f>
        <v/>
      </c>
      <c r="B147" s="284" t="inlineStr">
        <is>
          <t>육종영</t>
        </is>
      </c>
      <c r="C147" s="284" t="inlineStr">
        <is>
          <t>보통인부</t>
        </is>
      </c>
      <c r="D147" s="212" t="inlineStr">
        <is>
          <t>PCW배관공사</t>
        </is>
      </c>
      <c r="E147" s="212" t="inlineStr">
        <is>
          <t>PCW배관공사</t>
        </is>
      </c>
      <c r="F147" s="212" t="inlineStr">
        <is>
          <t>A2-2. STS304 10S PIPING FOR 20℃ PCW</t>
        </is>
      </c>
      <c r="G147" s="212" t="inlineStr">
        <is>
          <t xml:space="preserve">F02 5F/PCW 20 배관 </t>
        </is>
      </c>
      <c r="H147" s="286" t="inlineStr">
        <is>
          <t>5F X46 9-12, X44-47, X47 Y5-8  PCW20배관 양중 작업</t>
        </is>
      </c>
      <c r="I147" s="213" t="n"/>
      <c r="J147" s="213" t="n">
        <v>1</v>
      </c>
      <c r="K147" s="213" t="n"/>
      <c r="L147" s="213" t="n"/>
      <c r="M147" s="213" t="n"/>
      <c r="N147" s="214" t="n"/>
    </row>
    <row r="148" ht="20.1" customHeight="1" s="362">
      <c r="A148" s="211">
        <f>A147+1</f>
        <v/>
      </c>
      <c r="B148" s="284" t="inlineStr">
        <is>
          <t>강이석</t>
        </is>
      </c>
      <c r="C148" s="284" t="inlineStr">
        <is>
          <t>보통인부</t>
        </is>
      </c>
      <c r="D148" s="212" t="inlineStr">
        <is>
          <t>PCW배관공사</t>
        </is>
      </c>
      <c r="E148" s="212" t="inlineStr">
        <is>
          <t>PCW배관공사</t>
        </is>
      </c>
      <c r="F148" s="212" t="inlineStr">
        <is>
          <t>A2-2. STS304 10S PIPING FOR 20℃ PCW</t>
        </is>
      </c>
      <c r="G148" s="212" t="inlineStr">
        <is>
          <t xml:space="preserve">F02 5F/PCW 20 배관 </t>
        </is>
      </c>
      <c r="H148" s="286" t="inlineStr">
        <is>
          <t>5F X46 9-12, X44-47, X47 Y5-8  PCW20배관 양중 작업</t>
        </is>
      </c>
      <c r="I148" s="213" t="n"/>
      <c r="J148" s="213" t="n">
        <v>1</v>
      </c>
      <c r="K148" s="213" t="n"/>
      <c r="L148" s="213" t="n"/>
      <c r="M148" s="213" t="n"/>
      <c r="N148" s="214" t="n"/>
    </row>
    <row r="149" ht="20.1" customHeight="1" s="362">
      <c r="A149" s="211">
        <f>A148+1</f>
        <v/>
      </c>
      <c r="B149" s="284" t="inlineStr">
        <is>
          <t>강재원</t>
        </is>
      </c>
      <c r="C149" s="284" t="inlineStr">
        <is>
          <t>유도원</t>
        </is>
      </c>
      <c r="D149" s="212" t="inlineStr">
        <is>
          <t>PCW배관공사</t>
        </is>
      </c>
      <c r="E149" s="212" t="inlineStr">
        <is>
          <t>PCW배관공사</t>
        </is>
      </c>
      <c r="F149" s="212" t="inlineStr">
        <is>
          <t>A2-2. STS304 10S PIPING FOR 20℃ PCW</t>
        </is>
      </c>
      <c r="G149" s="212" t="inlineStr">
        <is>
          <t xml:space="preserve">F02 5F/PCW 20 배관 </t>
        </is>
      </c>
      <c r="H149" s="286" t="inlineStr">
        <is>
          <t>5F X46 9-12, X44-47, X47 Y5-8  PCW20배관 양중 작업</t>
        </is>
      </c>
      <c r="I149" s="213" t="n"/>
      <c r="J149" s="213" t="n">
        <v>1</v>
      </c>
      <c r="K149" s="213" t="n"/>
      <c r="L149" s="213" t="n"/>
      <c r="M149" s="213" t="n"/>
      <c r="N149" s="214" t="n"/>
    </row>
    <row r="150" ht="20.1" customHeight="1" s="362">
      <c r="A150" s="211">
        <f>A149+1</f>
        <v/>
      </c>
      <c r="B150" s="284" t="inlineStr">
        <is>
          <t>이소은</t>
        </is>
      </c>
      <c r="C150" s="284" t="inlineStr">
        <is>
          <t>유도원</t>
        </is>
      </c>
      <c r="D150" s="212" t="inlineStr">
        <is>
          <t>PCW배관공사</t>
        </is>
      </c>
      <c r="E150" s="212" t="inlineStr">
        <is>
          <t>PCW배관공사</t>
        </is>
      </c>
      <c r="F150" s="212" t="inlineStr">
        <is>
          <t>A2-2. STS304 10S PIPING FOR 20℃ PCW</t>
        </is>
      </c>
      <c r="G150" s="212" t="inlineStr">
        <is>
          <t xml:space="preserve">F02 5F/PCW 20 배관 </t>
        </is>
      </c>
      <c r="H150" s="286" t="inlineStr">
        <is>
          <t>5F X46 9-12, X44-47, X47 Y5-8  PCW20배관 양중 작업</t>
        </is>
      </c>
      <c r="I150" s="213" t="n"/>
      <c r="J150" s="213" t="n">
        <v>1</v>
      </c>
      <c r="K150" s="213" t="n"/>
      <c r="L150" s="213" t="n"/>
      <c r="M150" s="213" t="n"/>
      <c r="N150" s="214" t="n"/>
    </row>
    <row r="151" ht="20.1" customHeight="1" s="362">
      <c r="A151" s="211">
        <f>A150+1</f>
        <v/>
      </c>
      <c r="B151" s="284" t="inlineStr">
        <is>
          <t>박민수</t>
        </is>
      </c>
      <c r="C151" s="284" t="inlineStr">
        <is>
          <t>배관공</t>
        </is>
      </c>
      <c r="D151" s="212" t="inlineStr">
        <is>
          <t>PCW배관공사</t>
        </is>
      </c>
      <c r="E151" s="212" t="inlineStr">
        <is>
          <t>PCW배관공사</t>
        </is>
      </c>
      <c r="F151" s="212" t="inlineStr">
        <is>
          <t>A2-2. STS304 10S PIPING FOR 20℃ PCW</t>
        </is>
      </c>
      <c r="G151" s="212" t="inlineStr">
        <is>
          <t xml:space="preserve">F02 5F/PCW 20 배관 </t>
        </is>
      </c>
      <c r="H151" s="286" t="inlineStr">
        <is>
          <t>5F X46 9-12, X44-47, X47 Y5-8  PCW20배관 양중 작업</t>
        </is>
      </c>
      <c r="I151" s="213" t="n"/>
      <c r="J151" s="213" t="n">
        <v>1</v>
      </c>
      <c r="K151" s="213" t="n"/>
      <c r="L151" s="213" t="n"/>
      <c r="M151" s="213" t="n"/>
      <c r="N151" s="214" t="n"/>
    </row>
    <row r="152" ht="20.1" customHeight="1" s="362">
      <c r="A152" s="211">
        <f>A151+1</f>
        <v/>
      </c>
      <c r="B152" s="284" t="inlineStr">
        <is>
          <t>이종욱</t>
        </is>
      </c>
      <c r="C152" s="284" t="inlineStr">
        <is>
          <t>보통인부</t>
        </is>
      </c>
      <c r="D152" s="212" t="inlineStr">
        <is>
          <t>PCW배관공사</t>
        </is>
      </c>
      <c r="E152" s="212" t="inlineStr">
        <is>
          <t>PCW배관공사</t>
        </is>
      </c>
      <c r="F152" s="212" t="inlineStr">
        <is>
          <t>A2-2. STS304 10S PIPING FOR 20℃ PCW</t>
        </is>
      </c>
      <c r="G152" s="212" t="inlineStr">
        <is>
          <t xml:space="preserve">F02 5F/PCW 20 배관 </t>
        </is>
      </c>
      <c r="H152" s="286" t="inlineStr">
        <is>
          <t>5F X46 9-12, X44-47, X47 Y5-8  PCW20배관 양중 작업</t>
        </is>
      </c>
      <c r="I152" s="213" t="n"/>
      <c r="J152" s="213" t="n">
        <v>1</v>
      </c>
      <c r="K152" s="213" t="n"/>
      <c r="L152" s="213" t="n"/>
      <c r="M152" s="213" t="n"/>
      <c r="N152" s="214" t="n"/>
    </row>
    <row r="153" ht="20.1" customHeight="1" s="362">
      <c r="A153" s="211">
        <f>A152+1</f>
        <v/>
      </c>
      <c r="B153" s="284" t="inlineStr">
        <is>
          <t>한준희</t>
        </is>
      </c>
      <c r="C153" s="284" t="inlineStr">
        <is>
          <t>보통인부</t>
        </is>
      </c>
      <c r="D153" s="212" t="inlineStr">
        <is>
          <t>PCW배관공사</t>
        </is>
      </c>
      <c r="E153" s="212" t="inlineStr">
        <is>
          <t>PCW배관공사</t>
        </is>
      </c>
      <c r="F153" s="212" t="inlineStr">
        <is>
          <t>A2-2. STS304 10S PIPING FOR 20℃ PCW</t>
        </is>
      </c>
      <c r="G153" s="212" t="inlineStr">
        <is>
          <t xml:space="preserve">F02 5F/PCW 20 배관 </t>
        </is>
      </c>
      <c r="H153" s="286" t="inlineStr">
        <is>
          <t>5F X46 9-12, X44-47, X47 Y5-8  PCW20배관 양중 작업</t>
        </is>
      </c>
      <c r="I153" s="213" t="n"/>
      <c r="J153" s="213" t="n">
        <v>1</v>
      </c>
      <c r="K153" s="213" t="n"/>
      <c r="L153" s="213" t="n"/>
      <c r="M153" s="213" t="n"/>
      <c r="N153" s="214" t="n"/>
    </row>
    <row r="154" ht="20.1" customHeight="1" s="362">
      <c r="A154" s="211">
        <f>A153+1</f>
        <v/>
      </c>
      <c r="B154" s="284" t="inlineStr">
        <is>
          <t>이우균</t>
        </is>
      </c>
      <c r="C154" s="284" t="inlineStr">
        <is>
          <t>보통인부</t>
        </is>
      </c>
      <c r="D154" s="212" t="inlineStr">
        <is>
          <t>PCW배관공사</t>
        </is>
      </c>
      <c r="E154" s="212" t="inlineStr">
        <is>
          <t>PCW배관공사</t>
        </is>
      </c>
      <c r="F154" s="212" t="inlineStr">
        <is>
          <t>A2-2. STS304 10S PIPING FOR 20℃ PCW</t>
        </is>
      </c>
      <c r="G154" s="212" t="inlineStr">
        <is>
          <t xml:space="preserve">F02 5F/PCW 20 배관 </t>
        </is>
      </c>
      <c r="H154" s="286" t="inlineStr">
        <is>
          <t>5F X46 9-12, X44-47, X47 Y5-8  PCW20배관 양중 작업</t>
        </is>
      </c>
      <c r="I154" s="213" t="n"/>
      <c r="J154" s="213" t="n">
        <v>1</v>
      </c>
      <c r="K154" s="213" t="n"/>
      <c r="L154" s="213" t="n"/>
      <c r="M154" s="213" t="n"/>
      <c r="N154" s="214" t="n"/>
    </row>
    <row r="155" ht="20.1" customHeight="1" s="362">
      <c r="A155" s="211">
        <f>A154+1</f>
        <v/>
      </c>
      <c r="B155" s="284" t="inlineStr">
        <is>
          <t>박주희</t>
        </is>
      </c>
      <c r="C155" s="284" t="inlineStr">
        <is>
          <t>유도원</t>
        </is>
      </c>
      <c r="D155" s="212" t="inlineStr">
        <is>
          <t>PCW배관공사</t>
        </is>
      </c>
      <c r="E155" s="212" t="inlineStr">
        <is>
          <t>PCW배관공사</t>
        </is>
      </c>
      <c r="F155" s="212" t="inlineStr">
        <is>
          <t>A2-2. STS304 10S PIPING FOR 20℃ PCW</t>
        </is>
      </c>
      <c r="G155" s="212" t="inlineStr">
        <is>
          <t xml:space="preserve">F02 5F/PCW 20 배관 </t>
        </is>
      </c>
      <c r="H155" s="286" t="inlineStr">
        <is>
          <t>5F X46 9-12, X44-47, X47 Y5-8  PCW20배관 양중 작업</t>
        </is>
      </c>
      <c r="I155" s="213" t="n"/>
      <c r="J155" s="213" t="n">
        <v>1</v>
      </c>
      <c r="K155" s="213" t="n"/>
      <c r="L155" s="213" t="n"/>
      <c r="M155" s="213" t="n"/>
      <c r="N155" s="214" t="n"/>
    </row>
    <row r="156" ht="20.1" customHeight="1" s="362">
      <c r="A156" s="211">
        <f>A155+1</f>
        <v/>
      </c>
      <c r="B156" s="284" t="inlineStr">
        <is>
          <t>박미석</t>
        </is>
      </c>
      <c r="C156" s="284" t="inlineStr">
        <is>
          <t>배관공</t>
        </is>
      </c>
      <c r="D156" s="212" t="inlineStr">
        <is>
          <t>PCW배관공사</t>
        </is>
      </c>
      <c r="E156" s="212" t="inlineStr">
        <is>
          <t>PCW배관공사</t>
        </is>
      </c>
      <c r="F156" s="212" t="inlineStr">
        <is>
          <t>A2-2. STS304 10S PIPING FOR 20℃ PCW</t>
        </is>
      </c>
      <c r="G156" s="212" t="inlineStr">
        <is>
          <t xml:space="preserve">F02 5F/PCW 20 배관 </t>
        </is>
      </c>
      <c r="H156" s="286" t="inlineStr">
        <is>
          <t>5F X46 9-12, X44-47, X47 Y5-8  PCW20배관 양중 작업</t>
        </is>
      </c>
      <c r="I156" s="213" t="n"/>
      <c r="J156" s="213" t="n">
        <v>1</v>
      </c>
      <c r="K156" s="213" t="n"/>
      <c r="L156" s="213" t="n"/>
      <c r="M156" s="213" t="n"/>
      <c r="N156" s="214" t="n"/>
    </row>
    <row r="157" ht="20.1" customHeight="1" s="362">
      <c r="A157" s="211">
        <f>A156+1</f>
        <v/>
      </c>
      <c r="B157" s="284" t="inlineStr">
        <is>
          <t>유현식</t>
        </is>
      </c>
      <c r="C157" s="284" t="inlineStr">
        <is>
          <t>배관공</t>
        </is>
      </c>
      <c r="D157" s="212" t="inlineStr">
        <is>
          <t>PCW배관공사</t>
        </is>
      </c>
      <c r="E157" s="212" t="inlineStr">
        <is>
          <t>PCW배관공사</t>
        </is>
      </c>
      <c r="F157" s="212" t="inlineStr">
        <is>
          <t>A2-2. STS304 10S PIPING FOR 20℃ PCW</t>
        </is>
      </c>
      <c r="G157" s="212" t="inlineStr">
        <is>
          <t xml:space="preserve">F02 5F/PCW 20 배관 </t>
        </is>
      </c>
      <c r="H157" s="286" t="inlineStr">
        <is>
          <t>5F X46 9-12, X44-47, X47 Y5-8  PCW20배관 양중 작업</t>
        </is>
      </c>
      <c r="I157" s="213" t="n"/>
      <c r="J157" s="213" t="n">
        <v>1</v>
      </c>
      <c r="K157" s="213" t="n"/>
      <c r="L157" s="213" t="n"/>
      <c r="M157" s="213" t="n"/>
      <c r="N157" s="214" t="n"/>
    </row>
    <row r="158" ht="20.1" customHeight="1" s="362">
      <c r="A158" s="211">
        <f>A157+1</f>
        <v/>
      </c>
      <c r="B158" s="284" t="inlineStr">
        <is>
          <t>이영희</t>
        </is>
      </c>
      <c r="C158" s="284" t="inlineStr">
        <is>
          <t>유도원</t>
        </is>
      </c>
      <c r="D158" s="212" t="inlineStr">
        <is>
          <t>PCW배관공사</t>
        </is>
      </c>
      <c r="E158" s="212" t="inlineStr">
        <is>
          <t>PCW배관공사</t>
        </is>
      </c>
      <c r="F158" s="212" t="inlineStr">
        <is>
          <t>A2-2. STS304 10S PIPING FOR 20℃ PCW</t>
        </is>
      </c>
      <c r="G158" s="212" t="inlineStr">
        <is>
          <t xml:space="preserve">F02 5F/PCW 20 배관 </t>
        </is>
      </c>
      <c r="H158" s="286" t="inlineStr">
        <is>
          <t>5F X46 9-12, X44-47, X47 Y5-8  PCW20배관 양중 작업</t>
        </is>
      </c>
      <c r="I158" s="213" t="n"/>
      <c r="J158" s="213" t="n">
        <v>1</v>
      </c>
      <c r="K158" s="213" t="n"/>
      <c r="L158" s="213" t="n"/>
      <c r="M158" s="213" t="n"/>
      <c r="N158" s="214" t="n"/>
    </row>
    <row r="159" ht="20.1" customHeight="1" s="362">
      <c r="A159" s="211">
        <f>A158+1</f>
        <v/>
      </c>
      <c r="B159" s="284" t="inlineStr">
        <is>
          <t>오지훈</t>
        </is>
      </c>
      <c r="C159" s="284" t="inlineStr">
        <is>
          <t>배관공</t>
        </is>
      </c>
      <c r="D159" s="212" t="inlineStr">
        <is>
          <t>PCW배관공사</t>
        </is>
      </c>
      <c r="E159" s="212" t="inlineStr">
        <is>
          <t>PCW배관공사</t>
        </is>
      </c>
      <c r="F159" s="212" t="inlineStr">
        <is>
          <t>A2-2. STS304 10S PIPING FOR 20℃ PCW</t>
        </is>
      </c>
      <c r="G159" s="212" t="inlineStr">
        <is>
          <t xml:space="preserve">F02 5F/PCW 20 배관 </t>
        </is>
      </c>
      <c r="H159" s="286" t="inlineStr">
        <is>
          <t>5F X46 9-12, X44-47, X47 Y5-8  PCW20배관 양중 작업</t>
        </is>
      </c>
      <c r="I159" s="213" t="n"/>
      <c r="J159" s="213" t="n">
        <v>1</v>
      </c>
      <c r="K159" s="213" t="n"/>
      <c r="L159" s="213" t="n"/>
      <c r="M159" s="213" t="n"/>
      <c r="N159" s="214" t="n"/>
    </row>
    <row r="160" ht="20.1" customHeight="1" s="362">
      <c r="A160" s="211">
        <f>A159+1</f>
        <v/>
      </c>
      <c r="B160" s="284" t="inlineStr">
        <is>
          <t>김희영</t>
        </is>
      </c>
      <c r="C160" s="284" t="inlineStr">
        <is>
          <t>보통인부</t>
        </is>
      </c>
      <c r="D160" s="212" t="inlineStr">
        <is>
          <t>PCW배관공사</t>
        </is>
      </c>
      <c r="E160" s="212" t="inlineStr">
        <is>
          <t>PCW배관공사</t>
        </is>
      </c>
      <c r="F160" s="212" t="inlineStr">
        <is>
          <t>A2-2. STS304 10S PIPING FOR 20℃ PCW</t>
        </is>
      </c>
      <c r="G160" s="212" t="inlineStr">
        <is>
          <t xml:space="preserve">F02 5F/PCW 20 배관 </t>
        </is>
      </c>
      <c r="H160" s="286" t="inlineStr">
        <is>
          <t>5F X46 9-12, X44-47, X47 Y5-8  PCW20배관 양중 작업</t>
        </is>
      </c>
      <c r="I160" s="213" t="n"/>
      <c r="J160" s="213" t="n">
        <v>1</v>
      </c>
      <c r="K160" s="213" t="n"/>
      <c r="L160" s="213" t="n"/>
      <c r="M160" s="213" t="n"/>
      <c r="N160" s="214" t="n"/>
    </row>
    <row r="161" ht="20.1" customHeight="1" s="362">
      <c r="A161" s="211">
        <f>A160+1</f>
        <v/>
      </c>
      <c r="B161" s="284" t="inlineStr">
        <is>
          <t>이은택</t>
        </is>
      </c>
      <c r="C161" s="284" t="inlineStr">
        <is>
          <t>보통인부</t>
        </is>
      </c>
      <c r="D161" s="212" t="inlineStr">
        <is>
          <t>PCW배관공사</t>
        </is>
      </c>
      <c r="E161" s="212" t="inlineStr">
        <is>
          <t>PCW배관공사</t>
        </is>
      </c>
      <c r="F161" s="212" t="inlineStr">
        <is>
          <t>A2-2. STS304 10S PIPING FOR 20℃ PCW</t>
        </is>
      </c>
      <c r="G161" s="212" t="inlineStr">
        <is>
          <t xml:space="preserve">F02 5F/PCW 20 배관 </t>
        </is>
      </c>
      <c r="H161" s="286" t="inlineStr">
        <is>
          <t>5F X46 9-12, X44-47, X47 Y5-8  PCW20배관 양중 작업</t>
        </is>
      </c>
      <c r="I161" s="213" t="n"/>
      <c r="J161" s="213" t="n">
        <v>1</v>
      </c>
      <c r="K161" s="213" t="n"/>
      <c r="L161" s="213" t="n"/>
      <c r="M161" s="213" t="n"/>
      <c r="N161" s="214" t="n"/>
    </row>
    <row r="162" ht="20.1" customHeight="1" s="362">
      <c r="A162" s="211">
        <f>A161+1</f>
        <v/>
      </c>
      <c r="B162" s="284" t="inlineStr">
        <is>
          <t>강노윤</t>
        </is>
      </c>
      <c r="C162" s="284" t="inlineStr">
        <is>
          <t>유도원</t>
        </is>
      </c>
      <c r="D162" s="212" t="inlineStr">
        <is>
          <t>PCW배관공사</t>
        </is>
      </c>
      <c r="E162" s="212" t="inlineStr">
        <is>
          <t>PCW배관공사</t>
        </is>
      </c>
      <c r="F162" s="212" t="inlineStr">
        <is>
          <t>A2-2. STS304 10S PIPING FOR 20℃ PCW</t>
        </is>
      </c>
      <c r="G162" s="212" t="inlineStr">
        <is>
          <t xml:space="preserve">F02 5F/PCW 20 배관 </t>
        </is>
      </c>
      <c r="H162" s="286" t="inlineStr">
        <is>
          <t>5F X46 9-12, X44-47, X47 Y5-8  PCW20배관 양중 작업</t>
        </is>
      </c>
      <c r="I162" s="213" t="n"/>
      <c r="J162" s="213" t="n">
        <v>1</v>
      </c>
      <c r="K162" s="213" t="n"/>
      <c r="L162" s="213" t="n"/>
      <c r="M162" s="213" t="n"/>
      <c r="N162" s="214" t="n"/>
    </row>
    <row r="163" ht="20.1" customHeight="1" s="362">
      <c r="A163" s="211">
        <f>A162+1</f>
        <v/>
      </c>
      <c r="B163" s="284" t="inlineStr">
        <is>
          <t>신경진</t>
        </is>
      </c>
      <c r="C163" s="284" t="inlineStr">
        <is>
          <t>용접공</t>
        </is>
      </c>
      <c r="D163" s="212" t="inlineStr">
        <is>
          <t>PCW배관공사</t>
        </is>
      </c>
      <c r="E163" s="212" t="inlineStr">
        <is>
          <t>PCW배관공사</t>
        </is>
      </c>
      <c r="F163" s="212" t="inlineStr">
        <is>
          <t>A2-2. STS304 10S PIPING FOR 20℃ PCW</t>
        </is>
      </c>
      <c r="G163" s="212" t="inlineStr">
        <is>
          <t xml:space="preserve">F02 5F/PCW 20 배관 </t>
        </is>
      </c>
      <c r="H163" s="286" t="inlineStr">
        <is>
          <t>5F X46 9-12, X44-47, X47 Y5-8  PCW20배관 양중 작업</t>
        </is>
      </c>
      <c r="I163" s="213" t="n"/>
      <c r="J163" s="213" t="n">
        <v>1</v>
      </c>
      <c r="K163" s="213" t="n"/>
      <c r="L163" s="213" t="n"/>
      <c r="M163" s="213" t="n"/>
      <c r="N163" s="214" t="n"/>
    </row>
    <row r="164" ht="20.1" customHeight="1" s="362">
      <c r="A164" s="211">
        <f>A163+1</f>
        <v/>
      </c>
      <c r="B164" s="284" t="inlineStr">
        <is>
          <t>전은황</t>
        </is>
      </c>
      <c r="C164" s="284" t="inlineStr">
        <is>
          <t>용접공</t>
        </is>
      </c>
      <c r="D164" s="212" t="inlineStr">
        <is>
          <t>PCW배관공사</t>
        </is>
      </c>
      <c r="E164" s="212" t="inlineStr">
        <is>
          <t>PCW배관공사</t>
        </is>
      </c>
      <c r="F164" s="212" t="inlineStr">
        <is>
          <t>A2-2. STS304 10S PIPING FOR 20℃ PCW</t>
        </is>
      </c>
      <c r="G164" s="212" t="inlineStr">
        <is>
          <t xml:space="preserve">F02 5F/PCW 20 배관 </t>
        </is>
      </c>
      <c r="H164" s="286" t="inlineStr">
        <is>
          <t>5F X46 9-12, X44-47, X47 Y5-8  PCW20배관 양중 작업</t>
        </is>
      </c>
      <c r="I164" s="213" t="n"/>
      <c r="J164" s="213" t="n">
        <v>1</v>
      </c>
      <c r="K164" s="213" t="n"/>
      <c r="L164" s="213" t="n"/>
      <c r="M164" s="213" t="n"/>
      <c r="N164" s="214" t="n"/>
    </row>
    <row r="165" ht="20.1" customHeight="1" s="362">
      <c r="A165" s="211">
        <f>A164+1</f>
        <v/>
      </c>
      <c r="B165" s="284" t="inlineStr">
        <is>
          <t>이수빈</t>
        </is>
      </c>
      <c r="C165" s="284" t="inlineStr">
        <is>
          <t>용접공</t>
        </is>
      </c>
      <c r="D165" s="212" t="inlineStr">
        <is>
          <t>PCW배관공사</t>
        </is>
      </c>
      <c r="E165" s="212" t="inlineStr">
        <is>
          <t>PCW배관공사</t>
        </is>
      </c>
      <c r="F165" s="212" t="inlineStr">
        <is>
          <t>A2-2. STS304 10S PIPING FOR 20℃ PCW</t>
        </is>
      </c>
      <c r="G165" s="212" t="inlineStr">
        <is>
          <t xml:space="preserve">F02 5F/PCW 20 배관 </t>
        </is>
      </c>
      <c r="H165" s="286" t="inlineStr">
        <is>
          <t>5F X46 9-12, X44-47, X47 Y5-8  PCW20배관 양중 작업</t>
        </is>
      </c>
      <c r="I165" s="213" t="n"/>
      <c r="J165" s="213" t="n">
        <v>1</v>
      </c>
      <c r="K165" s="213" t="n"/>
      <c r="L165" s="213" t="n"/>
      <c r="M165" s="213" t="n"/>
      <c r="N165" s="214" t="n"/>
    </row>
    <row r="166" ht="20.1" customHeight="1" s="362">
      <c r="A166" s="211">
        <f>A165+1</f>
        <v/>
      </c>
      <c r="B166" s="284" t="inlineStr">
        <is>
          <t>박선우</t>
        </is>
      </c>
      <c r="C166" s="284" t="inlineStr">
        <is>
          <t>보통인부</t>
        </is>
      </c>
      <c r="D166" s="212" t="inlineStr">
        <is>
          <t>PCW배관공사</t>
        </is>
      </c>
      <c r="E166" s="212" t="inlineStr">
        <is>
          <t>PCW배관공사</t>
        </is>
      </c>
      <c r="F166" s="212" t="inlineStr">
        <is>
          <t>A2-2. STS304 10S PIPING FOR 20℃ PCW</t>
        </is>
      </c>
      <c r="G166" s="212" t="inlineStr">
        <is>
          <t xml:space="preserve">F02 5F/PCW 20 배관 </t>
        </is>
      </c>
      <c r="H166" s="286" t="inlineStr">
        <is>
          <t>5F X46 9-12, X44-47, X47 Y5-8  PCW20배관 양중 작업</t>
        </is>
      </c>
      <c r="I166" s="213" t="n"/>
      <c r="J166" s="213" t="n">
        <v>1</v>
      </c>
      <c r="K166" s="213" t="n"/>
      <c r="L166" s="213" t="n"/>
      <c r="M166" s="213" t="n"/>
      <c r="N166" s="214" t="n"/>
    </row>
  </sheetData>
  <mergeCells count="1">
    <mergeCell ref="R3:W3"/>
  </mergeCells>
  <conditionalFormatting sqref="Q5:Q85">
    <cfRule type="expression" priority="1" dxfId="19">
      <formula>SUM($M5:$Q5)&gt;0</formula>
    </cfRule>
  </conditionalFormatting>
  <pageMargins left="0.7086614173228347" right="0.7086614173228347" top="0.37" bottom="0.2" header="0.21" footer="0.17"/>
  <pageSetup orientation="portrait" paperSize="9" scale="38" fitToHeight="6" horizontalDpi="90" verticalDpi="90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2:I1051"/>
  <sheetViews>
    <sheetView zoomScaleNormal="100" workbookViewId="0">
      <pane ySplit="2" topLeftCell="A96" activePane="bottomLeft" state="frozen"/>
      <selection activeCell="G19" sqref="G19"/>
      <selection pane="bottomLeft" activeCell="E17" sqref="E17"/>
    </sheetView>
  </sheetViews>
  <sheetFormatPr baseColWidth="8" defaultRowHeight="12.75"/>
  <cols>
    <col width="15.375" customWidth="1" style="222" min="1" max="3"/>
    <col width="19.375" bestFit="1" customWidth="1" style="222" min="4" max="4"/>
    <col width="15.375" customWidth="1" style="222" min="5" max="5"/>
    <col width="24" bestFit="1" customWidth="1" style="222" min="6" max="6"/>
    <col width="2.5" customWidth="1" style="222" min="7" max="7"/>
    <col width="9" customWidth="1" style="222" min="8" max="8"/>
    <col width="52" bestFit="1" customWidth="1" style="222" min="9" max="9"/>
    <col width="9" customWidth="1" style="222" min="10" max="16384"/>
  </cols>
  <sheetData>
    <row r="2" ht="13.5" customHeight="1" s="362">
      <c r="A2" s="221" t="inlineStr">
        <is>
          <t>대공종 CODE</t>
        </is>
      </c>
      <c r="B2" s="221" t="inlineStr">
        <is>
          <t>대공종명</t>
        </is>
      </c>
      <c r="C2" s="221" t="inlineStr">
        <is>
          <t>중공공 CODE</t>
        </is>
      </c>
      <c r="D2" s="221" t="inlineStr">
        <is>
          <t>중공종명</t>
        </is>
      </c>
      <c r="E2" s="221" t="inlineStr">
        <is>
          <t>소공종 CODE</t>
        </is>
      </c>
      <c r="F2" s="221" t="inlineStr">
        <is>
          <t>소공종명</t>
        </is>
      </c>
      <c r="H2" s="221" t="inlineStr">
        <is>
          <t>대공종명</t>
        </is>
      </c>
      <c r="I2" s="221" t="inlineStr">
        <is>
          <t>세공종명</t>
        </is>
      </c>
    </row>
    <row r="3" ht="13.5" customHeight="1" s="362">
      <c r="A3" s="223" t="n"/>
      <c r="B3" s="223" t="inlineStr">
        <is>
          <t>설비</t>
        </is>
      </c>
      <c r="C3" s="223" t="n"/>
      <c r="D3" s="223" t="inlineStr">
        <is>
          <t>공통업무</t>
        </is>
      </c>
      <c r="E3" s="223" t="n"/>
      <c r="F3" s="223" t="inlineStr">
        <is>
          <t>공통업무</t>
        </is>
      </c>
      <c r="H3" s="223" t="inlineStr">
        <is>
          <t>설비</t>
        </is>
      </c>
      <c r="I3" s="223" t="inlineStr">
        <is>
          <t>공통업무</t>
        </is>
      </c>
    </row>
    <row r="4" ht="13.5" customHeight="1" s="362">
      <c r="A4" s="223" t="inlineStr">
        <is>
          <t>ME</t>
        </is>
      </c>
      <c r="B4" s="223" t="inlineStr">
        <is>
          <t>설비</t>
        </is>
      </c>
      <c r="C4" s="223" t="inlineStr">
        <is>
          <t>01</t>
        </is>
      </c>
      <c r="D4" s="223" t="inlineStr">
        <is>
          <t>일반공조설비공사</t>
        </is>
      </c>
      <c r="E4" s="223" t="inlineStr">
        <is>
          <t>010</t>
        </is>
      </c>
      <c r="F4" s="223" t="inlineStr">
        <is>
          <t>장비설치공사</t>
        </is>
      </c>
      <c r="H4" s="223" t="inlineStr">
        <is>
          <t>설비</t>
        </is>
      </c>
      <c r="I4" s="223" t="inlineStr">
        <is>
          <t>010101  장비설치공사</t>
        </is>
      </c>
    </row>
    <row r="5" ht="13.5" customHeight="1" s="362">
      <c r="A5" s="223" t="inlineStr">
        <is>
          <t>ME</t>
        </is>
      </c>
      <c r="B5" s="223" t="inlineStr">
        <is>
          <t>설비</t>
        </is>
      </c>
      <c r="C5" s="223" t="inlineStr">
        <is>
          <t>01</t>
        </is>
      </c>
      <c r="D5" s="223" t="inlineStr">
        <is>
          <t>일반공조설비공사</t>
        </is>
      </c>
      <c r="E5" s="223" t="inlineStr">
        <is>
          <t>020</t>
        </is>
      </c>
      <c r="F5" s="223" t="inlineStr">
        <is>
          <t>온수배관공사</t>
        </is>
      </c>
      <c r="H5" s="223" t="inlineStr">
        <is>
          <t>설비</t>
        </is>
      </c>
      <c r="I5" s="223" t="inlineStr">
        <is>
          <t>010102010101  B1F 증기배관공사</t>
        </is>
      </c>
    </row>
    <row r="6" ht="13.5" customHeight="1" s="362">
      <c r="A6" s="223" t="inlineStr">
        <is>
          <t>ME</t>
        </is>
      </c>
      <c r="B6" s="223" t="inlineStr">
        <is>
          <t>설비</t>
        </is>
      </c>
      <c r="C6" s="223" t="inlineStr">
        <is>
          <t>01</t>
        </is>
      </c>
      <c r="D6" s="223" t="inlineStr">
        <is>
          <t>일반공조설비공사</t>
        </is>
      </c>
      <c r="E6" s="223" t="inlineStr">
        <is>
          <t>030</t>
        </is>
      </c>
      <c r="F6" s="223" t="inlineStr">
        <is>
          <t>드레인배관공사</t>
        </is>
      </c>
      <c r="H6" s="223" t="inlineStr">
        <is>
          <t>설비</t>
        </is>
      </c>
      <c r="I6" s="223" t="inlineStr">
        <is>
          <t>010102010102  1F 증기배관공사</t>
        </is>
      </c>
    </row>
    <row r="7" ht="13.5" customHeight="1" s="362">
      <c r="A7" s="223" t="inlineStr">
        <is>
          <t>ME</t>
        </is>
      </c>
      <c r="B7" s="223" t="inlineStr">
        <is>
          <t>설비</t>
        </is>
      </c>
      <c r="C7" s="223" t="inlineStr">
        <is>
          <t>01</t>
        </is>
      </c>
      <c r="D7" s="223" t="inlineStr">
        <is>
          <t>일반공조설비공사</t>
        </is>
      </c>
      <c r="E7" s="223" t="inlineStr">
        <is>
          <t>040</t>
        </is>
      </c>
      <c r="F7" s="223" t="inlineStr">
        <is>
          <t>덕트드레인배관공사</t>
        </is>
      </c>
      <c r="H7" s="223" t="inlineStr">
        <is>
          <t>설비</t>
        </is>
      </c>
      <c r="I7" s="223" t="inlineStr">
        <is>
          <t>010102010103  2F 증기배관공사</t>
        </is>
      </c>
    </row>
    <row r="8" ht="13.5" customHeight="1" s="362">
      <c r="A8" s="223" t="inlineStr">
        <is>
          <t>ME</t>
        </is>
      </c>
      <c r="B8" s="223" t="inlineStr">
        <is>
          <t>설비</t>
        </is>
      </c>
      <c r="C8" s="223" t="inlineStr">
        <is>
          <t>01</t>
        </is>
      </c>
      <c r="D8" s="223" t="inlineStr">
        <is>
          <t>일반공조설비공사</t>
        </is>
      </c>
      <c r="E8" s="223" t="inlineStr">
        <is>
          <t>050</t>
        </is>
      </c>
      <c r="F8" s="223" t="inlineStr">
        <is>
          <t>폐열회수배관공사</t>
        </is>
      </c>
      <c r="H8" s="223" t="inlineStr">
        <is>
          <t>설비</t>
        </is>
      </c>
      <c r="I8" s="223" t="inlineStr">
        <is>
          <t>010102010104  3F 증기배관공사</t>
        </is>
      </c>
    </row>
    <row r="9" ht="13.5" customHeight="1" s="362">
      <c r="A9" s="223" t="inlineStr">
        <is>
          <t>ME</t>
        </is>
      </c>
      <c r="B9" s="223" t="inlineStr">
        <is>
          <t>설비</t>
        </is>
      </c>
      <c r="C9" s="223" t="inlineStr">
        <is>
          <t>01</t>
        </is>
      </c>
      <c r="D9" s="223" t="inlineStr">
        <is>
          <t>일반공조설비공사</t>
        </is>
      </c>
      <c r="E9" s="223" t="inlineStr">
        <is>
          <t>060</t>
        </is>
      </c>
      <c r="F9" s="223" t="inlineStr">
        <is>
          <t>공조덕트설치공사</t>
        </is>
      </c>
      <c r="H9" s="223" t="inlineStr">
        <is>
          <t>설비</t>
        </is>
      </c>
      <c r="I9" s="223" t="inlineStr">
        <is>
          <t>010102010105  4F 증기배관공사</t>
        </is>
      </c>
    </row>
    <row r="10" ht="13.5" customHeight="1" s="362">
      <c r="A10" s="223" t="inlineStr">
        <is>
          <t>ME</t>
        </is>
      </c>
      <c r="B10" s="223" t="inlineStr">
        <is>
          <t>설비</t>
        </is>
      </c>
      <c r="C10" s="223" t="inlineStr">
        <is>
          <t>01</t>
        </is>
      </c>
      <c r="D10" s="223" t="inlineStr">
        <is>
          <t>일반공조설비공사</t>
        </is>
      </c>
      <c r="E10" s="223" t="inlineStr">
        <is>
          <t>070</t>
        </is>
      </c>
      <c r="F10" s="223" t="inlineStr">
        <is>
          <t>일반배기덕트설치공사</t>
        </is>
      </c>
      <c r="H10" s="223" t="inlineStr">
        <is>
          <t>설비</t>
        </is>
      </c>
      <c r="I10" s="223" t="inlineStr">
        <is>
          <t>010102010106  4MF 증기배관공사</t>
        </is>
      </c>
    </row>
    <row r="11" ht="13.5" customHeight="1" s="362">
      <c r="A11" s="223" t="inlineStr">
        <is>
          <t>ME</t>
        </is>
      </c>
      <c r="B11" s="223" t="inlineStr">
        <is>
          <t>설비</t>
        </is>
      </c>
      <c r="C11" s="223" t="inlineStr">
        <is>
          <t>01</t>
        </is>
      </c>
      <c r="D11" s="223" t="inlineStr">
        <is>
          <t>일반공조설비공사</t>
        </is>
      </c>
      <c r="E11" s="223" t="inlineStr">
        <is>
          <t>080</t>
        </is>
      </c>
      <c r="F11" s="223" t="inlineStr">
        <is>
          <t>C/R공조배기덕트설치공사</t>
        </is>
      </c>
      <c r="H11" s="223" t="inlineStr">
        <is>
          <t>설비</t>
        </is>
      </c>
      <c r="I11" s="223" t="inlineStr">
        <is>
          <t>010102010107  5F 증기배관공사</t>
        </is>
      </c>
    </row>
    <row r="12" ht="13.5" customHeight="1" s="362">
      <c r="A12" s="223" t="inlineStr">
        <is>
          <t>ME</t>
        </is>
      </c>
      <c r="B12" s="223" t="inlineStr">
        <is>
          <t>설비</t>
        </is>
      </c>
      <c r="C12" s="223" t="inlineStr">
        <is>
          <t>01</t>
        </is>
      </c>
      <c r="D12" s="223" t="inlineStr">
        <is>
          <t>일반공조설비공사</t>
        </is>
      </c>
      <c r="E12" s="223" t="inlineStr">
        <is>
          <t>090</t>
        </is>
      </c>
      <c r="F12" s="223" t="inlineStr">
        <is>
          <t>EHP설치공사</t>
        </is>
      </c>
      <c r="H12" s="223" t="inlineStr">
        <is>
          <t>설비</t>
        </is>
      </c>
      <c r="I12" s="223" t="inlineStr">
        <is>
          <t>010102010108  6F 증기배관공사</t>
        </is>
      </c>
    </row>
    <row r="13" ht="13.5" customHeight="1" s="362">
      <c r="A13" s="223" t="inlineStr">
        <is>
          <t>ME</t>
        </is>
      </c>
      <c r="B13" s="223" t="inlineStr">
        <is>
          <t>설비</t>
        </is>
      </c>
      <c r="C13" s="223" t="inlineStr">
        <is>
          <t>01</t>
        </is>
      </c>
      <c r="D13" s="223" t="inlineStr">
        <is>
          <t>일반공조설비공사</t>
        </is>
      </c>
      <c r="E13" s="223" t="inlineStr">
        <is>
          <t>100</t>
        </is>
      </c>
      <c r="F13" s="223" t="inlineStr">
        <is>
          <t>V.A.V / C.A.V 설치공사</t>
        </is>
      </c>
      <c r="H13" s="223" t="inlineStr">
        <is>
          <t>설비</t>
        </is>
      </c>
      <c r="I13" s="223" t="inlineStr">
        <is>
          <t>010102010109  7F 증기배관공사</t>
        </is>
      </c>
    </row>
    <row r="14" ht="13.5" customHeight="1" s="362">
      <c r="A14" s="223" t="inlineStr">
        <is>
          <t>ME</t>
        </is>
      </c>
      <c r="B14" s="223" t="inlineStr">
        <is>
          <t>설비</t>
        </is>
      </c>
      <c r="C14" s="223" t="inlineStr">
        <is>
          <t>02</t>
        </is>
      </c>
      <c r="D14" s="223" t="inlineStr">
        <is>
          <t>보일러설비공사</t>
        </is>
      </c>
      <c r="E14" s="223" t="inlineStr">
        <is>
          <t>010</t>
        </is>
      </c>
      <c r="F14" s="223" t="inlineStr">
        <is>
          <t>장비설치공사</t>
        </is>
      </c>
      <c r="H14" s="223" t="inlineStr">
        <is>
          <t>설비</t>
        </is>
      </c>
      <c r="I14" s="223" t="inlineStr">
        <is>
          <t>010102010110  ROOF 증기배관공사</t>
        </is>
      </c>
    </row>
    <row r="15" ht="13.5" customHeight="1" s="362">
      <c r="A15" s="223" t="inlineStr">
        <is>
          <t>ME</t>
        </is>
      </c>
      <c r="B15" s="223" t="inlineStr">
        <is>
          <t>설비</t>
        </is>
      </c>
      <c r="C15" s="223" t="inlineStr">
        <is>
          <t>02</t>
        </is>
      </c>
      <c r="D15" s="223" t="inlineStr">
        <is>
          <t>보일러설비공사</t>
        </is>
      </c>
      <c r="E15" s="223" t="inlineStr">
        <is>
          <t>020</t>
        </is>
      </c>
      <c r="F15" s="223" t="inlineStr">
        <is>
          <t>증기배관공사</t>
        </is>
      </c>
      <c r="H15" s="223" t="inlineStr">
        <is>
          <t>설비</t>
        </is>
      </c>
      <c r="I15" s="223" t="inlineStr">
        <is>
          <t>010102010201  B1F 냉수배관공사</t>
        </is>
      </c>
    </row>
    <row r="16" ht="13.5" customHeight="1" s="362">
      <c r="A16" s="223" t="inlineStr">
        <is>
          <t>ME</t>
        </is>
      </c>
      <c r="B16" s="223" t="inlineStr">
        <is>
          <t>설비</t>
        </is>
      </c>
      <c r="C16" s="223" t="inlineStr">
        <is>
          <t>02</t>
        </is>
      </c>
      <c r="D16" s="223" t="inlineStr">
        <is>
          <t>보일러설비공사</t>
        </is>
      </c>
      <c r="E16" s="223" t="inlineStr">
        <is>
          <t>030</t>
        </is>
      </c>
      <c r="F16" s="223" t="inlineStr">
        <is>
          <t>연도설치공사</t>
        </is>
      </c>
      <c r="H16" s="223" t="inlineStr">
        <is>
          <t>설비</t>
        </is>
      </c>
      <c r="I16" s="223" t="inlineStr">
        <is>
          <t>010102010202  1F 냉수배관공사</t>
        </is>
      </c>
    </row>
    <row r="17" ht="13.5" customHeight="1" s="362">
      <c r="A17" s="223" t="inlineStr">
        <is>
          <t>ME</t>
        </is>
      </c>
      <c r="B17" s="223" t="inlineStr">
        <is>
          <t>설비</t>
        </is>
      </c>
      <c r="C17" s="223" t="inlineStr">
        <is>
          <t>03</t>
        </is>
      </c>
      <c r="D17" s="223" t="inlineStr">
        <is>
          <t>냉동기설비공사</t>
        </is>
      </c>
      <c r="E17" s="223" t="inlineStr">
        <is>
          <t>010</t>
        </is>
      </c>
      <c r="F17" s="223" t="inlineStr">
        <is>
          <t>장비설치공사</t>
        </is>
      </c>
      <c r="H17" s="223" t="inlineStr">
        <is>
          <t>설비</t>
        </is>
      </c>
      <c r="I17" s="223" t="inlineStr">
        <is>
          <t>010102010203  2F 냉수배관공사</t>
        </is>
      </c>
    </row>
    <row r="18" ht="13.5" customHeight="1" s="362">
      <c r="A18" s="223" t="inlineStr">
        <is>
          <t>ME</t>
        </is>
      </c>
      <c r="B18" s="223" t="inlineStr">
        <is>
          <t>설비</t>
        </is>
      </c>
      <c r="C18" s="223" t="inlineStr">
        <is>
          <t>03</t>
        </is>
      </c>
      <c r="D18" s="223" t="inlineStr">
        <is>
          <t>냉동기설비공사</t>
        </is>
      </c>
      <c r="E18" s="223" t="inlineStr">
        <is>
          <t>020</t>
        </is>
      </c>
      <c r="F18" s="223" t="inlineStr">
        <is>
          <t>냉수배관공사</t>
        </is>
      </c>
      <c r="H18" s="223" t="inlineStr">
        <is>
          <t>설비</t>
        </is>
      </c>
      <c r="I18" s="223" t="inlineStr">
        <is>
          <t>010102010204  3F 냉수배관공사</t>
        </is>
      </c>
    </row>
    <row r="19" ht="13.5" customHeight="1" s="362">
      <c r="A19" s="223" t="inlineStr">
        <is>
          <t>ME</t>
        </is>
      </c>
      <c r="B19" s="223" t="inlineStr">
        <is>
          <t>설비</t>
        </is>
      </c>
      <c r="C19" s="223" t="inlineStr">
        <is>
          <t>03</t>
        </is>
      </c>
      <c r="D19" s="223" t="inlineStr">
        <is>
          <t>냉동기설비공사</t>
        </is>
      </c>
      <c r="E19" s="223" t="inlineStr">
        <is>
          <t>030</t>
        </is>
      </c>
      <c r="F19" s="223" t="inlineStr">
        <is>
          <t>냉각수배관공사</t>
        </is>
      </c>
      <c r="H19" s="223" t="inlineStr">
        <is>
          <t>설비</t>
        </is>
      </c>
      <c r="I19" s="223" t="inlineStr">
        <is>
          <t>010102010205  4F 냉수배관공사</t>
        </is>
      </c>
    </row>
    <row r="20" ht="13.5" customHeight="1" s="362">
      <c r="A20" s="223" t="inlineStr">
        <is>
          <t>ME</t>
        </is>
      </c>
      <c r="B20" s="223" t="inlineStr">
        <is>
          <t>설비</t>
        </is>
      </c>
      <c r="C20" s="223" t="inlineStr">
        <is>
          <t>04</t>
        </is>
      </c>
      <c r="D20" s="223" t="inlineStr">
        <is>
          <t>O.A.C설비공사</t>
        </is>
      </c>
      <c r="E20" s="223" t="inlineStr">
        <is>
          <t>010</t>
        </is>
      </c>
      <c r="F20" s="223" t="inlineStr">
        <is>
          <t>장비설치공사</t>
        </is>
      </c>
      <c r="H20" s="223" t="inlineStr">
        <is>
          <t>설비</t>
        </is>
      </c>
      <c r="I20" s="223" t="inlineStr">
        <is>
          <t>010102010206  4MF 냉수배관공사</t>
        </is>
      </c>
    </row>
    <row r="21" ht="13.5" customHeight="1" s="362">
      <c r="A21" s="223" t="inlineStr">
        <is>
          <t>ME</t>
        </is>
      </c>
      <c r="B21" s="223" t="inlineStr">
        <is>
          <t>설비</t>
        </is>
      </c>
      <c r="C21" s="223" t="inlineStr">
        <is>
          <t>04</t>
        </is>
      </c>
      <c r="D21" s="223" t="inlineStr">
        <is>
          <t>O.A.C설비공사</t>
        </is>
      </c>
      <c r="E21" s="223" t="inlineStr">
        <is>
          <t>020</t>
        </is>
      </c>
      <c r="F21" s="223" t="inlineStr">
        <is>
          <t>C/R공조덕트설치공사</t>
        </is>
      </c>
      <c r="H21" s="223" t="inlineStr">
        <is>
          <t>설비</t>
        </is>
      </c>
      <c r="I21" s="223" t="inlineStr">
        <is>
          <t>010102010301  B1F 폐열회수배관공사</t>
        </is>
      </c>
    </row>
    <row r="22" ht="13.5" customHeight="1" s="362">
      <c r="A22" s="223" t="inlineStr">
        <is>
          <t>ME</t>
        </is>
      </c>
      <c r="B22" s="223" t="inlineStr">
        <is>
          <t>설비</t>
        </is>
      </c>
      <c r="C22" s="223" t="inlineStr">
        <is>
          <t>04</t>
        </is>
      </c>
      <c r="D22" s="223" t="inlineStr">
        <is>
          <t>O.A.C설비공사</t>
        </is>
      </c>
      <c r="E22" s="223" t="inlineStr">
        <is>
          <t>030</t>
        </is>
      </c>
      <c r="F22" s="223" t="inlineStr">
        <is>
          <t>WSS배관공사</t>
        </is>
      </c>
      <c r="H22" s="223" t="inlineStr">
        <is>
          <t>설비</t>
        </is>
      </c>
      <c r="I22" s="223" t="inlineStr">
        <is>
          <t>010102010302  1F 폐열회수배관공사</t>
        </is>
      </c>
    </row>
    <row r="23" ht="13.5" customHeight="1" s="362">
      <c r="A23" s="223" t="inlineStr">
        <is>
          <t>ME</t>
        </is>
      </c>
      <c r="B23" s="223" t="inlineStr">
        <is>
          <t>설비</t>
        </is>
      </c>
      <c r="C23" s="223" t="inlineStr">
        <is>
          <t>05</t>
        </is>
      </c>
      <c r="D23" s="223" t="inlineStr">
        <is>
          <t>수가습설비공사</t>
        </is>
      </c>
      <c r="E23" s="223" t="inlineStr">
        <is>
          <t>010</t>
        </is>
      </c>
      <c r="F23" s="223" t="inlineStr">
        <is>
          <t>장비설치공사</t>
        </is>
      </c>
      <c r="H23" s="223" t="inlineStr">
        <is>
          <t>설비</t>
        </is>
      </c>
      <c r="I23" s="223" t="inlineStr">
        <is>
          <t>010102010303  2F 폐열회수배관공사</t>
        </is>
      </c>
    </row>
    <row r="24" ht="13.5" customHeight="1" s="362">
      <c r="A24" s="223" t="inlineStr">
        <is>
          <t>ME</t>
        </is>
      </c>
      <c r="B24" s="223" t="inlineStr">
        <is>
          <t>설비</t>
        </is>
      </c>
      <c r="C24" s="223" t="inlineStr">
        <is>
          <t>05</t>
        </is>
      </c>
      <c r="D24" s="223" t="inlineStr">
        <is>
          <t>수가습설비공사</t>
        </is>
      </c>
      <c r="E24" s="223" t="inlineStr">
        <is>
          <t>020</t>
        </is>
      </c>
      <c r="F24" s="223" t="inlineStr">
        <is>
          <t>CDA배관공사</t>
        </is>
      </c>
      <c r="H24" s="223" t="inlineStr">
        <is>
          <t>설비</t>
        </is>
      </c>
      <c r="I24" s="223" t="inlineStr">
        <is>
          <t>010102010304  3F 폐열회수배관공사</t>
        </is>
      </c>
    </row>
    <row r="25" ht="13.5" customHeight="1" s="362">
      <c r="A25" s="223" t="inlineStr">
        <is>
          <t>ME</t>
        </is>
      </c>
      <c r="B25" s="223" t="inlineStr">
        <is>
          <t>설비</t>
        </is>
      </c>
      <c r="C25" s="223" t="inlineStr">
        <is>
          <t>05</t>
        </is>
      </c>
      <c r="D25" s="223" t="inlineStr">
        <is>
          <t>수가습설비공사</t>
        </is>
      </c>
      <c r="E25" s="223" t="inlineStr">
        <is>
          <t>030</t>
        </is>
      </c>
      <c r="F25" s="223" t="inlineStr">
        <is>
          <t>DI배관공사</t>
        </is>
      </c>
      <c r="H25" s="223" t="inlineStr">
        <is>
          <t>설비</t>
        </is>
      </c>
      <c r="I25" s="223" t="inlineStr">
        <is>
          <t>010102010305  4F 폐열회수배관공사</t>
        </is>
      </c>
    </row>
    <row r="26" ht="13.5" customHeight="1" s="362">
      <c r="A26" s="223" t="inlineStr">
        <is>
          <t>ME</t>
        </is>
      </c>
      <c r="B26" s="223" t="inlineStr">
        <is>
          <t>설비</t>
        </is>
      </c>
      <c r="C26" s="223" t="inlineStr">
        <is>
          <t>06</t>
        </is>
      </c>
      <c r="D26" s="223" t="inlineStr">
        <is>
          <t>DCC설비공사</t>
        </is>
      </c>
      <c r="E26" s="223" t="inlineStr">
        <is>
          <t>010</t>
        </is>
      </c>
      <c r="F26" s="223" t="inlineStr">
        <is>
          <t>장비설치공사</t>
        </is>
      </c>
      <c r="H26" s="223" t="inlineStr">
        <is>
          <t>설비</t>
        </is>
      </c>
      <c r="I26" s="223" t="inlineStr">
        <is>
          <t>010102010306  4MF 폐열회수배관공사</t>
        </is>
      </c>
    </row>
    <row r="27" ht="13.5" customHeight="1" s="362">
      <c r="A27" s="223" t="inlineStr">
        <is>
          <t>ME</t>
        </is>
      </c>
      <c r="B27" s="223" t="inlineStr">
        <is>
          <t>설비</t>
        </is>
      </c>
      <c r="C27" s="223" t="inlineStr">
        <is>
          <t>07</t>
        </is>
      </c>
      <c r="D27" s="223" t="inlineStr">
        <is>
          <t>H/G배기설비공사</t>
        </is>
      </c>
      <c r="E27" s="223" t="inlineStr">
        <is>
          <t>010</t>
        </is>
      </c>
      <c r="F27" s="223" t="inlineStr">
        <is>
          <t>장비설치공사</t>
        </is>
      </c>
      <c r="H27" s="223" t="inlineStr">
        <is>
          <t>설비</t>
        </is>
      </c>
      <c r="I27" s="223" t="inlineStr">
        <is>
          <t>010102010401  B1F 드레인배관공사</t>
        </is>
      </c>
    </row>
    <row r="28" ht="13.5" customHeight="1" s="362">
      <c r="A28" s="223" t="inlineStr">
        <is>
          <t>ME</t>
        </is>
      </c>
      <c r="B28" s="223" t="inlineStr">
        <is>
          <t>설비</t>
        </is>
      </c>
      <c r="C28" s="223" t="inlineStr">
        <is>
          <t>07</t>
        </is>
      </c>
      <c r="D28" s="223" t="inlineStr">
        <is>
          <t>H/G배기설비공사</t>
        </is>
      </c>
      <c r="E28" s="223" t="inlineStr">
        <is>
          <t>020</t>
        </is>
      </c>
      <c r="F28" s="223" t="inlineStr">
        <is>
          <t>H/G배기덕트설치공사</t>
        </is>
      </c>
      <c r="H28" s="223" t="inlineStr">
        <is>
          <t>설비</t>
        </is>
      </c>
      <c r="I28" s="223" t="inlineStr">
        <is>
          <t>010102010402  1F 드레인배관공사</t>
        </is>
      </c>
    </row>
    <row r="29" ht="13.5" customHeight="1" s="362">
      <c r="A29" s="223" t="inlineStr">
        <is>
          <t>ME</t>
        </is>
      </c>
      <c r="B29" s="223" t="inlineStr">
        <is>
          <t>설비</t>
        </is>
      </c>
      <c r="C29" s="223" t="inlineStr">
        <is>
          <t>08</t>
        </is>
      </c>
      <c r="D29" s="223" t="inlineStr">
        <is>
          <t>ACID배기설비공사</t>
        </is>
      </c>
      <c r="E29" s="223" t="inlineStr">
        <is>
          <t>010</t>
        </is>
      </c>
      <c r="F29" s="223" t="inlineStr">
        <is>
          <t>장비설치공사</t>
        </is>
      </c>
      <c r="H29" s="223" t="inlineStr">
        <is>
          <t>설비</t>
        </is>
      </c>
      <c r="I29" s="223" t="inlineStr">
        <is>
          <t>010102010403  2F 드레인배관공사</t>
        </is>
      </c>
    </row>
    <row r="30" ht="13.5" customHeight="1" s="362">
      <c r="A30" s="223" t="inlineStr">
        <is>
          <t>ME</t>
        </is>
      </c>
      <c r="B30" s="223" t="inlineStr">
        <is>
          <t>설비</t>
        </is>
      </c>
      <c r="C30" s="223" t="inlineStr">
        <is>
          <t>08</t>
        </is>
      </c>
      <c r="D30" s="223" t="inlineStr">
        <is>
          <t>ACID배기설비공사</t>
        </is>
      </c>
      <c r="E30" s="223" t="inlineStr">
        <is>
          <t>020</t>
        </is>
      </c>
      <c r="F30" s="223" t="inlineStr">
        <is>
          <t>ACID배기덕트설치공사</t>
        </is>
      </c>
      <c r="H30" s="223" t="inlineStr">
        <is>
          <t>설비</t>
        </is>
      </c>
      <c r="I30" s="223" t="inlineStr">
        <is>
          <t>010102010404  3F 드레인배관공사</t>
        </is>
      </c>
    </row>
    <row r="31" ht="13.5" customHeight="1" s="362">
      <c r="A31" s="223" t="inlineStr">
        <is>
          <t>ME</t>
        </is>
      </c>
      <c r="B31" s="223" t="inlineStr">
        <is>
          <t>설비</t>
        </is>
      </c>
      <c r="C31" s="223" t="inlineStr">
        <is>
          <t>09</t>
        </is>
      </c>
      <c r="D31" s="223" t="inlineStr">
        <is>
          <t>ALKALI배기설비공사</t>
        </is>
      </c>
      <c r="E31" s="223" t="inlineStr">
        <is>
          <t>010</t>
        </is>
      </c>
      <c r="F31" s="223" t="inlineStr">
        <is>
          <t>장비설치공사</t>
        </is>
      </c>
      <c r="H31" s="223" t="inlineStr">
        <is>
          <t>설비</t>
        </is>
      </c>
      <c r="I31" s="223" t="inlineStr">
        <is>
          <t>010102010405  4F 드레인배관공사</t>
        </is>
      </c>
    </row>
    <row r="32" ht="13.5" customHeight="1" s="362">
      <c r="A32" s="223" t="inlineStr">
        <is>
          <t>ME</t>
        </is>
      </c>
      <c r="B32" s="223" t="inlineStr">
        <is>
          <t>설비</t>
        </is>
      </c>
      <c r="C32" s="223" t="inlineStr">
        <is>
          <t>09</t>
        </is>
      </c>
      <c r="D32" s="223" t="inlineStr">
        <is>
          <t>ALKALI배기설비공사</t>
        </is>
      </c>
      <c r="E32" s="223" t="inlineStr">
        <is>
          <t>020</t>
        </is>
      </c>
      <c r="F32" s="223" t="inlineStr">
        <is>
          <t>ALKALI배기덕트설치공사</t>
        </is>
      </c>
      <c r="H32" s="223" t="inlineStr">
        <is>
          <t>설비</t>
        </is>
      </c>
      <c r="I32" s="223" t="inlineStr">
        <is>
          <t>010102010406  4MF 드레인배관공사</t>
        </is>
      </c>
    </row>
    <row r="33" ht="13.5" customHeight="1" s="362">
      <c r="A33" s="223" t="inlineStr">
        <is>
          <t>ME</t>
        </is>
      </c>
      <c r="B33" s="223" t="inlineStr">
        <is>
          <t>설비</t>
        </is>
      </c>
      <c r="C33" s="223" t="inlineStr">
        <is>
          <t>10</t>
        </is>
      </c>
      <c r="D33" s="223" t="inlineStr">
        <is>
          <t>DRY배기설비공사</t>
        </is>
      </c>
      <c r="E33" s="223" t="inlineStr">
        <is>
          <t>010</t>
        </is>
      </c>
      <c r="F33" s="223" t="inlineStr">
        <is>
          <t>장비설치공사</t>
        </is>
      </c>
      <c r="H33" s="223" t="inlineStr">
        <is>
          <t>설비</t>
        </is>
      </c>
      <c r="I33" s="223" t="inlineStr">
        <is>
          <t>010102010407  5F 드레인배관공사</t>
        </is>
      </c>
    </row>
    <row r="34" ht="13.5" customHeight="1" s="362">
      <c r="A34" s="223" t="inlineStr">
        <is>
          <t>ME</t>
        </is>
      </c>
      <c r="B34" s="223" t="inlineStr">
        <is>
          <t>설비</t>
        </is>
      </c>
      <c r="C34" s="223" t="inlineStr">
        <is>
          <t>10</t>
        </is>
      </c>
      <c r="D34" s="223" t="inlineStr">
        <is>
          <t>DRY배기설비공사</t>
        </is>
      </c>
      <c r="E34" s="223" t="inlineStr">
        <is>
          <t>020</t>
        </is>
      </c>
      <c r="F34" s="223" t="inlineStr">
        <is>
          <t>DRY배기덕트설치공사</t>
        </is>
      </c>
      <c r="H34" s="223" t="inlineStr">
        <is>
          <t>설비</t>
        </is>
      </c>
      <c r="I34" s="223" t="inlineStr">
        <is>
          <t>010102010408  6F 드레인배관공사</t>
        </is>
      </c>
    </row>
    <row r="35" ht="13.5" customHeight="1" s="362">
      <c r="A35" s="223" t="inlineStr">
        <is>
          <t>ME</t>
        </is>
      </c>
      <c r="B35" s="223" t="inlineStr">
        <is>
          <t>설비</t>
        </is>
      </c>
      <c r="C35" s="223" t="inlineStr">
        <is>
          <t>11</t>
        </is>
      </c>
      <c r="D35" s="223" t="inlineStr">
        <is>
          <t>CABINET배기설비공사</t>
        </is>
      </c>
      <c r="E35" s="223" t="inlineStr">
        <is>
          <t>010</t>
        </is>
      </c>
      <c r="F35" s="223" t="inlineStr">
        <is>
          <t>장비설치공사</t>
        </is>
      </c>
      <c r="H35" s="223" t="inlineStr">
        <is>
          <t>설비</t>
        </is>
      </c>
      <c r="I35" s="223" t="inlineStr">
        <is>
          <t>010102010409  7F 드레인배관공사</t>
        </is>
      </c>
    </row>
    <row r="36" ht="13.5" customHeight="1" s="362">
      <c r="A36" s="223" t="inlineStr">
        <is>
          <t>ME</t>
        </is>
      </c>
      <c r="B36" s="223" t="inlineStr">
        <is>
          <t>설비</t>
        </is>
      </c>
      <c r="C36" s="223" t="inlineStr">
        <is>
          <t>11</t>
        </is>
      </c>
      <c r="D36" s="223" t="inlineStr">
        <is>
          <t>CABINET배기설비공사</t>
        </is>
      </c>
      <c r="E36" s="223" t="inlineStr">
        <is>
          <t>020</t>
        </is>
      </c>
      <c r="F36" s="223" t="inlineStr">
        <is>
          <t>CABINET배기덕트설치공사</t>
        </is>
      </c>
      <c r="H36" s="223" t="inlineStr">
        <is>
          <t>설비</t>
        </is>
      </c>
      <c r="I36" s="223" t="inlineStr">
        <is>
          <t>010102010410  ROOF 드레인배관공사</t>
        </is>
      </c>
    </row>
    <row r="37" ht="13.5" customHeight="1" s="362">
      <c r="A37" s="223" t="inlineStr">
        <is>
          <t>ME</t>
        </is>
      </c>
      <c r="B37" s="223" t="inlineStr">
        <is>
          <t>설비</t>
        </is>
      </c>
      <c r="C37" s="223" t="inlineStr">
        <is>
          <t>12</t>
        </is>
      </c>
      <c r="D37" s="223" t="inlineStr">
        <is>
          <t>국소배기덕트설비공사</t>
        </is>
      </c>
      <c r="E37" s="223" t="inlineStr">
        <is>
          <t>010</t>
        </is>
      </c>
      <c r="F37" s="223" t="inlineStr">
        <is>
          <t>장비설치공사</t>
        </is>
      </c>
      <c r="H37" s="223" t="inlineStr">
        <is>
          <t>설비</t>
        </is>
      </c>
      <c r="I37" s="223" t="inlineStr">
        <is>
          <t>010102010501  B1F WSS 배관공사</t>
        </is>
      </c>
    </row>
    <row r="38" ht="13.5" customHeight="1" s="362">
      <c r="A38" s="223" t="inlineStr">
        <is>
          <t>ME</t>
        </is>
      </c>
      <c r="B38" s="223" t="inlineStr">
        <is>
          <t>설비</t>
        </is>
      </c>
      <c r="C38" s="223" t="inlineStr">
        <is>
          <t>12</t>
        </is>
      </c>
      <c r="D38" s="223" t="inlineStr">
        <is>
          <t>국소배기덕트설비공사</t>
        </is>
      </c>
      <c r="E38" s="223" t="inlineStr">
        <is>
          <t>020</t>
        </is>
      </c>
      <c r="F38" s="223" t="inlineStr">
        <is>
          <t>국소배기덕트설치공사</t>
        </is>
      </c>
      <c r="H38" s="223" t="inlineStr">
        <is>
          <t>설비</t>
        </is>
      </c>
      <c r="I38" s="223" t="inlineStr">
        <is>
          <t>010102010502  1F WSS 배관공사</t>
        </is>
      </c>
    </row>
    <row r="39" ht="13.5" customHeight="1" s="362">
      <c r="A39" s="223" t="inlineStr">
        <is>
          <t>ME</t>
        </is>
      </c>
      <c r="B39" s="223" t="inlineStr">
        <is>
          <t>설비</t>
        </is>
      </c>
      <c r="C39" s="223" t="inlineStr">
        <is>
          <t>13</t>
        </is>
      </c>
      <c r="D39" s="223" t="inlineStr">
        <is>
          <t>비상배기덕트설비공사</t>
        </is>
      </c>
      <c r="E39" s="223" t="inlineStr">
        <is>
          <t>010</t>
        </is>
      </c>
      <c r="F39" s="223" t="inlineStr">
        <is>
          <t>장비설치공사</t>
        </is>
      </c>
      <c r="H39" s="223" t="inlineStr">
        <is>
          <t>설비</t>
        </is>
      </c>
      <c r="I39" s="223" t="inlineStr">
        <is>
          <t>010102010503  2F WSS 배관공사</t>
        </is>
      </c>
    </row>
    <row r="40" ht="13.5" customHeight="1" s="362">
      <c r="A40" s="223" t="inlineStr">
        <is>
          <t>ME</t>
        </is>
      </c>
      <c r="B40" s="223" t="inlineStr">
        <is>
          <t>설비</t>
        </is>
      </c>
      <c r="C40" s="223" t="inlineStr">
        <is>
          <t>13</t>
        </is>
      </c>
      <c r="D40" s="223" t="inlineStr">
        <is>
          <t>비상배기덕트설비공사</t>
        </is>
      </c>
      <c r="E40" s="223" t="inlineStr">
        <is>
          <t>020</t>
        </is>
      </c>
      <c r="F40" s="223" t="inlineStr">
        <is>
          <t>비상배기덕트설치공사</t>
        </is>
      </c>
      <c r="H40" s="223" t="inlineStr">
        <is>
          <t>설비</t>
        </is>
      </c>
      <c r="I40" s="223" t="inlineStr">
        <is>
          <t>010102010504  3F WSS 배관공사</t>
        </is>
      </c>
    </row>
    <row r="41" ht="13.5" customHeight="1" s="362">
      <c r="A41" s="223" t="inlineStr">
        <is>
          <t>ME</t>
        </is>
      </c>
      <c r="B41" s="223" t="inlineStr">
        <is>
          <t>설비</t>
        </is>
      </c>
      <c r="C41" s="223" t="inlineStr">
        <is>
          <t>14</t>
        </is>
      </c>
      <c r="D41" s="223" t="inlineStr">
        <is>
          <t>VOC설비공사</t>
        </is>
      </c>
      <c r="E41" s="223" t="inlineStr">
        <is>
          <t>010</t>
        </is>
      </c>
      <c r="F41" s="223" t="inlineStr">
        <is>
          <t>장비설치공사</t>
        </is>
      </c>
      <c r="H41" s="223" t="inlineStr">
        <is>
          <t>설비</t>
        </is>
      </c>
      <c r="I41" s="223" t="inlineStr">
        <is>
          <t>010102010505  4F WSS배관공사</t>
        </is>
      </c>
    </row>
    <row r="42" ht="13.5" customHeight="1" s="362">
      <c r="A42" s="223" t="inlineStr">
        <is>
          <t>ME</t>
        </is>
      </c>
      <c r="B42" s="223" t="inlineStr">
        <is>
          <t>설비</t>
        </is>
      </c>
      <c r="C42" s="223" t="inlineStr">
        <is>
          <t>14</t>
        </is>
      </c>
      <c r="D42" s="223" t="inlineStr">
        <is>
          <t>VOC설비공사</t>
        </is>
      </c>
      <c r="E42" s="223" t="inlineStr">
        <is>
          <t>020</t>
        </is>
      </c>
      <c r="F42" s="223" t="inlineStr">
        <is>
          <t>ORG배기덕트설치공사</t>
        </is>
      </c>
      <c r="H42" s="223" t="inlineStr">
        <is>
          <t>설비</t>
        </is>
      </c>
      <c r="I42" s="223" t="inlineStr">
        <is>
          <t>010102010506  4MF WSS배관공사</t>
        </is>
      </c>
    </row>
    <row r="43" ht="13.5" customHeight="1" s="362">
      <c r="A43" s="223" t="inlineStr">
        <is>
          <t>ME</t>
        </is>
      </c>
      <c r="B43" s="223" t="inlineStr">
        <is>
          <t>설비</t>
        </is>
      </c>
      <c r="C43" s="223" t="inlineStr">
        <is>
          <t>15</t>
        </is>
      </c>
      <c r="D43" s="223" t="inlineStr">
        <is>
          <t>PCW설비공사</t>
        </is>
      </c>
      <c r="E43" s="223" t="inlineStr">
        <is>
          <t>010</t>
        </is>
      </c>
      <c r="F43" s="223" t="inlineStr">
        <is>
          <t>장비설치공사</t>
        </is>
      </c>
      <c r="H43" s="223" t="inlineStr">
        <is>
          <t>설비</t>
        </is>
      </c>
      <c r="I43" s="223" t="inlineStr">
        <is>
          <t>010102010601  B1F REW 배관공사</t>
        </is>
      </c>
    </row>
    <row r="44" ht="13.5" customHeight="1" s="362">
      <c r="A44" s="223" t="inlineStr">
        <is>
          <t>ME</t>
        </is>
      </c>
      <c r="B44" s="223" t="inlineStr">
        <is>
          <t>설비</t>
        </is>
      </c>
      <c r="C44" s="223" t="inlineStr">
        <is>
          <t>15</t>
        </is>
      </c>
      <c r="D44" s="223" t="inlineStr">
        <is>
          <t>PCW설비공사</t>
        </is>
      </c>
      <c r="E44" s="223" t="inlineStr">
        <is>
          <t>020</t>
        </is>
      </c>
      <c r="F44" s="223" t="inlineStr">
        <is>
          <t>PCW배관공사</t>
        </is>
      </c>
      <c r="H44" s="223" t="inlineStr">
        <is>
          <t>설비</t>
        </is>
      </c>
      <c r="I44" s="223" t="inlineStr">
        <is>
          <t>010102010701  B1F EHP/PAC드레인배관공사</t>
        </is>
      </c>
    </row>
    <row r="45" ht="13.5" customHeight="1" s="362">
      <c r="A45" s="223" t="inlineStr">
        <is>
          <t>ME</t>
        </is>
      </c>
      <c r="B45" s="223" t="inlineStr">
        <is>
          <t>설비</t>
        </is>
      </c>
      <c r="C45" s="223" t="inlineStr">
        <is>
          <t>16</t>
        </is>
      </c>
      <c r="D45" s="223" t="inlineStr">
        <is>
          <t>NPW배관공사</t>
        </is>
      </c>
      <c r="E45" s="223" t="inlineStr">
        <is>
          <t>010</t>
        </is>
      </c>
      <c r="F45" s="223" t="inlineStr">
        <is>
          <t>NPW배관공사</t>
        </is>
      </c>
      <c r="H45" s="223" t="inlineStr">
        <is>
          <t>설비</t>
        </is>
      </c>
      <c r="I45" s="223" t="inlineStr">
        <is>
          <t>010102010702  1F EHP/PAC드레인배관공사</t>
        </is>
      </c>
    </row>
    <row r="46" ht="13.5" customHeight="1" s="362">
      <c r="A46" s="223" t="inlineStr">
        <is>
          <t>ME</t>
        </is>
      </c>
      <c r="B46" s="223" t="inlineStr">
        <is>
          <t>설비</t>
        </is>
      </c>
      <c r="C46" s="223" t="inlineStr">
        <is>
          <t>17</t>
        </is>
      </c>
      <c r="D46" s="223" t="inlineStr">
        <is>
          <t>위생배관공사</t>
        </is>
      </c>
      <c r="E46" s="223" t="inlineStr">
        <is>
          <t>010</t>
        </is>
      </c>
      <c r="F46" s="223" t="inlineStr">
        <is>
          <t>장비설치공사</t>
        </is>
      </c>
      <c r="H46" s="223" t="inlineStr">
        <is>
          <t>설비</t>
        </is>
      </c>
      <c r="I46" s="223" t="inlineStr">
        <is>
          <t>010102010703  2F EHP/PAC드레인배관공사</t>
        </is>
      </c>
    </row>
    <row r="47" ht="13.5" customHeight="1" s="362">
      <c r="A47" s="223" t="inlineStr">
        <is>
          <t>ME</t>
        </is>
      </c>
      <c r="B47" s="223" t="inlineStr">
        <is>
          <t>설비</t>
        </is>
      </c>
      <c r="C47" s="223" t="inlineStr">
        <is>
          <t>17</t>
        </is>
      </c>
      <c r="D47" s="223" t="inlineStr">
        <is>
          <t>위생배관공사</t>
        </is>
      </c>
      <c r="E47" s="223" t="inlineStr">
        <is>
          <t>020</t>
        </is>
      </c>
      <c r="F47" s="223" t="inlineStr">
        <is>
          <t>위생기구설치공사</t>
        </is>
      </c>
      <c r="H47" s="223" t="inlineStr">
        <is>
          <t>설비</t>
        </is>
      </c>
      <c r="I47" s="223" t="inlineStr">
        <is>
          <t>010102010704  3F EHP/PAC드레인배관공사</t>
        </is>
      </c>
    </row>
    <row r="48" ht="13.5" customHeight="1" s="362">
      <c r="A48" s="223" t="inlineStr">
        <is>
          <t>ME</t>
        </is>
      </c>
      <c r="B48" s="223" t="inlineStr">
        <is>
          <t>설비</t>
        </is>
      </c>
      <c r="C48" s="223" t="inlineStr">
        <is>
          <t>17</t>
        </is>
      </c>
      <c r="D48" s="223" t="inlineStr">
        <is>
          <t>위생배관공사</t>
        </is>
      </c>
      <c r="E48" s="223" t="inlineStr">
        <is>
          <t>030</t>
        </is>
      </c>
      <c r="F48" s="223" t="inlineStr">
        <is>
          <t>급수급탕배관공사</t>
        </is>
      </c>
      <c r="H48" s="223" t="inlineStr">
        <is>
          <t>설비</t>
        </is>
      </c>
      <c r="I48" s="223" t="inlineStr">
        <is>
          <t>010102010705  4F EHP/PAC드레인배관공사</t>
        </is>
      </c>
    </row>
    <row r="49" ht="13.5" customHeight="1" s="362">
      <c r="A49" s="223" t="inlineStr">
        <is>
          <t>ME</t>
        </is>
      </c>
      <c r="B49" s="223" t="inlineStr">
        <is>
          <t>설비</t>
        </is>
      </c>
      <c r="C49" s="223" t="inlineStr">
        <is>
          <t>17</t>
        </is>
      </c>
      <c r="D49" s="223" t="inlineStr">
        <is>
          <t>위생배관공사</t>
        </is>
      </c>
      <c r="E49" s="223" t="inlineStr">
        <is>
          <t>040</t>
        </is>
      </c>
      <c r="F49" s="223" t="inlineStr">
        <is>
          <t>NPW배관공사</t>
        </is>
      </c>
      <c r="H49" s="223" t="inlineStr">
        <is>
          <t>설비</t>
        </is>
      </c>
      <c r="I49" s="223" t="inlineStr">
        <is>
          <t>010102010706  4MF EHP/PAC드레인배관공사</t>
        </is>
      </c>
    </row>
    <row r="50" ht="13.5" customHeight="1" s="362">
      <c r="A50" s="223" t="inlineStr">
        <is>
          <t>ME</t>
        </is>
      </c>
      <c r="B50" s="223" t="inlineStr">
        <is>
          <t>설비</t>
        </is>
      </c>
      <c r="C50" s="223" t="inlineStr">
        <is>
          <t>17</t>
        </is>
      </c>
      <c r="D50" s="223" t="inlineStr">
        <is>
          <t>위생배관공사</t>
        </is>
      </c>
      <c r="E50" s="223" t="inlineStr">
        <is>
          <t>050</t>
        </is>
      </c>
      <c r="F50" s="223" t="inlineStr">
        <is>
          <t>IW배관공사</t>
        </is>
      </c>
      <c r="H50" s="223" t="inlineStr">
        <is>
          <t>설비</t>
        </is>
      </c>
      <c r="I50" s="223" t="inlineStr">
        <is>
          <t>010102010707  7F EHP/PAC드레인배관공사</t>
        </is>
      </c>
    </row>
    <row r="51" ht="13.5" customHeight="1" s="362">
      <c r="A51" s="223" t="inlineStr">
        <is>
          <t>ME</t>
        </is>
      </c>
      <c r="B51" s="223" t="inlineStr">
        <is>
          <t>설비</t>
        </is>
      </c>
      <c r="C51" s="223" t="inlineStr">
        <is>
          <t>17</t>
        </is>
      </c>
      <c r="D51" s="223" t="inlineStr">
        <is>
          <t>위생배관공사</t>
        </is>
      </c>
      <c r="E51" s="223" t="inlineStr">
        <is>
          <t>060</t>
        </is>
      </c>
      <c r="F51" s="223" t="inlineStr">
        <is>
          <t>CW배관공사</t>
        </is>
      </c>
      <c r="H51" s="223" t="inlineStr">
        <is>
          <t>설비</t>
        </is>
      </c>
      <c r="I51" s="223" t="inlineStr">
        <is>
          <t>010102010708  ROOF EHP/PAC드레인배관공사</t>
        </is>
      </c>
    </row>
    <row r="52" ht="13.5" customHeight="1" s="362">
      <c r="A52" s="223" t="inlineStr">
        <is>
          <t>ME</t>
        </is>
      </c>
      <c r="B52" s="223" t="inlineStr">
        <is>
          <t>설비</t>
        </is>
      </c>
      <c r="C52" s="223" t="inlineStr">
        <is>
          <t>17</t>
        </is>
      </c>
      <c r="D52" s="223" t="inlineStr">
        <is>
          <t>위생배관공사</t>
        </is>
      </c>
      <c r="E52" s="223" t="inlineStr">
        <is>
          <t>070</t>
        </is>
      </c>
      <c r="F52" s="223" t="inlineStr">
        <is>
          <t>오배수배관공사</t>
        </is>
      </c>
      <c r="H52" s="223" t="inlineStr">
        <is>
          <t>설비</t>
        </is>
      </c>
      <c r="I52" s="223" t="inlineStr">
        <is>
          <t>010102020101  B1F 공조덕트설치공사</t>
        </is>
      </c>
    </row>
    <row r="53" ht="13.5" customHeight="1" s="362">
      <c r="A53" s="223" t="inlineStr">
        <is>
          <t>ME</t>
        </is>
      </c>
      <c r="B53" s="223" t="inlineStr">
        <is>
          <t>설비</t>
        </is>
      </c>
      <c r="C53" s="223" t="inlineStr">
        <is>
          <t>18</t>
        </is>
      </c>
      <c r="D53" s="223" t="inlineStr">
        <is>
          <t>LNG설비공사</t>
        </is>
      </c>
      <c r="E53" s="223" t="inlineStr">
        <is>
          <t>010</t>
        </is>
      </c>
      <c r="F53" s="223" t="inlineStr">
        <is>
          <t>옥외공사</t>
        </is>
      </c>
      <c r="H53" s="223" t="inlineStr">
        <is>
          <t>설비</t>
        </is>
      </c>
      <c r="I53" s="223" t="inlineStr">
        <is>
          <t>010102020102  1F 공조덕트설치공사</t>
        </is>
      </c>
    </row>
    <row r="54" ht="13.5" customHeight="1" s="362">
      <c r="A54" s="223" t="inlineStr">
        <is>
          <t>ME</t>
        </is>
      </c>
      <c r="B54" s="223" t="inlineStr">
        <is>
          <t>설비</t>
        </is>
      </c>
      <c r="C54" s="223" t="inlineStr">
        <is>
          <t>18</t>
        </is>
      </c>
      <c r="D54" s="223" t="inlineStr">
        <is>
          <t>LNG설비공사</t>
        </is>
      </c>
      <c r="E54" s="223" t="inlineStr">
        <is>
          <t>020</t>
        </is>
      </c>
      <c r="F54" s="223" t="inlineStr">
        <is>
          <t>옥내배관공사</t>
        </is>
      </c>
      <c r="H54" s="223" t="inlineStr">
        <is>
          <t>설비</t>
        </is>
      </c>
      <c r="I54" s="223" t="inlineStr">
        <is>
          <t>010102020103  2F 공조덕트설치공사</t>
        </is>
      </c>
    </row>
    <row r="55" ht="13.5" customHeight="1" s="362">
      <c r="A55" s="223" t="inlineStr">
        <is>
          <t>ME</t>
        </is>
      </c>
      <c r="B55" s="223" t="inlineStr">
        <is>
          <t>설비</t>
        </is>
      </c>
      <c r="C55" s="223" t="inlineStr">
        <is>
          <t>19</t>
        </is>
      </c>
      <c r="D55" s="223" t="inlineStr">
        <is>
          <t>TAB</t>
        </is>
      </c>
      <c r="E55" s="223" t="inlineStr">
        <is>
          <t>010</t>
        </is>
      </c>
      <c r="F55" s="223" t="inlineStr">
        <is>
          <t>TAB</t>
        </is>
      </c>
      <c r="H55" s="223" t="inlineStr">
        <is>
          <t>설비</t>
        </is>
      </c>
      <c r="I55" s="223" t="inlineStr">
        <is>
          <t>010102020104  3F 공조덕트설치공사</t>
        </is>
      </c>
    </row>
    <row r="56" ht="13.5" customHeight="1" s="362">
      <c r="A56" s="223" t="inlineStr">
        <is>
          <t>ME</t>
        </is>
      </c>
      <c r="B56" s="223" t="inlineStr">
        <is>
          <t>설비</t>
        </is>
      </c>
      <c r="C56" s="223" t="inlineStr">
        <is>
          <t>20</t>
        </is>
      </c>
      <c r="D56" s="223" t="inlineStr">
        <is>
          <t>PIPE RACK설치공사</t>
        </is>
      </c>
      <c r="E56" s="223" t="inlineStr">
        <is>
          <t>010</t>
        </is>
      </c>
      <c r="F56" s="223" t="inlineStr">
        <is>
          <t>PIPE RACK설치공사</t>
        </is>
      </c>
      <c r="H56" s="223" t="inlineStr">
        <is>
          <t>설비</t>
        </is>
      </c>
      <c r="I56" s="223" t="inlineStr">
        <is>
          <t>010102020105  4F 공조덕트설치공사</t>
        </is>
      </c>
    </row>
    <row r="57" ht="13.5" customHeight="1" s="362">
      <c r="A57" s="223" t="inlineStr">
        <is>
          <t>ME</t>
        </is>
      </c>
      <c r="B57" s="223" t="inlineStr">
        <is>
          <t>설비</t>
        </is>
      </c>
      <c r="C57" s="223" t="inlineStr">
        <is>
          <t>21</t>
        </is>
      </c>
      <c r="D57" s="223" t="inlineStr">
        <is>
          <t>WWT설비공사</t>
        </is>
      </c>
      <c r="E57" s="223" t="inlineStr">
        <is>
          <t>010</t>
        </is>
      </c>
      <c r="F57" s="223" t="inlineStr">
        <is>
          <t>WWT장비설치공사</t>
        </is>
      </c>
      <c r="H57" s="223" t="inlineStr">
        <is>
          <t>설비</t>
        </is>
      </c>
      <c r="I57" s="223" t="inlineStr">
        <is>
          <t>010102020106  4MF 공조덕트설치공사</t>
        </is>
      </c>
    </row>
    <row r="58" ht="13.5" customHeight="1" s="362">
      <c r="A58" s="223" t="inlineStr">
        <is>
          <t>ME</t>
        </is>
      </c>
      <c r="B58" s="223" t="inlineStr">
        <is>
          <t>설비</t>
        </is>
      </c>
      <c r="C58" s="223" t="inlineStr">
        <is>
          <t>21</t>
        </is>
      </c>
      <c r="D58" s="223" t="inlineStr">
        <is>
          <t>WWT설비공사</t>
        </is>
      </c>
      <c r="E58" s="223" t="inlineStr">
        <is>
          <t>020</t>
        </is>
      </c>
      <c r="F58" s="223" t="inlineStr">
        <is>
          <t>WWT SYSTEM배관공사</t>
        </is>
      </c>
      <c r="H58" s="223" t="inlineStr">
        <is>
          <t>설비</t>
        </is>
      </c>
      <c r="I58" s="223" t="inlineStr">
        <is>
          <t>010102020201  2F 크린룸덕트설치공사</t>
        </is>
      </c>
    </row>
    <row r="59" ht="13.5" customHeight="1" s="362">
      <c r="A59" s="223" t="inlineStr">
        <is>
          <t>ME</t>
        </is>
      </c>
      <c r="B59" s="223" t="inlineStr">
        <is>
          <t>설비</t>
        </is>
      </c>
      <c r="C59" s="223" t="inlineStr">
        <is>
          <t>21</t>
        </is>
      </c>
      <c r="D59" s="223" t="inlineStr">
        <is>
          <t>WWT설비공사</t>
        </is>
      </c>
      <c r="E59" s="223" t="inlineStr">
        <is>
          <t>030</t>
        </is>
      </c>
      <c r="F59" s="223" t="inlineStr">
        <is>
          <t>재이용수배관공사</t>
        </is>
      </c>
      <c r="H59" s="223" t="inlineStr">
        <is>
          <t>설비</t>
        </is>
      </c>
      <c r="I59" s="223" t="inlineStr">
        <is>
          <t>010102020202  3F 크린룸덕트설치공사</t>
        </is>
      </c>
    </row>
    <row r="60" ht="13.5" customHeight="1" s="362">
      <c r="A60" s="223" t="inlineStr">
        <is>
          <t>ME</t>
        </is>
      </c>
      <c r="B60" s="223" t="inlineStr">
        <is>
          <t>설비</t>
        </is>
      </c>
      <c r="C60" s="223" t="inlineStr">
        <is>
          <t>21</t>
        </is>
      </c>
      <c r="D60" s="223" t="inlineStr">
        <is>
          <t>WWT설비공사</t>
        </is>
      </c>
      <c r="E60" s="223" t="inlineStr">
        <is>
          <t>040</t>
        </is>
      </c>
      <c r="F60" s="223" t="inlineStr">
        <is>
          <t>방류수공사</t>
        </is>
      </c>
      <c r="H60" s="223" t="inlineStr">
        <is>
          <t>설비</t>
        </is>
      </c>
      <c r="I60" s="223" t="inlineStr">
        <is>
          <t>010102020301  B1F 일반배기덕트설치공사</t>
        </is>
      </c>
    </row>
    <row r="61" ht="13.5" customHeight="1" s="362">
      <c r="A61" s="223" t="inlineStr">
        <is>
          <t>ME</t>
        </is>
      </c>
      <c r="B61" s="223" t="inlineStr">
        <is>
          <t>설비</t>
        </is>
      </c>
      <c r="C61" s="223" t="inlineStr">
        <is>
          <t>22</t>
        </is>
      </c>
      <c r="D61" s="223" t="inlineStr">
        <is>
          <t>기타공사</t>
        </is>
      </c>
      <c r="E61" s="223" t="inlineStr">
        <is>
          <t>010</t>
        </is>
      </c>
      <c r="F61" s="223" t="inlineStr">
        <is>
          <t>기타공사</t>
        </is>
      </c>
      <c r="H61" s="223" t="inlineStr">
        <is>
          <t>설비</t>
        </is>
      </c>
      <c r="I61" s="223" t="inlineStr">
        <is>
          <t>010102020302  1F 일반배기덕트설치공사</t>
        </is>
      </c>
    </row>
    <row r="62" ht="13.5" customHeight="1" s="362">
      <c r="A62" s="223" t="inlineStr">
        <is>
          <t>ME</t>
        </is>
      </c>
      <c r="B62" s="223" t="inlineStr">
        <is>
          <t>설비</t>
        </is>
      </c>
      <c r="C62" s="223" t="inlineStr">
        <is>
          <t>22</t>
        </is>
      </c>
      <c r="D62" s="223" t="inlineStr">
        <is>
          <t>기타공사</t>
        </is>
      </c>
      <c r="E62" s="223" t="inlineStr">
        <is>
          <t>020</t>
        </is>
      </c>
      <c r="F62" s="223" t="inlineStr">
        <is>
          <t>NaOH배관공사</t>
        </is>
      </c>
      <c r="H62" s="223" t="inlineStr">
        <is>
          <t>설비</t>
        </is>
      </c>
      <c r="I62" s="223" t="inlineStr">
        <is>
          <t>010102020303  2F 일반배기덕트설치공사</t>
        </is>
      </c>
    </row>
    <row r="63" ht="13.5" customHeight="1" s="362">
      <c r="A63" s="223" t="inlineStr">
        <is>
          <t>ME</t>
        </is>
      </c>
      <c r="B63" s="223" t="inlineStr">
        <is>
          <t>설비</t>
        </is>
      </c>
      <c r="C63" s="223" t="inlineStr">
        <is>
          <t>22</t>
        </is>
      </c>
      <c r="D63" s="223" t="inlineStr">
        <is>
          <t>기타공사</t>
        </is>
      </c>
      <c r="E63" s="223" t="inlineStr">
        <is>
          <t>030</t>
        </is>
      </c>
      <c r="F63" s="223" t="inlineStr">
        <is>
          <t>가설공사</t>
        </is>
      </c>
      <c r="H63" s="223" t="inlineStr">
        <is>
          <t>설비</t>
        </is>
      </c>
      <c r="I63" s="223" t="inlineStr">
        <is>
          <t>010102020304  3F 일반배기덕트설치공사</t>
        </is>
      </c>
    </row>
    <row r="64" ht="13.5" customHeight="1" s="362">
      <c r="A64" s="223" t="inlineStr">
        <is>
          <t>ME</t>
        </is>
      </c>
      <c r="B64" s="223" t="inlineStr">
        <is>
          <t>설비</t>
        </is>
      </c>
      <c r="C64" s="223" t="inlineStr">
        <is>
          <t>22</t>
        </is>
      </c>
      <c r="D64" s="223" t="inlineStr">
        <is>
          <t>기타공사</t>
        </is>
      </c>
      <c r="E64" s="223" t="inlineStr">
        <is>
          <t>040</t>
        </is>
      </c>
      <c r="F64" s="223" t="inlineStr">
        <is>
          <t>소방가설설비공사</t>
        </is>
      </c>
      <c r="H64" s="223" t="inlineStr">
        <is>
          <t>설비</t>
        </is>
      </c>
      <c r="I64" s="223" t="inlineStr">
        <is>
          <t>010102020305  4F 일반배기덕트설치공사</t>
        </is>
      </c>
    </row>
    <row r="65" ht="13.5" customHeight="1" s="362">
      <c r="A65" s="223" t="inlineStr">
        <is>
          <t>ME</t>
        </is>
      </c>
      <c r="B65" s="223" t="inlineStr">
        <is>
          <t>설비</t>
        </is>
      </c>
      <c r="C65" s="223" t="inlineStr">
        <is>
          <t>22</t>
        </is>
      </c>
      <c r="D65" s="223" t="inlineStr">
        <is>
          <t>기타공사</t>
        </is>
      </c>
      <c r="E65" s="223" t="inlineStr">
        <is>
          <t>050</t>
        </is>
      </c>
      <c r="F65" s="223" t="inlineStr">
        <is>
          <t>소방수정공사</t>
        </is>
      </c>
      <c r="H65" s="223" t="inlineStr">
        <is>
          <t>설비</t>
        </is>
      </c>
      <c r="I65" s="223" t="inlineStr">
        <is>
          <t>010102020306  4MF 일반배기덕트설치공사</t>
        </is>
      </c>
    </row>
    <row r="66" ht="13.5" customHeight="1" s="362">
      <c r="A66" s="223" t="inlineStr">
        <is>
          <t>ME</t>
        </is>
      </c>
      <c r="B66" s="223" t="inlineStr">
        <is>
          <t>설비</t>
        </is>
      </c>
      <c r="C66" s="223" t="inlineStr">
        <is>
          <t>23</t>
        </is>
      </c>
      <c r="D66" s="223" t="inlineStr">
        <is>
          <t>비계설치공사</t>
        </is>
      </c>
      <c r="E66" s="223" t="inlineStr">
        <is>
          <t>010</t>
        </is>
      </c>
      <c r="F66" s="223" t="inlineStr">
        <is>
          <t>비계설치공사</t>
        </is>
      </c>
      <c r="H66" s="223" t="inlineStr">
        <is>
          <t>설비</t>
        </is>
      </c>
      <c r="I66" s="223" t="inlineStr">
        <is>
          <t>010102020307  5F 일반배기덕트설치공사</t>
        </is>
      </c>
    </row>
    <row r="67" ht="13.5" customHeight="1" s="362">
      <c r="A67" s="223" t="inlineStr">
        <is>
          <t>ME</t>
        </is>
      </c>
      <c r="B67" s="223" t="inlineStr">
        <is>
          <t>설비</t>
        </is>
      </c>
      <c r="C67" s="223" t="inlineStr">
        <is>
          <t>24</t>
        </is>
      </c>
      <c r="D67" s="223" t="inlineStr">
        <is>
          <t>볼조인트설치공사</t>
        </is>
      </c>
      <c r="E67" s="223" t="inlineStr">
        <is>
          <t>010</t>
        </is>
      </c>
      <c r="F67" s="223" t="inlineStr">
        <is>
          <t>볼조인트설치공사</t>
        </is>
      </c>
      <c r="H67" s="223" t="inlineStr">
        <is>
          <t>설비</t>
        </is>
      </c>
      <c r="I67" s="223" t="inlineStr">
        <is>
          <t>010102020308  6F 일반배기덕트설치공사</t>
        </is>
      </c>
    </row>
    <row r="68" ht="13.5" customHeight="1" s="362">
      <c r="A68" s="223" t="inlineStr">
        <is>
          <t>ME</t>
        </is>
      </c>
      <c r="B68" s="223" t="inlineStr">
        <is>
          <t>설비</t>
        </is>
      </c>
      <c r="C68" s="223" t="inlineStr">
        <is>
          <t>25</t>
        </is>
      </c>
      <c r="D68" s="223" t="inlineStr">
        <is>
          <t>동파방지열선공사</t>
        </is>
      </c>
      <c r="E68" s="223" t="inlineStr">
        <is>
          <t>010</t>
        </is>
      </c>
      <c r="F68" s="223" t="inlineStr">
        <is>
          <t>동파방지열선공사</t>
        </is>
      </c>
      <c r="H68" s="223" t="inlineStr">
        <is>
          <t>설비</t>
        </is>
      </c>
      <c r="I68" s="223" t="inlineStr">
        <is>
          <t>010102020309  7F 일반배기덕트설치공사</t>
        </is>
      </c>
    </row>
    <row r="69" ht="13.5" customHeight="1" s="362">
      <c r="A69" s="223" t="inlineStr">
        <is>
          <t>ME</t>
        </is>
      </c>
      <c r="B69" s="223" t="inlineStr">
        <is>
          <t>설비</t>
        </is>
      </c>
      <c r="C69" s="223" t="inlineStr">
        <is>
          <t>26</t>
        </is>
      </c>
      <c r="D69" s="223" t="inlineStr">
        <is>
          <t>방음방진설치공사</t>
        </is>
      </c>
      <c r="E69" s="223" t="inlineStr">
        <is>
          <t>010</t>
        </is>
      </c>
      <c r="F69" s="223" t="inlineStr">
        <is>
          <t>방음방진설치공사</t>
        </is>
      </c>
      <c r="H69" s="223" t="inlineStr">
        <is>
          <t>설비</t>
        </is>
      </c>
      <c r="I69" s="223" t="inlineStr">
        <is>
          <t>010102020310  ROOF 일반배기덕트설치공사</t>
        </is>
      </c>
    </row>
    <row r="70" ht="13.5" customHeight="1" s="362">
      <c r="A70" s="223" t="inlineStr">
        <is>
          <t>ME</t>
        </is>
      </c>
      <c r="B70" s="223" t="inlineStr">
        <is>
          <t>설비</t>
        </is>
      </c>
      <c r="C70" s="223" t="inlineStr">
        <is>
          <t>27</t>
        </is>
      </c>
      <c r="D70" s="223" t="inlineStr">
        <is>
          <t>Hook-up 공사</t>
        </is>
      </c>
      <c r="E70" s="223" t="inlineStr">
        <is>
          <t>010</t>
        </is>
      </c>
      <c r="F70" s="223" t="inlineStr">
        <is>
          <t>Hook-up 공사</t>
        </is>
      </c>
      <c r="H70" s="223" t="inlineStr">
        <is>
          <t>설비</t>
        </is>
      </c>
      <c r="I70" s="223" t="inlineStr">
        <is>
          <t>010102020401  1F HEAT/GEN배기덕트설치공사</t>
        </is>
      </c>
    </row>
    <row r="71" ht="13.5" customHeight="1" s="362">
      <c r="A71" s="223" t="inlineStr">
        <is>
          <t>ME</t>
        </is>
      </c>
      <c r="B71" s="223" t="inlineStr">
        <is>
          <t>설비</t>
        </is>
      </c>
      <c r="C71" s="223" t="inlineStr">
        <is>
          <t>28</t>
        </is>
      </c>
      <c r="D71" s="223" t="inlineStr">
        <is>
          <t>H2D배기설비공사</t>
        </is>
      </c>
      <c r="E71" s="223" t="inlineStr">
        <is>
          <t>010</t>
        </is>
      </c>
      <c r="F71" s="223" t="inlineStr">
        <is>
          <t>장비설치공사</t>
        </is>
      </c>
      <c r="H71" s="223" t="inlineStr">
        <is>
          <t>설비</t>
        </is>
      </c>
      <c r="I71" s="223" t="inlineStr">
        <is>
          <t>010102020402  2F HEAT/GEN배기덕트설치공사</t>
        </is>
      </c>
    </row>
    <row r="72" ht="13.5" customHeight="1" s="362">
      <c r="A72" s="223" t="inlineStr">
        <is>
          <t>ME</t>
        </is>
      </c>
      <c r="B72" s="223" t="inlineStr">
        <is>
          <t>설비</t>
        </is>
      </c>
      <c r="C72" s="223" t="inlineStr">
        <is>
          <t>28</t>
        </is>
      </c>
      <c r="D72" s="223" t="inlineStr">
        <is>
          <t>H2D배기설비공사</t>
        </is>
      </c>
      <c r="E72" s="223" t="inlineStr">
        <is>
          <t>020</t>
        </is>
      </c>
      <c r="F72" s="223" t="inlineStr">
        <is>
          <t>H2D배기덕트설치공사</t>
        </is>
      </c>
      <c r="H72" s="223" t="inlineStr">
        <is>
          <t>설비</t>
        </is>
      </c>
      <c r="I72" s="223" t="inlineStr">
        <is>
          <t>010102020403  3F HEAT/GEN배기덕트설치공사</t>
        </is>
      </c>
    </row>
    <row r="73" ht="13.5" customHeight="1" s="362">
      <c r="A73" s="223" t="inlineStr">
        <is>
          <t>ME</t>
        </is>
      </c>
      <c r="B73" s="223" t="inlineStr">
        <is>
          <t>설비</t>
        </is>
      </c>
      <c r="C73" s="223" t="inlineStr">
        <is>
          <t>29</t>
        </is>
      </c>
      <c r="D73" s="223" t="inlineStr">
        <is>
          <t>H-VAC설비공사</t>
        </is>
      </c>
      <c r="E73" s="223" t="inlineStr">
        <is>
          <t>010</t>
        </is>
      </c>
      <c r="F73" s="223" t="inlineStr">
        <is>
          <t>H-VAC설비공사</t>
        </is>
      </c>
      <c r="H73" s="223" t="inlineStr">
        <is>
          <t>설비</t>
        </is>
      </c>
      <c r="I73" s="223" t="inlineStr">
        <is>
          <t>010102020404  4F HEAT/GEN배기덕트설치공사</t>
        </is>
      </c>
    </row>
    <row r="74" ht="13.5" customHeight="1" s="362">
      <c r="A74" s="223" t="inlineStr">
        <is>
          <t>ME</t>
        </is>
      </c>
      <c r="B74" s="223" t="inlineStr">
        <is>
          <t>설비</t>
        </is>
      </c>
      <c r="C74" s="223" t="inlineStr">
        <is>
          <t>30</t>
        </is>
      </c>
      <c r="D74" s="223" t="inlineStr">
        <is>
          <t>우수배관공사</t>
        </is>
      </c>
      <c r="E74" s="223" t="inlineStr">
        <is>
          <t>010</t>
        </is>
      </c>
      <c r="F74" s="223" t="inlineStr">
        <is>
          <t>우수배관공사</t>
        </is>
      </c>
      <c r="H74" s="223" t="inlineStr">
        <is>
          <t>설비</t>
        </is>
      </c>
      <c r="I74" s="223" t="inlineStr">
        <is>
          <t>010102020405  4MF HEAT/GEN배기덕트설치공사</t>
        </is>
      </c>
    </row>
    <row r="75" ht="13.5" customHeight="1" s="362">
      <c r="A75" s="223" t="inlineStr">
        <is>
          <t>ME</t>
        </is>
      </c>
      <c r="B75" s="223" t="inlineStr">
        <is>
          <t>설비</t>
        </is>
      </c>
      <c r="C75" s="223" t="inlineStr">
        <is>
          <t>31</t>
        </is>
      </c>
      <c r="D75" s="223" t="inlineStr">
        <is>
          <t>RO배관공사</t>
        </is>
      </c>
      <c r="E75" s="223" t="inlineStr">
        <is>
          <t>010</t>
        </is>
      </c>
      <c r="F75" s="223" t="inlineStr">
        <is>
          <t>RO배관공사</t>
        </is>
      </c>
      <c r="H75" s="223" t="inlineStr">
        <is>
          <t>설비</t>
        </is>
      </c>
      <c r="I75" s="223" t="inlineStr">
        <is>
          <t>010102020406  5F HEAT/GEN배기덕트설치공사</t>
        </is>
      </c>
    </row>
    <row r="76" ht="13.5" customHeight="1" s="362">
      <c r="A76" s="223" t="inlineStr">
        <is>
          <t>ME</t>
        </is>
      </c>
      <c r="B76" s="223" t="inlineStr">
        <is>
          <t>설비</t>
        </is>
      </c>
      <c r="C76" s="223" t="inlineStr">
        <is>
          <t>VO</t>
        </is>
      </c>
      <c r="D76" s="223" t="inlineStr">
        <is>
          <t>VO공사</t>
        </is>
      </c>
      <c r="E76" s="223" t="inlineStr">
        <is>
          <t>SVO</t>
        </is>
      </c>
      <c r="F76" s="223" t="inlineStr">
        <is>
          <t>VO공사</t>
        </is>
      </c>
      <c r="H76" s="223" t="inlineStr">
        <is>
          <t>설비</t>
        </is>
      </c>
      <c r="I76" s="223" t="inlineStr">
        <is>
          <t>010102020407  6F HEAT/GEN배기덕트설치공사</t>
        </is>
      </c>
    </row>
    <row r="77" ht="13.5" customHeight="1" s="362">
      <c r="A77" s="223" t="n"/>
      <c r="B77" s="223" t="inlineStr">
        <is>
          <t>UT</t>
        </is>
      </c>
      <c r="C77" s="223" t="n"/>
      <c r="D77" s="223" t="n"/>
      <c r="E77" s="223" t="n"/>
      <c r="F77" s="223" t="inlineStr">
        <is>
          <t>공통업무</t>
        </is>
      </c>
      <c r="H77" s="223" t="inlineStr">
        <is>
          <t>설비</t>
        </is>
      </c>
      <c r="I77" s="223" t="inlineStr">
        <is>
          <t>010102020408  7F HEAT/GEN배기덕트설치공사</t>
        </is>
      </c>
    </row>
    <row r="78" ht="13.5" customHeight="1" s="362">
      <c r="A78" s="223" t="inlineStr">
        <is>
          <t>UT</t>
        </is>
      </c>
      <c r="B78" s="223" t="inlineStr">
        <is>
          <t>UT</t>
        </is>
      </c>
      <c r="C78" s="223" t="inlineStr">
        <is>
          <t>01</t>
        </is>
      </c>
      <c r="D78" s="223" t="inlineStr">
        <is>
          <t>PCW배관공사</t>
        </is>
      </c>
      <c r="E78" s="223" t="inlineStr">
        <is>
          <t>010</t>
        </is>
      </c>
      <c r="F78" s="223" t="inlineStr">
        <is>
          <t>PCW배관공사</t>
        </is>
      </c>
      <c r="H78" s="223" t="inlineStr">
        <is>
          <t>설비</t>
        </is>
      </c>
      <c r="I78" s="223" t="inlineStr">
        <is>
          <t>010102020409  ROOF HEAT/GEN배기덕트설치공사</t>
        </is>
      </c>
    </row>
    <row r="79" ht="13.5" customHeight="1" s="362">
      <c r="A79" s="223" t="inlineStr">
        <is>
          <t>UT</t>
        </is>
      </c>
      <c r="B79" s="223" t="inlineStr">
        <is>
          <t>UT</t>
        </is>
      </c>
      <c r="C79" s="223" t="inlineStr">
        <is>
          <t>02</t>
        </is>
      </c>
      <c r="D79" s="223" t="inlineStr">
        <is>
          <t>NPW배관공사</t>
        </is>
      </c>
      <c r="E79" s="223" t="inlineStr">
        <is>
          <t>010</t>
        </is>
      </c>
      <c r="F79" s="223" t="inlineStr">
        <is>
          <t>NPW배관공사</t>
        </is>
      </c>
      <c r="H79" s="223" t="inlineStr">
        <is>
          <t>설비</t>
        </is>
      </c>
      <c r="I79" s="223" t="inlineStr">
        <is>
          <t>010102020501  1F H2D배기덕트설치공사</t>
        </is>
      </c>
    </row>
    <row r="80" ht="13.5" customHeight="1" s="362">
      <c r="A80" s="223" t="inlineStr">
        <is>
          <t>UT</t>
        </is>
      </c>
      <c r="B80" s="223" t="inlineStr">
        <is>
          <t>UT</t>
        </is>
      </c>
      <c r="C80" s="223" t="inlineStr">
        <is>
          <t>03</t>
        </is>
      </c>
      <c r="D80" s="223" t="inlineStr">
        <is>
          <t>UPW설비공사</t>
        </is>
      </c>
      <c r="E80" s="223" t="inlineStr">
        <is>
          <t>010</t>
        </is>
      </c>
      <c r="F80" s="223" t="inlineStr">
        <is>
          <t>장비설치공사</t>
        </is>
      </c>
      <c r="H80" s="223" t="inlineStr">
        <is>
          <t>설비</t>
        </is>
      </c>
      <c r="I80" s="223" t="inlineStr">
        <is>
          <t>010102020502  2F H2D배기덕트설치공사</t>
        </is>
      </c>
    </row>
    <row r="81" ht="13.5" customHeight="1" s="362">
      <c r="A81" s="223" t="inlineStr">
        <is>
          <t>UT</t>
        </is>
      </c>
      <c r="B81" s="223" t="inlineStr">
        <is>
          <t>UT</t>
        </is>
      </c>
      <c r="C81" s="223" t="inlineStr">
        <is>
          <t>03</t>
        </is>
      </c>
      <c r="D81" s="223" t="inlineStr">
        <is>
          <t>UPW설비공사</t>
        </is>
      </c>
      <c r="E81" s="223" t="inlineStr">
        <is>
          <t>020</t>
        </is>
      </c>
      <c r="F81" s="223" t="inlineStr">
        <is>
          <t>UPW배관공사</t>
        </is>
      </c>
      <c r="H81" s="223" t="inlineStr">
        <is>
          <t>설비</t>
        </is>
      </c>
      <c r="I81" s="223" t="inlineStr">
        <is>
          <t>010102020503  3F H2D배기덕트설치공사</t>
        </is>
      </c>
    </row>
    <row r="82" ht="13.5" customHeight="1" s="362">
      <c r="A82" s="223" t="inlineStr">
        <is>
          <t>UT</t>
        </is>
      </c>
      <c r="B82" s="223" t="inlineStr">
        <is>
          <t>UT</t>
        </is>
      </c>
      <c r="C82" s="223" t="inlineStr">
        <is>
          <t>04</t>
        </is>
      </c>
      <c r="D82" s="223" t="inlineStr">
        <is>
          <t>H-VAC설비공사</t>
        </is>
      </c>
      <c r="E82" s="223" t="inlineStr">
        <is>
          <t>010</t>
        </is>
      </c>
      <c r="F82" s="223" t="inlineStr">
        <is>
          <t>장비설치공사</t>
        </is>
      </c>
      <c r="H82" s="223" t="inlineStr">
        <is>
          <t>설비</t>
        </is>
      </c>
      <c r="I82" s="223" t="inlineStr">
        <is>
          <t>010102020504  4F H2D배기덕트설치공사</t>
        </is>
      </c>
    </row>
    <row r="83" ht="13.5" customHeight="1" s="362">
      <c r="A83" s="223" t="inlineStr">
        <is>
          <t>UT</t>
        </is>
      </c>
      <c r="B83" s="223" t="inlineStr">
        <is>
          <t>UT</t>
        </is>
      </c>
      <c r="C83" s="223" t="inlineStr">
        <is>
          <t>04</t>
        </is>
      </c>
      <c r="D83" s="223" t="inlineStr">
        <is>
          <t>H-VAC설비공사</t>
        </is>
      </c>
      <c r="E83" s="223" t="inlineStr">
        <is>
          <t>020</t>
        </is>
      </c>
      <c r="F83" s="223" t="inlineStr">
        <is>
          <t>H-VAC배관공사</t>
        </is>
      </c>
      <c r="H83" s="223" t="inlineStr">
        <is>
          <t>설비</t>
        </is>
      </c>
      <c r="I83" s="223" t="inlineStr">
        <is>
          <t>010102020505  4MF H2D배기덕트설치공사</t>
        </is>
      </c>
    </row>
    <row r="84" ht="13.5" customHeight="1" s="362">
      <c r="A84" s="223" t="inlineStr">
        <is>
          <t>UT</t>
        </is>
      </c>
      <c r="B84" s="223" t="inlineStr">
        <is>
          <t>UT</t>
        </is>
      </c>
      <c r="C84" s="223" t="inlineStr">
        <is>
          <t>05</t>
        </is>
      </c>
      <c r="D84" s="223" t="inlineStr">
        <is>
          <t>P-VAC설비공사</t>
        </is>
      </c>
      <c r="E84" s="223" t="inlineStr">
        <is>
          <t>010</t>
        </is>
      </c>
      <c r="F84" s="223" t="inlineStr">
        <is>
          <t>장비설치공사</t>
        </is>
      </c>
      <c r="H84" s="223" t="inlineStr">
        <is>
          <t>설비</t>
        </is>
      </c>
      <c r="I84" s="223" t="inlineStr">
        <is>
          <t>010102020506  5F H2D배기덕트설치공사</t>
        </is>
      </c>
    </row>
    <row r="85" ht="13.5" customHeight="1" s="362">
      <c r="A85" s="223" t="inlineStr">
        <is>
          <t>UT</t>
        </is>
      </c>
      <c r="B85" s="223" t="inlineStr">
        <is>
          <t>UT</t>
        </is>
      </c>
      <c r="C85" s="223" t="inlineStr">
        <is>
          <t>05</t>
        </is>
      </c>
      <c r="D85" s="223" t="inlineStr">
        <is>
          <t>P-VAC설비공사</t>
        </is>
      </c>
      <c r="E85" s="223" t="inlineStr">
        <is>
          <t>020</t>
        </is>
      </c>
      <c r="F85" s="223" t="inlineStr">
        <is>
          <t>P-VAC배관공사</t>
        </is>
      </c>
      <c r="H85" s="223" t="inlineStr">
        <is>
          <t>설비</t>
        </is>
      </c>
      <c r="I85" s="223" t="inlineStr">
        <is>
          <t>010102020507  6F H2D배기덕트설치공사</t>
        </is>
      </c>
    </row>
    <row r="86" ht="13.5" customHeight="1" s="362">
      <c r="A86" s="223" t="inlineStr">
        <is>
          <t>UT</t>
        </is>
      </c>
      <c r="B86" s="223" t="inlineStr">
        <is>
          <t>UT</t>
        </is>
      </c>
      <c r="C86" s="223" t="inlineStr">
        <is>
          <t>06</t>
        </is>
      </c>
      <c r="D86" s="223" t="inlineStr">
        <is>
          <t>ALMS설비공사</t>
        </is>
      </c>
      <c r="E86" s="223" t="inlineStr">
        <is>
          <t>010</t>
        </is>
      </c>
      <c r="F86" s="223" t="inlineStr">
        <is>
          <t>장비설치공사</t>
        </is>
      </c>
      <c r="H86" s="223" t="inlineStr">
        <is>
          <t>설비</t>
        </is>
      </c>
      <c r="I86" s="223" t="inlineStr">
        <is>
          <t>010102020508  7F H2D배기덕트설치공사</t>
        </is>
      </c>
    </row>
    <row r="87" ht="13.5" customHeight="1" s="362">
      <c r="A87" s="223" t="inlineStr">
        <is>
          <t>UT</t>
        </is>
      </c>
      <c r="B87" s="223" t="inlineStr">
        <is>
          <t>UT</t>
        </is>
      </c>
      <c r="C87" s="223" t="inlineStr">
        <is>
          <t>06</t>
        </is>
      </c>
      <c r="D87" s="223" t="inlineStr">
        <is>
          <t>ALMS설비공사</t>
        </is>
      </c>
      <c r="E87" s="223" t="inlineStr">
        <is>
          <t>020</t>
        </is>
      </c>
      <c r="F87" s="223" t="inlineStr">
        <is>
          <t>ALMS배관공사</t>
        </is>
      </c>
      <c r="H87" s="223" t="inlineStr">
        <is>
          <t>설비</t>
        </is>
      </c>
      <c r="I87" s="223" t="inlineStr">
        <is>
          <t>010102020509  ROOF H2D배기덕트설치공사</t>
        </is>
      </c>
    </row>
    <row r="88" ht="13.5" customHeight="1" s="362">
      <c r="A88" s="223" t="inlineStr">
        <is>
          <t>UT</t>
        </is>
      </c>
      <c r="B88" s="223" t="inlineStr">
        <is>
          <t>UT</t>
        </is>
      </c>
      <c r="C88" s="223" t="inlineStr">
        <is>
          <t>07</t>
        </is>
      </c>
      <c r="D88" s="223" t="inlineStr">
        <is>
          <t>BULK GAS설비공사</t>
        </is>
      </c>
      <c r="E88" s="223" t="inlineStr">
        <is>
          <t>010</t>
        </is>
      </c>
      <c r="F88" s="223" t="inlineStr">
        <is>
          <t>GAS PLANT설치공사</t>
        </is>
      </c>
      <c r="H88" s="223" t="inlineStr">
        <is>
          <t>설비</t>
        </is>
      </c>
      <c r="I88" s="223" t="inlineStr">
        <is>
          <t>010102020601  1F ORGANIC배기덕트설치공사</t>
        </is>
      </c>
    </row>
    <row r="89" ht="13.5" customHeight="1" s="362">
      <c r="A89" s="223" t="inlineStr">
        <is>
          <t>UT</t>
        </is>
      </c>
      <c r="B89" s="223" t="inlineStr">
        <is>
          <t>UT</t>
        </is>
      </c>
      <c r="C89" s="223" t="inlineStr">
        <is>
          <t>07</t>
        </is>
      </c>
      <c r="D89" s="223" t="inlineStr">
        <is>
          <t>BULK GAS설비공사</t>
        </is>
      </c>
      <c r="E89" s="223" t="inlineStr">
        <is>
          <t>020</t>
        </is>
      </c>
      <c r="F89" s="223" t="inlineStr">
        <is>
          <t>장비설치공사</t>
        </is>
      </c>
      <c r="H89" s="223" t="inlineStr">
        <is>
          <t>설비</t>
        </is>
      </c>
      <c r="I89" s="223" t="inlineStr">
        <is>
          <t>010102020602  2F ORGANIC배기덕트설치공사</t>
        </is>
      </c>
    </row>
    <row r="90" ht="13.5" customHeight="1" s="362">
      <c r="A90" s="223" t="inlineStr">
        <is>
          <t>UT</t>
        </is>
      </c>
      <c r="B90" s="223" t="inlineStr">
        <is>
          <t>UT</t>
        </is>
      </c>
      <c r="C90" s="223" t="inlineStr">
        <is>
          <t>07</t>
        </is>
      </c>
      <c r="D90" s="223" t="inlineStr">
        <is>
          <t>BULK GAS설비공사</t>
        </is>
      </c>
      <c r="E90" s="223" t="inlineStr">
        <is>
          <t>030</t>
        </is>
      </c>
      <c r="F90" s="223" t="inlineStr">
        <is>
          <t>BULK GAS배관공사</t>
        </is>
      </c>
      <c r="H90" s="223" t="inlineStr">
        <is>
          <t>설비</t>
        </is>
      </c>
      <c r="I90" s="223" t="inlineStr">
        <is>
          <t>010102020603  3F ORGANIC배기덕트설치공사</t>
        </is>
      </c>
    </row>
    <row r="91" ht="13.5" customHeight="1" s="362">
      <c r="A91" s="223" t="inlineStr">
        <is>
          <t>UT</t>
        </is>
      </c>
      <c r="B91" s="223" t="inlineStr">
        <is>
          <t>UT</t>
        </is>
      </c>
      <c r="C91" s="223" t="inlineStr">
        <is>
          <t>07</t>
        </is>
      </c>
      <c r="D91" s="223" t="inlineStr">
        <is>
          <t>BULK GAS설비공사</t>
        </is>
      </c>
      <c r="E91" s="223" t="inlineStr">
        <is>
          <t>040</t>
        </is>
      </c>
      <c r="F91" s="223" t="inlineStr">
        <is>
          <t>HOOK UP 공사</t>
        </is>
      </c>
      <c r="H91" s="223" t="inlineStr">
        <is>
          <t>설비</t>
        </is>
      </c>
      <c r="I91" s="223" t="inlineStr">
        <is>
          <t>010102020604  4F ORGANIC배기덕트설치공사</t>
        </is>
      </c>
    </row>
    <row r="92" ht="13.5" customHeight="1" s="362">
      <c r="A92" s="223" t="inlineStr">
        <is>
          <t>UT</t>
        </is>
      </c>
      <c r="B92" s="223" t="inlineStr">
        <is>
          <t>UT</t>
        </is>
      </c>
      <c r="C92" s="223" t="inlineStr">
        <is>
          <t>08</t>
        </is>
      </c>
      <c r="D92" s="223" t="inlineStr">
        <is>
          <t>PROCESS GAS설비공사</t>
        </is>
      </c>
      <c r="E92" s="223" t="inlineStr">
        <is>
          <t>010</t>
        </is>
      </c>
      <c r="F92" s="223" t="inlineStr">
        <is>
          <t>장비설치공사</t>
        </is>
      </c>
      <c r="H92" s="223" t="inlineStr">
        <is>
          <t>설비</t>
        </is>
      </c>
      <c r="I92" s="223" t="inlineStr">
        <is>
          <t>010102020605  4MF ORGANIC배기덕트설치공사</t>
        </is>
      </c>
    </row>
    <row r="93" ht="13.5" customHeight="1" s="362">
      <c r="A93" s="223" t="inlineStr">
        <is>
          <t>UT</t>
        </is>
      </c>
      <c r="B93" s="223" t="inlineStr">
        <is>
          <t>UT</t>
        </is>
      </c>
      <c r="C93" s="223" t="inlineStr">
        <is>
          <t>08</t>
        </is>
      </c>
      <c r="D93" s="223" t="inlineStr">
        <is>
          <t>PROCESS GAS설비공사</t>
        </is>
      </c>
      <c r="E93" s="223" t="inlineStr">
        <is>
          <t>020</t>
        </is>
      </c>
      <c r="F93" s="223" t="inlineStr">
        <is>
          <t>PROCESS GAS배관공사</t>
        </is>
      </c>
      <c r="H93" s="223" t="inlineStr">
        <is>
          <t>설비</t>
        </is>
      </c>
      <c r="I93" s="223" t="inlineStr">
        <is>
          <t>010102020606  5F ORGANIC배기덕트설치공사</t>
        </is>
      </c>
    </row>
    <row r="94" ht="13.5" customHeight="1" s="362">
      <c r="A94" s="223" t="inlineStr">
        <is>
          <t>UT</t>
        </is>
      </c>
      <c r="B94" s="223" t="inlineStr">
        <is>
          <t>UT</t>
        </is>
      </c>
      <c r="C94" s="223" t="inlineStr">
        <is>
          <t>08</t>
        </is>
      </c>
      <c r="D94" s="223" t="inlineStr">
        <is>
          <t>PROCESS GAS설비공사</t>
        </is>
      </c>
      <c r="E94" s="223" t="inlineStr">
        <is>
          <t>030</t>
        </is>
      </c>
      <c r="F94" s="223" t="inlineStr">
        <is>
          <t>HOOK UP 공사</t>
        </is>
      </c>
      <c r="H94" s="223" t="inlineStr">
        <is>
          <t>설비</t>
        </is>
      </c>
      <c r="I94" s="223" t="inlineStr">
        <is>
          <t>010102020607  6F ORGANIC배기덕트설치공사</t>
        </is>
      </c>
    </row>
    <row r="95" ht="13.5" customHeight="1" s="362">
      <c r="A95" s="223" t="inlineStr">
        <is>
          <t>UT</t>
        </is>
      </c>
      <c r="B95" s="223" t="inlineStr">
        <is>
          <t>UT</t>
        </is>
      </c>
      <c r="C95" s="223" t="inlineStr">
        <is>
          <t>09</t>
        </is>
      </c>
      <c r="D95" s="223" t="inlineStr">
        <is>
          <t>CHEMICAL설비공사</t>
        </is>
      </c>
      <c r="E95" s="223" t="inlineStr">
        <is>
          <t>010</t>
        </is>
      </c>
      <c r="F95" s="223" t="inlineStr">
        <is>
          <t>장비설치공사</t>
        </is>
      </c>
      <c r="H95" s="223" t="inlineStr">
        <is>
          <t>설비</t>
        </is>
      </c>
      <c r="I95" s="223" t="inlineStr">
        <is>
          <t>010102020608  7F ORGANIC배기덕트설치공사</t>
        </is>
      </c>
    </row>
    <row r="96" ht="13.5" customHeight="1" s="362">
      <c r="A96" s="223" t="inlineStr">
        <is>
          <t>UT</t>
        </is>
      </c>
      <c r="B96" s="223" t="inlineStr">
        <is>
          <t>UT</t>
        </is>
      </c>
      <c r="C96" s="223" t="inlineStr">
        <is>
          <t>09</t>
        </is>
      </c>
      <c r="D96" s="223" t="inlineStr">
        <is>
          <t>CHEMICAL설비공사</t>
        </is>
      </c>
      <c r="E96" s="223" t="inlineStr">
        <is>
          <t>020</t>
        </is>
      </c>
      <c r="F96" s="223" t="inlineStr">
        <is>
          <t>CHEMICAL 배관공사</t>
        </is>
      </c>
      <c r="H96" s="223" t="inlineStr">
        <is>
          <t>설비</t>
        </is>
      </c>
      <c r="I96" s="223" t="inlineStr">
        <is>
          <t>010102020609  ROOF ORGANIC배기덕트설치공사</t>
        </is>
      </c>
    </row>
    <row r="97" ht="13.5" customHeight="1" s="362">
      <c r="A97" s="223" t="inlineStr">
        <is>
          <t>UT</t>
        </is>
      </c>
      <c r="B97" s="223" t="inlineStr">
        <is>
          <t>UT</t>
        </is>
      </c>
      <c r="C97" s="223" t="inlineStr">
        <is>
          <t>09</t>
        </is>
      </c>
      <c r="D97" s="223" t="inlineStr">
        <is>
          <t>CHEMICAL설비공사</t>
        </is>
      </c>
      <c r="E97" s="223" t="inlineStr">
        <is>
          <t>030</t>
        </is>
      </c>
      <c r="F97" s="223" t="inlineStr">
        <is>
          <t>HOOK UP 공사</t>
        </is>
      </c>
      <c r="H97" s="223" t="inlineStr">
        <is>
          <t>설비</t>
        </is>
      </c>
      <c r="I97" s="223" t="inlineStr">
        <is>
          <t>010102020701  1F CABINET덕트설치공사</t>
        </is>
      </c>
    </row>
    <row r="98" ht="13.5" customHeight="1" s="362">
      <c r="A98" s="223" t="inlineStr">
        <is>
          <t>UT</t>
        </is>
      </c>
      <c r="B98" s="223" t="inlineStr">
        <is>
          <t>UT</t>
        </is>
      </c>
      <c r="C98" s="223" t="inlineStr">
        <is>
          <t>10</t>
        </is>
      </c>
      <c r="D98" s="223" t="inlineStr">
        <is>
          <t>폐수폐액설비공사</t>
        </is>
      </c>
      <c r="E98" s="223" t="inlineStr">
        <is>
          <t>010</t>
        </is>
      </c>
      <c r="F98" s="223" t="inlineStr">
        <is>
          <t>WWTS 장비설치공사</t>
        </is>
      </c>
      <c r="H98" s="223" t="inlineStr">
        <is>
          <t>설비</t>
        </is>
      </c>
      <c r="I98" s="223" t="inlineStr">
        <is>
          <t>010102020702  2F CABINET덕트설치공사</t>
        </is>
      </c>
    </row>
    <row r="99" ht="13.5" customHeight="1" s="362">
      <c r="A99" s="223" t="inlineStr">
        <is>
          <t>UT</t>
        </is>
      </c>
      <c r="B99" s="223" t="inlineStr">
        <is>
          <t>UT</t>
        </is>
      </c>
      <c r="C99" s="223" t="inlineStr">
        <is>
          <t>10</t>
        </is>
      </c>
      <c r="D99" s="223" t="inlineStr">
        <is>
          <t>폐수폐액설비공사</t>
        </is>
      </c>
      <c r="E99" s="223" t="inlineStr">
        <is>
          <t>020</t>
        </is>
      </c>
      <c r="F99" s="223" t="inlineStr">
        <is>
          <t>폐수/폐액배관공사</t>
        </is>
      </c>
      <c r="H99" s="223" t="inlineStr">
        <is>
          <t>설비</t>
        </is>
      </c>
      <c r="I99" s="223" t="inlineStr">
        <is>
          <t>010102020703  3F CABINET덕트설치공사</t>
        </is>
      </c>
    </row>
    <row r="100" ht="13.5" customHeight="1" s="362">
      <c r="A100" s="223" t="inlineStr">
        <is>
          <t>UT</t>
        </is>
      </c>
      <c r="B100" s="223" t="inlineStr">
        <is>
          <t>UT</t>
        </is>
      </c>
      <c r="C100" s="223" t="inlineStr">
        <is>
          <t>11</t>
        </is>
      </c>
      <c r="D100" s="223" t="inlineStr">
        <is>
          <t>비계설치공사</t>
        </is>
      </c>
      <c r="E100" s="223" t="inlineStr">
        <is>
          <t>010</t>
        </is>
      </c>
      <c r="F100" s="223" t="inlineStr">
        <is>
          <t>비계설치공사</t>
        </is>
      </c>
      <c r="H100" s="223" t="inlineStr">
        <is>
          <t>설비</t>
        </is>
      </c>
      <c r="I100" s="223" t="inlineStr">
        <is>
          <t>010102020704  4F CABINET덕트설치공사</t>
        </is>
      </c>
    </row>
    <row r="101" ht="13.5" customHeight="1" s="362">
      <c r="A101" s="223" t="inlineStr">
        <is>
          <t>UT</t>
        </is>
      </c>
      <c r="B101" s="223" t="inlineStr">
        <is>
          <t>UT</t>
        </is>
      </c>
      <c r="C101" s="223" t="inlineStr">
        <is>
          <t>VO</t>
        </is>
      </c>
      <c r="D101" s="223" t="inlineStr">
        <is>
          <t>VO공사</t>
        </is>
      </c>
      <c r="E101" s="223" t="inlineStr">
        <is>
          <t>SVO</t>
        </is>
      </c>
      <c r="F101" s="223" t="inlineStr">
        <is>
          <t>VO공사</t>
        </is>
      </c>
      <c r="H101" s="223" t="inlineStr">
        <is>
          <t>설비</t>
        </is>
      </c>
      <c r="I101" s="223" t="inlineStr">
        <is>
          <t>010102020705  4MF CABINET덕트설치공사</t>
        </is>
      </c>
    </row>
    <row r="102" ht="13.5" customHeight="1" s="362">
      <c r="A102" s="223" t="n"/>
      <c r="B102" s="223" t="inlineStr">
        <is>
          <t>소방</t>
        </is>
      </c>
      <c r="C102" s="223" t="n"/>
      <c r="D102" s="223" t="n"/>
      <c r="E102" s="223" t="n"/>
      <c r="F102" s="223" t="inlineStr">
        <is>
          <t>공통업무</t>
        </is>
      </c>
      <c r="H102" s="223" t="inlineStr">
        <is>
          <t>설비</t>
        </is>
      </c>
      <c r="I102" s="223" t="inlineStr">
        <is>
          <t>010102020706  5F CABINET덕트설치공사</t>
        </is>
      </c>
    </row>
    <row r="103" ht="13.5" customHeight="1" s="362">
      <c r="A103" s="223" t="inlineStr">
        <is>
          <t>FF</t>
        </is>
      </c>
      <c r="B103" s="223" t="inlineStr">
        <is>
          <t>소방</t>
        </is>
      </c>
      <c r="C103" s="223" t="inlineStr">
        <is>
          <t>01</t>
        </is>
      </c>
      <c r="D103" s="223" t="inlineStr">
        <is>
          <t>기계소화설비</t>
        </is>
      </c>
      <c r="E103" s="223" t="inlineStr">
        <is>
          <t>010</t>
        </is>
      </c>
      <c r="F103" s="223" t="inlineStr">
        <is>
          <t>소화장비설치공사</t>
        </is>
      </c>
      <c r="H103" s="223" t="inlineStr">
        <is>
          <t>설비</t>
        </is>
      </c>
      <c r="I103" s="223" t="inlineStr">
        <is>
          <t>010102020707  6F CABINET덕트설치공사</t>
        </is>
      </c>
    </row>
    <row r="104" ht="13.5" customHeight="1" s="362">
      <c r="A104" s="223" t="inlineStr">
        <is>
          <t>FF</t>
        </is>
      </c>
      <c r="B104" s="223" t="inlineStr">
        <is>
          <t>소방</t>
        </is>
      </c>
      <c r="C104" s="223" t="inlineStr">
        <is>
          <t>01</t>
        </is>
      </c>
      <c r="D104" s="223" t="inlineStr">
        <is>
          <t>기계소화설비</t>
        </is>
      </c>
      <c r="E104" s="223" t="inlineStr">
        <is>
          <t>020</t>
        </is>
      </c>
      <c r="F104" s="223" t="inlineStr">
        <is>
          <t>소화기구설치공사</t>
        </is>
      </c>
      <c r="H104" s="223" t="inlineStr">
        <is>
          <t>설비</t>
        </is>
      </c>
      <c r="I104" s="223" t="inlineStr">
        <is>
          <t>010102020708  7F CABINET덕트설치공사</t>
        </is>
      </c>
    </row>
    <row r="105" ht="13.5" customHeight="1" s="362">
      <c r="A105" s="223" t="inlineStr">
        <is>
          <t>FF</t>
        </is>
      </c>
      <c r="B105" s="223" t="inlineStr">
        <is>
          <t>소방</t>
        </is>
      </c>
      <c r="C105" s="223" t="inlineStr">
        <is>
          <t>01</t>
        </is>
      </c>
      <c r="D105" s="223" t="inlineStr">
        <is>
          <t>기계소화설비</t>
        </is>
      </c>
      <c r="E105" s="223" t="inlineStr">
        <is>
          <t>030</t>
        </is>
      </c>
      <c r="F105" s="223" t="inlineStr">
        <is>
          <t>옥내소화배관공사</t>
        </is>
      </c>
      <c r="H105" s="223" t="inlineStr">
        <is>
          <t>설비</t>
        </is>
      </c>
      <c r="I105" s="223" t="inlineStr">
        <is>
          <t>010102020709  ROOF CABINET덕트설치공사</t>
        </is>
      </c>
    </row>
    <row r="106" ht="13.5" customHeight="1" s="362">
      <c r="A106" s="223" t="inlineStr">
        <is>
          <t>FF</t>
        </is>
      </c>
      <c r="B106" s="223" t="inlineStr">
        <is>
          <t>소방</t>
        </is>
      </c>
      <c r="C106" s="223" t="inlineStr">
        <is>
          <t>01</t>
        </is>
      </c>
      <c r="D106" s="223" t="inlineStr">
        <is>
          <t>기계소화설비</t>
        </is>
      </c>
      <c r="E106" s="223" t="inlineStr">
        <is>
          <t>040</t>
        </is>
      </c>
      <c r="F106" s="223" t="inlineStr">
        <is>
          <t>스프링클러배관공사</t>
        </is>
      </c>
      <c r="H106" s="223" t="inlineStr">
        <is>
          <t>설비</t>
        </is>
      </c>
      <c r="I106" s="223" t="inlineStr">
        <is>
          <t>010102020801  1F EMERGENCY덕트설치공사</t>
        </is>
      </c>
    </row>
    <row r="107" ht="13.5" customHeight="1" s="362">
      <c r="A107" s="223" t="inlineStr">
        <is>
          <t>FF</t>
        </is>
      </c>
      <c r="B107" s="223" t="inlineStr">
        <is>
          <t>소방</t>
        </is>
      </c>
      <c r="C107" s="223" t="inlineStr">
        <is>
          <t>01</t>
        </is>
      </c>
      <c r="D107" s="223" t="inlineStr">
        <is>
          <t>기계소화설비</t>
        </is>
      </c>
      <c r="E107" s="223" t="inlineStr">
        <is>
          <t>050</t>
        </is>
      </c>
      <c r="F107" s="223" t="inlineStr">
        <is>
          <t>옥외소화배관공사</t>
        </is>
      </c>
      <c r="H107" s="223" t="inlineStr">
        <is>
          <t>설비</t>
        </is>
      </c>
      <c r="I107" s="223" t="inlineStr">
        <is>
          <t>010102020802  2F EMERGENCY덕트설치공사</t>
        </is>
      </c>
    </row>
    <row r="108" ht="13.5" customHeight="1" s="362">
      <c r="A108" s="223" t="inlineStr">
        <is>
          <t>FF</t>
        </is>
      </c>
      <c r="B108" s="223" t="inlineStr">
        <is>
          <t>소방</t>
        </is>
      </c>
      <c r="C108" s="223" t="inlineStr">
        <is>
          <t>01</t>
        </is>
      </c>
      <c r="D108" s="223" t="inlineStr">
        <is>
          <t>기계소화설비</t>
        </is>
      </c>
      <c r="E108" s="223" t="inlineStr">
        <is>
          <t>060</t>
        </is>
      </c>
      <c r="F108" s="223" t="inlineStr">
        <is>
          <t>소화가스설비공사</t>
        </is>
      </c>
      <c r="H108" s="223" t="inlineStr">
        <is>
          <t>설비</t>
        </is>
      </c>
      <c r="I108" s="223" t="inlineStr">
        <is>
          <t>010102020803  3F EMERGENCY덕트설치공사</t>
        </is>
      </c>
    </row>
    <row r="109" ht="13.5" customHeight="1" s="362">
      <c r="A109" s="223" t="inlineStr">
        <is>
          <t>FF</t>
        </is>
      </c>
      <c r="B109" s="223" t="inlineStr">
        <is>
          <t>소방</t>
        </is>
      </c>
      <c r="C109" s="223" t="inlineStr">
        <is>
          <t>01</t>
        </is>
      </c>
      <c r="D109" s="223" t="inlineStr">
        <is>
          <t>기계소화설비</t>
        </is>
      </c>
      <c r="E109" s="223" t="inlineStr">
        <is>
          <t>070</t>
        </is>
      </c>
      <c r="F109" s="223" t="inlineStr">
        <is>
          <t>제연설비공사</t>
        </is>
      </c>
      <c r="H109" s="223" t="inlineStr">
        <is>
          <t>설비</t>
        </is>
      </c>
      <c r="I109" s="223" t="inlineStr">
        <is>
          <t>010102020804  4F EMERGENCY덕트설치공사</t>
        </is>
      </c>
    </row>
    <row r="110" ht="13.5" customHeight="1" s="362">
      <c r="A110" s="223" t="inlineStr">
        <is>
          <t>FF</t>
        </is>
      </c>
      <c r="B110" s="223" t="inlineStr">
        <is>
          <t>소방</t>
        </is>
      </c>
      <c r="C110" s="223" t="inlineStr">
        <is>
          <t>01</t>
        </is>
      </c>
      <c r="D110" s="223" t="inlineStr">
        <is>
          <t>기계소화설비</t>
        </is>
      </c>
      <c r="E110" s="223" t="inlineStr">
        <is>
          <t>080</t>
        </is>
      </c>
      <c r="F110" s="223" t="inlineStr">
        <is>
          <t>내진서포트설치공사</t>
        </is>
      </c>
      <c r="H110" s="223" t="inlineStr">
        <is>
          <t>설비</t>
        </is>
      </c>
      <c r="I110" s="223" t="inlineStr">
        <is>
          <t>010102020805  4MF EMERGENCY덕트설치공사</t>
        </is>
      </c>
    </row>
    <row r="111" ht="13.5" customHeight="1" s="362">
      <c r="A111" s="223" t="inlineStr">
        <is>
          <t>FF</t>
        </is>
      </c>
      <c r="B111" s="223" t="inlineStr">
        <is>
          <t>소방</t>
        </is>
      </c>
      <c r="C111" s="223" t="inlineStr">
        <is>
          <t>01</t>
        </is>
      </c>
      <c r="D111" s="223" t="inlineStr">
        <is>
          <t>기계소화설비</t>
        </is>
      </c>
      <c r="E111" s="223" t="inlineStr">
        <is>
          <t>090</t>
        </is>
      </c>
      <c r="F111" s="223" t="inlineStr">
        <is>
          <t>동파방지열선공사</t>
        </is>
      </c>
      <c r="H111" s="223" t="inlineStr">
        <is>
          <t>설비</t>
        </is>
      </c>
      <c r="I111" s="223" t="inlineStr">
        <is>
          <t>010102020806  5F EMERGENCY덕트설치공사</t>
        </is>
      </c>
    </row>
    <row r="112" ht="13.5" customHeight="1" s="362">
      <c r="A112" s="223" t="inlineStr">
        <is>
          <t>FF</t>
        </is>
      </c>
      <c r="B112" s="223" t="inlineStr">
        <is>
          <t>소방</t>
        </is>
      </c>
      <c r="C112" s="223" t="inlineStr">
        <is>
          <t>01</t>
        </is>
      </c>
      <c r="D112" s="223" t="inlineStr">
        <is>
          <t>기계소화설비</t>
        </is>
      </c>
      <c r="E112" s="223" t="inlineStr">
        <is>
          <t>100</t>
        </is>
      </c>
      <c r="F112" s="223" t="inlineStr">
        <is>
          <t>비계설치공사</t>
        </is>
      </c>
      <c r="H112" s="223" t="inlineStr">
        <is>
          <t>설비</t>
        </is>
      </c>
      <c r="I112" s="223" t="inlineStr">
        <is>
          <t>010102020807  6F EMERGENCY덕트설치공사</t>
        </is>
      </c>
    </row>
    <row r="113" ht="13.5" customHeight="1" s="362">
      <c r="A113" s="223" t="inlineStr">
        <is>
          <t>FF</t>
        </is>
      </c>
      <c r="B113" s="223" t="inlineStr">
        <is>
          <t>소방</t>
        </is>
      </c>
      <c r="C113" s="223" t="inlineStr">
        <is>
          <t>01</t>
        </is>
      </c>
      <c r="D113" s="223" t="inlineStr">
        <is>
          <t>기계소화설비</t>
        </is>
      </c>
      <c r="E113" s="223" t="inlineStr">
        <is>
          <t>110</t>
        </is>
      </c>
      <c r="F113" s="223" t="inlineStr">
        <is>
          <t>IN-DUCT스프링클러배관공사</t>
        </is>
      </c>
      <c r="H113" s="223" t="inlineStr">
        <is>
          <t>설비</t>
        </is>
      </c>
      <c r="I113" s="223" t="inlineStr">
        <is>
          <t>010102020808  7F EMERGENCY덕트설치공사</t>
        </is>
      </c>
    </row>
    <row r="114" ht="13.5" customHeight="1" s="362">
      <c r="A114" s="223" t="inlineStr">
        <is>
          <t>FF</t>
        </is>
      </c>
      <c r="B114" s="223" t="inlineStr">
        <is>
          <t>소방</t>
        </is>
      </c>
      <c r="C114" s="223" t="inlineStr">
        <is>
          <t>01</t>
        </is>
      </c>
      <c r="D114" s="223" t="inlineStr">
        <is>
          <t>기계소화설비</t>
        </is>
      </c>
      <c r="E114" s="223" t="inlineStr">
        <is>
          <t>120</t>
        </is>
      </c>
      <c r="F114" s="223" t="inlineStr">
        <is>
          <t>살수장애스프링클러배관공사</t>
        </is>
      </c>
      <c r="H114" s="223" t="inlineStr">
        <is>
          <t>설비</t>
        </is>
      </c>
      <c r="I114" s="223" t="inlineStr">
        <is>
          <t>010102020809  ROOF EMERGENCY덕트설치공사</t>
        </is>
      </c>
    </row>
    <row r="115" ht="13.5" customHeight="1" s="362">
      <c r="A115" s="223" t="inlineStr">
        <is>
          <t>FF</t>
        </is>
      </c>
      <c r="B115" s="223" t="inlineStr">
        <is>
          <t>소방</t>
        </is>
      </c>
      <c r="C115" s="223" t="inlineStr">
        <is>
          <t>01</t>
        </is>
      </c>
      <c r="D115" s="223" t="inlineStr">
        <is>
          <t>기계소화설비</t>
        </is>
      </c>
      <c r="E115" s="223" t="inlineStr">
        <is>
          <t>130</t>
        </is>
      </c>
      <c r="F115" s="223" t="inlineStr">
        <is>
          <t>물분무배관공사</t>
        </is>
      </c>
      <c r="H115" s="223" t="inlineStr">
        <is>
          <t>설비</t>
        </is>
      </c>
      <c r="I115" s="223" t="inlineStr">
        <is>
          <t>010102020901  1F ACID STS배기덕트설치공사</t>
        </is>
      </c>
    </row>
    <row r="116" ht="13.5" customHeight="1" s="362">
      <c r="A116" s="223" t="inlineStr">
        <is>
          <t>FF</t>
        </is>
      </c>
      <c r="B116" s="223" t="inlineStr">
        <is>
          <t>소방</t>
        </is>
      </c>
      <c r="C116" s="223" t="inlineStr">
        <is>
          <t>01</t>
        </is>
      </c>
      <c r="D116" s="223" t="inlineStr">
        <is>
          <t>기계소화설비</t>
        </is>
      </c>
      <c r="E116" s="223" t="inlineStr">
        <is>
          <t>140</t>
        </is>
      </c>
      <c r="F116" s="223" t="inlineStr">
        <is>
          <t>기타공사</t>
        </is>
      </c>
      <c r="H116" s="223" t="inlineStr">
        <is>
          <t>설비</t>
        </is>
      </c>
      <c r="I116" s="223" t="inlineStr">
        <is>
          <t>010102020902  2F ACID STS배기덕트설치공사</t>
        </is>
      </c>
    </row>
    <row r="117" ht="13.5" customHeight="1" s="362">
      <c r="A117" s="223" t="inlineStr">
        <is>
          <t>FF</t>
        </is>
      </c>
      <c r="B117" s="223" t="inlineStr">
        <is>
          <t>소방</t>
        </is>
      </c>
      <c r="C117" s="223" t="inlineStr">
        <is>
          <t>02</t>
        </is>
      </c>
      <c r="D117" s="223" t="inlineStr">
        <is>
          <t>전기소화설비</t>
        </is>
      </c>
      <c r="E117" s="223" t="inlineStr">
        <is>
          <t>010</t>
        </is>
      </c>
      <c r="F117" s="223" t="inlineStr">
        <is>
          <t>자탐설비공사</t>
        </is>
      </c>
      <c r="H117" s="223" t="inlineStr">
        <is>
          <t>설비</t>
        </is>
      </c>
      <c r="I117" s="223" t="inlineStr">
        <is>
          <t>010102020903  3F ACID STS배기덕트설치공사</t>
        </is>
      </c>
    </row>
    <row r="118" ht="13.5" customHeight="1" s="362">
      <c r="A118" s="223" t="inlineStr">
        <is>
          <t>FF</t>
        </is>
      </c>
      <c r="B118" s="223" t="inlineStr">
        <is>
          <t>소방</t>
        </is>
      </c>
      <c r="C118" s="223" t="inlineStr">
        <is>
          <t>02</t>
        </is>
      </c>
      <c r="D118" s="223" t="inlineStr">
        <is>
          <t>전기소화설비</t>
        </is>
      </c>
      <c r="E118" s="223" t="inlineStr">
        <is>
          <t>020</t>
        </is>
      </c>
      <c r="F118" s="223" t="inlineStr">
        <is>
          <t>유도등설비공사</t>
        </is>
      </c>
      <c r="H118" s="223" t="inlineStr">
        <is>
          <t>설비</t>
        </is>
      </c>
      <c r="I118" s="223" t="inlineStr">
        <is>
          <t>010102020904  4F ACID STS배기덕트설치공사</t>
        </is>
      </c>
    </row>
    <row r="119" ht="13.5" customHeight="1" s="362">
      <c r="A119" s="223" t="inlineStr">
        <is>
          <t>FF</t>
        </is>
      </c>
      <c r="B119" s="223" t="inlineStr">
        <is>
          <t>소방</t>
        </is>
      </c>
      <c r="C119" s="223" t="inlineStr">
        <is>
          <t>02</t>
        </is>
      </c>
      <c r="D119" s="223" t="inlineStr">
        <is>
          <t>전기소화설비</t>
        </is>
      </c>
      <c r="E119" s="223" t="inlineStr">
        <is>
          <t>030</t>
        </is>
      </c>
      <c r="F119" s="223" t="inlineStr">
        <is>
          <t>무선통신보조설비공사</t>
        </is>
      </c>
      <c r="H119" s="223" t="inlineStr">
        <is>
          <t>설비</t>
        </is>
      </c>
      <c r="I119" s="223" t="inlineStr">
        <is>
          <t>010102020905  4MF ACID STS배기덕트설치공사</t>
        </is>
      </c>
    </row>
    <row r="120" ht="13.5" customHeight="1" s="362">
      <c r="A120" s="223" t="inlineStr">
        <is>
          <t>FF</t>
        </is>
      </c>
      <c r="B120" s="223" t="inlineStr">
        <is>
          <t>소방</t>
        </is>
      </c>
      <c r="C120" s="223" t="inlineStr">
        <is>
          <t>02</t>
        </is>
      </c>
      <c r="D120" s="223" t="inlineStr">
        <is>
          <t>전기소화설비</t>
        </is>
      </c>
      <c r="E120" s="223" t="inlineStr">
        <is>
          <t>040</t>
        </is>
      </c>
      <c r="F120" s="223" t="inlineStr">
        <is>
          <t>공기흡입형감지기설비공사</t>
        </is>
      </c>
      <c r="H120" s="223" t="inlineStr">
        <is>
          <t>설비</t>
        </is>
      </c>
      <c r="I120" s="223" t="inlineStr">
        <is>
          <t>010102020906  5F ACID STS배기덕트설치공사</t>
        </is>
      </c>
    </row>
    <row r="121" ht="13.5" customHeight="1" s="362">
      <c r="A121" s="223" t="inlineStr">
        <is>
          <t>FF</t>
        </is>
      </c>
      <c r="B121" s="223" t="inlineStr">
        <is>
          <t>소방</t>
        </is>
      </c>
      <c r="C121" s="223" t="inlineStr">
        <is>
          <t>03</t>
        </is>
      </c>
      <c r="D121" s="223" t="inlineStr">
        <is>
          <t>TAB</t>
        </is>
      </c>
      <c r="E121" s="223" t="inlineStr">
        <is>
          <t>010</t>
        </is>
      </c>
      <c r="F121" s="223" t="inlineStr">
        <is>
          <t>TAB</t>
        </is>
      </c>
      <c r="H121" s="223" t="inlineStr">
        <is>
          <t>설비</t>
        </is>
      </c>
      <c r="I121" s="223" t="inlineStr">
        <is>
          <t>010102020907  6F ACID STS배기덕트설치공사</t>
        </is>
      </c>
    </row>
    <row r="122" ht="13.5" customHeight="1" s="362">
      <c r="A122" s="223" t="inlineStr">
        <is>
          <t>FF</t>
        </is>
      </c>
      <c r="B122" s="223" t="inlineStr">
        <is>
          <t>소방</t>
        </is>
      </c>
      <c r="C122" s="223" t="inlineStr">
        <is>
          <t>VO</t>
        </is>
      </c>
      <c r="D122" s="223" t="inlineStr">
        <is>
          <t>VO공사</t>
        </is>
      </c>
      <c r="E122" s="223" t="inlineStr">
        <is>
          <t>SVO</t>
        </is>
      </c>
      <c r="F122" s="223" t="inlineStr">
        <is>
          <t>VO공사</t>
        </is>
      </c>
      <c r="H122" s="223" t="inlineStr">
        <is>
          <t>설비</t>
        </is>
      </c>
      <c r="I122" s="223" t="inlineStr">
        <is>
          <t>010102020908  7F ACID STS배기덕트설치공사</t>
        </is>
      </c>
    </row>
    <row r="123" ht="13.5" customHeight="1" s="362">
      <c r="H123" s="223" t="inlineStr">
        <is>
          <t>설비</t>
        </is>
      </c>
      <c r="I123" s="223" t="inlineStr">
        <is>
          <t>010102020909  ROOF ACID STS배기덕트설치공사</t>
        </is>
      </c>
    </row>
    <row r="124" ht="13.5" customHeight="1" s="362">
      <c r="H124" s="223" t="inlineStr">
        <is>
          <t>설비</t>
        </is>
      </c>
      <c r="I124" s="223" t="inlineStr">
        <is>
          <t>010102021001  1F ALKALI STS배기덕트설치공사</t>
        </is>
      </c>
    </row>
    <row r="125" ht="13.5" customHeight="1" s="362">
      <c r="H125" s="223" t="inlineStr">
        <is>
          <t>설비</t>
        </is>
      </c>
      <c r="I125" s="223" t="inlineStr">
        <is>
          <t>010102021002  2F ALKALI STS배기덕트설치공사</t>
        </is>
      </c>
    </row>
    <row r="126" ht="13.5" customHeight="1" s="362">
      <c r="H126" s="223" t="inlineStr">
        <is>
          <t>설비</t>
        </is>
      </c>
      <c r="I126" s="223" t="inlineStr">
        <is>
          <t>010102021003  3F ALKALI STS배기덕트설치공사</t>
        </is>
      </c>
    </row>
    <row r="127" ht="13.5" customHeight="1" s="362">
      <c r="H127" s="223" t="inlineStr">
        <is>
          <t>설비</t>
        </is>
      </c>
      <c r="I127" s="223" t="inlineStr">
        <is>
          <t>010102021004  4F ALKALI STS배기덕트설치공사</t>
        </is>
      </c>
    </row>
    <row r="128" ht="13.5" customHeight="1" s="362">
      <c r="H128" s="223" t="inlineStr">
        <is>
          <t>설비</t>
        </is>
      </c>
      <c r="I128" s="223" t="inlineStr">
        <is>
          <t>010102021005  4MF ALKALI STS배기덕트설치공사</t>
        </is>
      </c>
    </row>
    <row r="129" ht="13.5" customHeight="1" s="362">
      <c r="H129" s="223" t="inlineStr">
        <is>
          <t>설비</t>
        </is>
      </c>
      <c r="I129" s="223" t="inlineStr">
        <is>
          <t>010102021006  5F ALKALI STS배기덕트설치공사</t>
        </is>
      </c>
    </row>
    <row r="130" ht="13.5" customHeight="1" s="362">
      <c r="H130" s="223" t="inlineStr">
        <is>
          <t>설비</t>
        </is>
      </c>
      <c r="I130" s="223" t="inlineStr">
        <is>
          <t>010102021007  6F ALKALI STS배기덕트설치공사</t>
        </is>
      </c>
    </row>
    <row r="131" ht="13.5" customHeight="1" s="362">
      <c r="H131" s="223" t="inlineStr">
        <is>
          <t>설비</t>
        </is>
      </c>
      <c r="I131" s="223" t="inlineStr">
        <is>
          <t>010102021008  7F ALKALI STS배기덕트설치공사</t>
        </is>
      </c>
    </row>
    <row r="132" ht="13.5" customHeight="1" s="362">
      <c r="H132" s="223" t="inlineStr">
        <is>
          <t>설비</t>
        </is>
      </c>
      <c r="I132" s="223" t="inlineStr">
        <is>
          <t>010102021009  RF ALKALI STS배기덕트설치공사</t>
        </is>
      </c>
    </row>
    <row r="133" ht="13.5" customHeight="1" s="362">
      <c r="H133" s="223" t="inlineStr">
        <is>
          <t>설비</t>
        </is>
      </c>
      <c r="I133" s="223" t="inlineStr">
        <is>
          <t>010102030101  1F DUCT DRAIN HF배관공사</t>
        </is>
      </c>
    </row>
    <row r="134" ht="13.5" customHeight="1" s="362">
      <c r="H134" s="223" t="inlineStr">
        <is>
          <t>설비</t>
        </is>
      </c>
      <c r="I134" s="223" t="inlineStr">
        <is>
          <t>010102030102  2F DUCT DRAIN HF배관공사</t>
        </is>
      </c>
    </row>
    <row r="135" ht="13.5" customHeight="1" s="362">
      <c r="H135" s="223" t="inlineStr">
        <is>
          <t>설비</t>
        </is>
      </c>
      <c r="I135" s="223" t="inlineStr">
        <is>
          <t>010102030103  3F DUCT DRAIN HF배관공사</t>
        </is>
      </c>
    </row>
    <row r="136" ht="13.5" customHeight="1" s="362">
      <c r="H136" s="223" t="inlineStr">
        <is>
          <t>설비</t>
        </is>
      </c>
      <c r="I136" s="223" t="inlineStr">
        <is>
          <t>010102030104  4F DUCT DRAIN HF배관공사</t>
        </is>
      </c>
    </row>
    <row r="137" ht="13.5" customHeight="1" s="362">
      <c r="H137" s="223" t="inlineStr">
        <is>
          <t>설비</t>
        </is>
      </c>
      <c r="I137" s="223" t="inlineStr">
        <is>
          <t>010102030105  4MF DUCT DRAIN HF배관공사</t>
        </is>
      </c>
    </row>
    <row r="138" ht="13.5" customHeight="1" s="362">
      <c r="H138" s="223" t="inlineStr">
        <is>
          <t>설비</t>
        </is>
      </c>
      <c r="I138" s="223" t="inlineStr">
        <is>
          <t>010102030106  7F DUCT DRAIN HF배관공사</t>
        </is>
      </c>
    </row>
    <row r="139" ht="13.5" customHeight="1" s="362">
      <c r="H139" s="223" t="inlineStr">
        <is>
          <t>설비</t>
        </is>
      </c>
      <c r="I139" s="223" t="inlineStr">
        <is>
          <t>010102030107  ROOF DUCT DRAIN HF배관공사</t>
        </is>
      </c>
    </row>
    <row r="140" ht="13.5" customHeight="1" s="362">
      <c r="H140" s="223" t="inlineStr">
        <is>
          <t>설비</t>
        </is>
      </c>
      <c r="I140" s="223" t="inlineStr">
        <is>
          <t>010102030201  1F DUCT DRAIN SOLVENT배관공사</t>
        </is>
      </c>
    </row>
    <row r="141" ht="13.5" customHeight="1" s="362">
      <c r="H141" s="223" t="inlineStr">
        <is>
          <t>설비</t>
        </is>
      </c>
      <c r="I141" s="223" t="inlineStr">
        <is>
          <t>010102030202  2F DUCT DRAIN SOLVENT배관공사</t>
        </is>
      </c>
    </row>
    <row r="142" ht="13.5" customHeight="1" s="362">
      <c r="H142" s="223" t="inlineStr">
        <is>
          <t>설비</t>
        </is>
      </c>
      <c r="I142" s="223" t="inlineStr">
        <is>
          <t>010102030203  3F DUCT DRAIN SOLVENT배관공사</t>
        </is>
      </c>
    </row>
    <row r="143" ht="13.5" customHeight="1" s="362">
      <c r="H143" s="223" t="inlineStr">
        <is>
          <t>설비</t>
        </is>
      </c>
      <c r="I143" s="223" t="inlineStr">
        <is>
          <t>010102030204  7F DUCT DRAIN SOLVENT배관공사</t>
        </is>
      </c>
    </row>
    <row r="144" ht="13.5" customHeight="1" s="362">
      <c r="H144" s="223" t="inlineStr">
        <is>
          <t>설비</t>
        </is>
      </c>
      <c r="I144" s="223" t="inlineStr">
        <is>
          <t>010102030205  RF DUCT DRAIN SOLVENT배관공사</t>
        </is>
      </c>
    </row>
    <row r="145" ht="13.5" customHeight="1" s="362">
      <c r="H145" s="223" t="inlineStr">
        <is>
          <t>설비</t>
        </is>
      </c>
      <c r="I145" s="223" t="inlineStr">
        <is>
          <t>010102040101  3층 위생기구설치공사</t>
        </is>
      </c>
    </row>
    <row r="146" ht="13.5" customHeight="1" s="362">
      <c r="H146" s="223" t="inlineStr">
        <is>
          <t>설비</t>
        </is>
      </c>
      <c r="I146" s="223" t="inlineStr">
        <is>
          <t>010102040201  B1F 급수급탕배관공사</t>
        </is>
      </c>
    </row>
    <row r="147" ht="13.5" customHeight="1" s="362">
      <c r="H147" s="223" t="inlineStr">
        <is>
          <t>설비</t>
        </is>
      </c>
      <c r="I147" s="223" t="inlineStr">
        <is>
          <t>010102040202  1F 급수급탕배관공사</t>
        </is>
      </c>
    </row>
    <row r="148" ht="13.5" customHeight="1" s="362">
      <c r="H148" s="223" t="inlineStr">
        <is>
          <t>설비</t>
        </is>
      </c>
      <c r="I148" s="223" t="inlineStr">
        <is>
          <t>010102040203  2F 급수급탕배관공사</t>
        </is>
      </c>
    </row>
    <row r="149" ht="13.5" customHeight="1" s="362">
      <c r="H149" s="223" t="inlineStr">
        <is>
          <t>설비</t>
        </is>
      </c>
      <c r="I149" s="223" t="inlineStr">
        <is>
          <t>010102040204  3F 급수급탕배관공사</t>
        </is>
      </c>
    </row>
    <row r="150" ht="13.5" customHeight="1" s="362">
      <c r="H150" s="223" t="inlineStr">
        <is>
          <t>설비</t>
        </is>
      </c>
      <c r="I150" s="223" t="inlineStr">
        <is>
          <t>010102040205  4F 급수급탕배관공사</t>
        </is>
      </c>
    </row>
    <row r="151" ht="13.5" customHeight="1" s="362">
      <c r="H151" s="223" t="inlineStr">
        <is>
          <t>설비</t>
        </is>
      </c>
      <c r="I151" s="223" t="inlineStr">
        <is>
          <t>010102040206  4MF 급수급탕배관공사</t>
        </is>
      </c>
    </row>
    <row r="152" ht="13.5" customHeight="1" s="362">
      <c r="H152" s="223" t="inlineStr">
        <is>
          <t>설비</t>
        </is>
      </c>
      <c r="I152" s="223" t="inlineStr">
        <is>
          <t>010102040207  5F 급수급탕배관공사</t>
        </is>
      </c>
    </row>
    <row r="153" ht="13.5" customHeight="1" s="362">
      <c r="H153" s="223" t="inlineStr">
        <is>
          <t>설비</t>
        </is>
      </c>
      <c r="I153" s="223" t="inlineStr">
        <is>
          <t>010102040208  6F 급수급탕배관공사</t>
        </is>
      </c>
    </row>
    <row r="154" ht="13.5" customHeight="1" s="362">
      <c r="H154" s="223" t="inlineStr">
        <is>
          <t>설비</t>
        </is>
      </c>
      <c r="I154" s="223" t="inlineStr">
        <is>
          <t>010102040209  7F 급수급탕배관공사</t>
        </is>
      </c>
    </row>
    <row r="155" ht="13.5" customHeight="1" s="362">
      <c r="H155" s="223" t="inlineStr">
        <is>
          <t>설비</t>
        </is>
      </c>
      <c r="I155" s="223" t="inlineStr">
        <is>
          <t>010102040301  B1F NPW배관공사</t>
        </is>
      </c>
    </row>
    <row r="156" ht="13.5" customHeight="1" s="362">
      <c r="H156" s="223" t="inlineStr">
        <is>
          <t>설비</t>
        </is>
      </c>
      <c r="I156" s="223" t="inlineStr">
        <is>
          <t>010102040302  1F NPW배관공사</t>
        </is>
      </c>
    </row>
    <row r="157" ht="13.5" customHeight="1" s="362">
      <c r="H157" s="223" t="inlineStr">
        <is>
          <t>설비</t>
        </is>
      </c>
      <c r="I157" s="223" t="inlineStr">
        <is>
          <t>010102040303  2F NPW배관공사</t>
        </is>
      </c>
    </row>
    <row r="158" ht="13.5" customHeight="1" s="362">
      <c r="H158" s="223" t="inlineStr">
        <is>
          <t>설비</t>
        </is>
      </c>
      <c r="I158" s="223" t="inlineStr">
        <is>
          <t>010102040304  3F NPW배관공사</t>
        </is>
      </c>
    </row>
    <row r="159" ht="13.5" customHeight="1" s="362">
      <c r="H159" s="223" t="inlineStr">
        <is>
          <t>설비</t>
        </is>
      </c>
      <c r="I159" s="223" t="inlineStr">
        <is>
          <t>010102040305  4F NPW배관공사</t>
        </is>
      </c>
    </row>
    <row r="160" ht="13.5" customHeight="1" s="362">
      <c r="H160" s="223" t="inlineStr">
        <is>
          <t>설비</t>
        </is>
      </c>
      <c r="I160" s="223" t="inlineStr">
        <is>
          <t>010102040306  4MF NPW배관공사</t>
        </is>
      </c>
    </row>
    <row r="161" ht="13.5" customHeight="1" s="362">
      <c r="H161" s="223" t="inlineStr">
        <is>
          <t>설비</t>
        </is>
      </c>
      <c r="I161" s="223" t="inlineStr">
        <is>
          <t>010102040307  5F NPW배관공사</t>
        </is>
      </c>
    </row>
    <row r="162" ht="13.5" customHeight="1" s="362">
      <c r="H162" s="223" t="inlineStr">
        <is>
          <t>설비</t>
        </is>
      </c>
      <c r="I162" s="223" t="inlineStr">
        <is>
          <t>010102040308  6F NPW배관공사</t>
        </is>
      </c>
    </row>
    <row r="163" ht="13.5" customHeight="1" s="362">
      <c r="H163" s="223" t="inlineStr">
        <is>
          <t>설비</t>
        </is>
      </c>
      <c r="I163" s="223" t="inlineStr">
        <is>
          <t>010102040309  7F NPW배관공사</t>
        </is>
      </c>
    </row>
    <row r="164" ht="13.5" customHeight="1" s="362">
      <c r="H164" s="223" t="inlineStr">
        <is>
          <t>설비</t>
        </is>
      </c>
      <c r="I164" s="223" t="inlineStr">
        <is>
          <t>010102040310  ROOF NPW배관공사</t>
        </is>
      </c>
    </row>
    <row r="165" ht="13.5" customHeight="1" s="362">
      <c r="H165" s="223" t="inlineStr">
        <is>
          <t>설비</t>
        </is>
      </c>
      <c r="I165" s="223" t="inlineStr">
        <is>
          <t>010102040311  ROOFTOP-1 NPW배관공사</t>
        </is>
      </c>
    </row>
    <row r="166" ht="13.5" customHeight="1" s="362">
      <c r="H166" s="223" t="inlineStr">
        <is>
          <t>설비</t>
        </is>
      </c>
      <c r="I166" s="223" t="inlineStr">
        <is>
          <t>010102040401  B1층 오배수배관공사</t>
        </is>
      </c>
    </row>
    <row r="167" ht="13.5" customHeight="1" s="362">
      <c r="H167" s="223" t="inlineStr">
        <is>
          <t>설비</t>
        </is>
      </c>
      <c r="I167" s="223" t="inlineStr">
        <is>
          <t>010102040402  1층 오배수배관공사</t>
        </is>
      </c>
    </row>
    <row r="168" ht="13.5" customHeight="1" s="362">
      <c r="H168" s="223" t="inlineStr">
        <is>
          <t>설비</t>
        </is>
      </c>
      <c r="I168" s="223" t="inlineStr">
        <is>
          <t>010102040403  2층 오배수배관공사</t>
        </is>
      </c>
    </row>
    <row r="169" ht="13.5" customHeight="1" s="362">
      <c r="H169" s="223" t="inlineStr">
        <is>
          <t>설비</t>
        </is>
      </c>
      <c r="I169" s="223" t="inlineStr">
        <is>
          <t>010102040404  3층 오배수배관공사</t>
        </is>
      </c>
    </row>
    <row r="170" ht="13.5" customHeight="1" s="362">
      <c r="H170" s="223" t="inlineStr">
        <is>
          <t>설비</t>
        </is>
      </c>
      <c r="I170" s="223" t="inlineStr">
        <is>
          <t>010102040405  4층 오배수배관공사</t>
        </is>
      </c>
    </row>
    <row r="171" ht="13.5" customHeight="1" s="362">
      <c r="H171" s="223" t="inlineStr">
        <is>
          <t>설비</t>
        </is>
      </c>
      <c r="I171" s="223" t="inlineStr">
        <is>
          <t>010102040406  4M층 오배수배관공사</t>
        </is>
      </c>
    </row>
    <row r="172" ht="13.5" customHeight="1" s="362">
      <c r="H172" s="223" t="inlineStr">
        <is>
          <t>설비</t>
        </is>
      </c>
      <c r="I172" s="223" t="inlineStr">
        <is>
          <t>010102040407  5층 오배수배관공사</t>
        </is>
      </c>
    </row>
    <row r="173" ht="13.5" customHeight="1" s="362">
      <c r="H173" s="223" t="inlineStr">
        <is>
          <t>설비</t>
        </is>
      </c>
      <c r="I173" s="223" t="inlineStr">
        <is>
          <t>010102040408  6층 오배수배관공사</t>
        </is>
      </c>
    </row>
    <row r="174" ht="13.5" customHeight="1" s="362">
      <c r="H174" s="223" t="inlineStr">
        <is>
          <t>설비</t>
        </is>
      </c>
      <c r="I174" s="223" t="inlineStr">
        <is>
          <t>010102040409  7층 오배수배관공사</t>
        </is>
      </c>
    </row>
    <row r="175" ht="13.5" customHeight="1" s="362">
      <c r="H175" s="223" t="inlineStr">
        <is>
          <t>설비</t>
        </is>
      </c>
      <c r="I175" s="223" t="inlineStr">
        <is>
          <t>010102040410  ROOF층 오배수배관공사</t>
        </is>
      </c>
    </row>
    <row r="176" ht="13.5" customHeight="1" s="362">
      <c r="H176" s="223" t="inlineStr">
        <is>
          <t>설비</t>
        </is>
      </c>
      <c r="I176" s="223" t="inlineStr">
        <is>
          <t>0101020501  1F F03 동파방지열선</t>
        </is>
      </c>
    </row>
    <row r="177" ht="13.5" customHeight="1" s="362">
      <c r="H177" s="223" t="inlineStr">
        <is>
          <t>설비</t>
        </is>
      </c>
      <c r="I177" s="223" t="inlineStr">
        <is>
          <t>0101020502  ROOF F03 동파방지열선(CTW,NPW,CD)</t>
        </is>
      </c>
    </row>
    <row r="178" ht="13.5" customHeight="1" s="362">
      <c r="H178" s="223" t="inlineStr">
        <is>
          <t>설비</t>
        </is>
      </c>
      <c r="I178" s="223" t="inlineStr">
        <is>
          <t>0101020503  ROOF F03 동파방지열선(DUCT DRAIN)</t>
        </is>
      </c>
    </row>
    <row r="179" ht="13.5" customHeight="1" s="362">
      <c r="H179" s="223" t="inlineStr">
        <is>
          <t>설비</t>
        </is>
      </c>
      <c r="I179" s="223" t="inlineStr">
        <is>
          <t>01010206  사이포닉 우배수 배관공사</t>
        </is>
      </c>
    </row>
    <row r="180" ht="13.5" customHeight="1" s="362">
      <c r="H180" s="223" t="inlineStr">
        <is>
          <t>설비</t>
        </is>
      </c>
      <c r="I180" s="223" t="inlineStr">
        <is>
          <t>0101020701  HVAC PIPING VIBRATION</t>
        </is>
      </c>
    </row>
    <row r="181" ht="13.5" customHeight="1" s="362">
      <c r="H181" s="223" t="inlineStr">
        <is>
          <t>설비</t>
        </is>
      </c>
      <c r="I181" s="223" t="inlineStr">
        <is>
          <t>0101020702  HVAC- DUCT VIBRATION</t>
        </is>
      </c>
    </row>
    <row r="182" ht="13.5" customHeight="1" s="362">
      <c r="H182" s="223" t="inlineStr">
        <is>
          <t>설비</t>
        </is>
      </c>
      <c r="I182" s="223" t="inlineStr">
        <is>
          <t>0101020703  EXHAUST- DUCT VIBRATION</t>
        </is>
      </c>
    </row>
    <row r="183" ht="13.5" customHeight="1" s="362">
      <c r="H183" s="223" t="inlineStr">
        <is>
          <t>설비</t>
        </is>
      </c>
      <c r="I183" s="223" t="inlineStr">
        <is>
          <t>01010208  LNG 배관공사</t>
        </is>
      </c>
    </row>
    <row r="184" ht="13.5" customHeight="1" s="362">
      <c r="H184" s="223" t="inlineStr">
        <is>
          <t>설비</t>
        </is>
      </c>
      <c r="I184" s="223" t="inlineStr">
        <is>
          <t>0101020901  RF (F03) ACID FRP</t>
        </is>
      </c>
    </row>
    <row r="185" ht="13.5" customHeight="1" s="362">
      <c r="H185" s="223" t="inlineStr">
        <is>
          <t>설비</t>
        </is>
      </c>
      <c r="I185" s="223" t="inlineStr">
        <is>
          <t>0101020902  RF (F03) ALKALI FRP</t>
        </is>
      </c>
    </row>
    <row r="186" ht="13.5" customHeight="1" s="362">
      <c r="H186" s="223" t="inlineStr">
        <is>
          <t>설비</t>
        </is>
      </c>
      <c r="I186" s="223" t="inlineStr">
        <is>
          <t>010102100101  1F DS구간~ROOF (북측 )</t>
        </is>
      </c>
    </row>
    <row r="187" ht="13.5" customHeight="1" s="362">
      <c r="H187" s="223" t="inlineStr">
        <is>
          <t>설비</t>
        </is>
      </c>
      <c r="I187" s="223" t="inlineStr">
        <is>
          <t>010102100201  1F DS구간~ROOF (북측 )</t>
        </is>
      </c>
    </row>
    <row r="188" ht="13.5" customHeight="1" s="362">
      <c r="H188" s="223" t="inlineStr">
        <is>
          <t>설비</t>
        </is>
      </c>
      <c r="I188" s="223" t="inlineStr">
        <is>
          <t>010102100202  3F DS구간~ROOF (북측 )</t>
        </is>
      </c>
    </row>
    <row r="189" ht="13.5" customHeight="1" s="362">
      <c r="H189" s="223" t="inlineStr">
        <is>
          <t>설비</t>
        </is>
      </c>
      <c r="I189" s="223" t="inlineStr">
        <is>
          <t>010102110101  RF (F03) ACID FRP</t>
        </is>
      </c>
    </row>
    <row r="190" ht="13.5" customHeight="1" s="362">
      <c r="H190" s="223" t="inlineStr">
        <is>
          <t>설비</t>
        </is>
      </c>
      <c r="I190" s="223" t="inlineStr">
        <is>
          <t>010102110201  RF (F03) ALKALI FRP</t>
        </is>
      </c>
    </row>
    <row r="191" ht="13.5" customHeight="1" s="362">
      <c r="H191" s="223" t="inlineStr">
        <is>
          <t>설비</t>
        </is>
      </c>
      <c r="I191" s="223" t="inlineStr">
        <is>
          <t>010102110301  RF (F03) CABINET FRP</t>
        </is>
      </c>
    </row>
    <row r="192" ht="13.5" customHeight="1" s="362">
      <c r="H192" s="223" t="inlineStr">
        <is>
          <t>설비</t>
        </is>
      </c>
      <c r="I192" s="223" t="inlineStr">
        <is>
          <t>010102120101  1ST HIGH</t>
        </is>
      </c>
    </row>
    <row r="193" ht="13.5" customHeight="1" s="362">
      <c r="H193" s="223" t="inlineStr">
        <is>
          <t>설비</t>
        </is>
      </c>
      <c r="I193" s="223" t="inlineStr">
        <is>
          <t>010102120102  2ND FL HIGH</t>
        </is>
      </c>
    </row>
    <row r="194" ht="13.5" customHeight="1" s="362">
      <c r="H194" s="223" t="inlineStr">
        <is>
          <t>설비</t>
        </is>
      </c>
      <c r="I194" s="223" t="inlineStr">
        <is>
          <t>010102120103  3ND FL</t>
        </is>
      </c>
    </row>
    <row r="195" ht="13.5" customHeight="1" s="362">
      <c r="H195" s="223" t="inlineStr">
        <is>
          <t>설비</t>
        </is>
      </c>
      <c r="I195" s="223" t="inlineStr">
        <is>
          <t>010103010101  1F 냉수배관공사</t>
        </is>
      </c>
    </row>
    <row r="196" ht="13.5" customHeight="1" s="362">
      <c r="H196" s="223" t="inlineStr">
        <is>
          <t>설비</t>
        </is>
      </c>
      <c r="I196" s="223" t="inlineStr">
        <is>
          <t>010103010102  4F 냉수배관공사</t>
        </is>
      </c>
    </row>
    <row r="197" ht="13.5" customHeight="1" s="362">
      <c r="H197" s="223" t="inlineStr">
        <is>
          <t>설비</t>
        </is>
      </c>
      <c r="I197" s="223" t="inlineStr">
        <is>
          <t>010103010201  4F 폐열회수배관공사</t>
        </is>
      </c>
    </row>
    <row r="198" ht="13.5" customHeight="1" s="362">
      <c r="H198" s="223" t="inlineStr">
        <is>
          <t>설비</t>
        </is>
      </c>
      <c r="I198" s="223" t="inlineStr">
        <is>
          <t>010103010301  1F 드레인배관공사</t>
        </is>
      </c>
    </row>
    <row r="199" ht="13.5" customHeight="1" s="362">
      <c r="H199" s="223" t="inlineStr">
        <is>
          <t>설비</t>
        </is>
      </c>
      <c r="I199" s="223" t="inlineStr">
        <is>
          <t>010103010302  4F 드레인배관공사</t>
        </is>
      </c>
    </row>
    <row r="200" ht="13.5" customHeight="1" s="362">
      <c r="H200" s="223" t="inlineStr">
        <is>
          <t>설비</t>
        </is>
      </c>
      <c r="I200" s="223" t="inlineStr">
        <is>
          <t>010103020101  1F 공조덕트설치공사</t>
        </is>
      </c>
    </row>
    <row r="201" ht="13.5" customHeight="1" s="362">
      <c r="H201" s="223" t="inlineStr">
        <is>
          <t>설비</t>
        </is>
      </c>
      <c r="I201" s="223" t="inlineStr">
        <is>
          <t>010103020102  2F 공조덕트설치공사</t>
        </is>
      </c>
    </row>
    <row r="202" ht="13.5" customHeight="1" s="362">
      <c r="H202" s="223" t="inlineStr">
        <is>
          <t>설비</t>
        </is>
      </c>
      <c r="I202" s="223" t="inlineStr">
        <is>
          <t>010103020103  3F 공조덕트설치공사</t>
        </is>
      </c>
    </row>
    <row r="203" ht="13.5" customHeight="1" s="362">
      <c r="H203" s="223" t="inlineStr">
        <is>
          <t>설비</t>
        </is>
      </c>
      <c r="I203" s="223" t="inlineStr">
        <is>
          <t>010103020104  4F 공조덕트설치공사</t>
        </is>
      </c>
    </row>
    <row r="204" ht="13.5" customHeight="1" s="362">
      <c r="H204" s="223" t="inlineStr">
        <is>
          <t>설비</t>
        </is>
      </c>
      <c r="I204" s="223" t="inlineStr">
        <is>
          <t>010103020105  4MF 공조덕트설치공사</t>
        </is>
      </c>
    </row>
    <row r="205" ht="13.5" customHeight="1" s="362">
      <c r="H205" s="223" t="inlineStr">
        <is>
          <t>설비</t>
        </is>
      </c>
      <c r="I205" s="223" t="inlineStr">
        <is>
          <t>010103020201  2F 크린룸덕트설치공사</t>
        </is>
      </c>
    </row>
    <row r="206" ht="13.5" customHeight="1" s="362">
      <c r="H206" s="223" t="inlineStr">
        <is>
          <t>설비</t>
        </is>
      </c>
      <c r="I206" s="223" t="inlineStr">
        <is>
          <t>010103020301  2F 일반배기덕트설치공사</t>
        </is>
      </c>
    </row>
    <row r="207" ht="13.5" customHeight="1" s="362">
      <c r="H207" s="223" t="inlineStr">
        <is>
          <t>설비</t>
        </is>
      </c>
      <c r="I207" s="223" t="inlineStr">
        <is>
          <t>010103020302  4MF 일반배기덕트설치공사</t>
        </is>
      </c>
    </row>
    <row r="208" ht="13.5" customHeight="1" s="362">
      <c r="H208" s="223" t="inlineStr">
        <is>
          <t>설비</t>
        </is>
      </c>
      <c r="I208" s="223" t="inlineStr">
        <is>
          <t>010103020401  1F HEAT/GEN배기덕트설치공사</t>
        </is>
      </c>
    </row>
    <row r="209" ht="13.5" customHeight="1" s="362">
      <c r="H209" s="223" t="inlineStr">
        <is>
          <t>설비</t>
        </is>
      </c>
      <c r="I209" s="223" t="inlineStr">
        <is>
          <t>010103020402  2F HEAT/GEN배기덕트설치공사</t>
        </is>
      </c>
    </row>
    <row r="210" ht="13.5" customHeight="1" s="362">
      <c r="H210" s="223" t="inlineStr">
        <is>
          <t>설비</t>
        </is>
      </c>
      <c r="I210" s="223" t="inlineStr">
        <is>
          <t>010103020501  1F H2D배기덕트설치공사</t>
        </is>
      </c>
    </row>
    <row r="211" ht="13.5" customHeight="1" s="362">
      <c r="H211" s="223" t="inlineStr">
        <is>
          <t>설비</t>
        </is>
      </c>
      <c r="I211" s="223" t="inlineStr">
        <is>
          <t>010103020601  2F ORGANIC배기덕트설치공사</t>
        </is>
      </c>
    </row>
    <row r="212" ht="13.5" customHeight="1" s="362">
      <c r="H212" s="223" t="inlineStr">
        <is>
          <t>설비</t>
        </is>
      </c>
      <c r="I212" s="223" t="inlineStr">
        <is>
          <t>010103020701  1F CABINET덕트설치공사</t>
        </is>
      </c>
    </row>
    <row r="213" ht="13.5" customHeight="1" s="362">
      <c r="H213" s="223" t="inlineStr">
        <is>
          <t>설비</t>
        </is>
      </c>
      <c r="I213" s="223" t="inlineStr">
        <is>
          <t>010103020702  2F CABINET덕트설치공사</t>
        </is>
      </c>
    </row>
    <row r="214" ht="13.5" customHeight="1" s="362">
      <c r="H214" s="223" t="inlineStr">
        <is>
          <t>설비</t>
        </is>
      </c>
      <c r="I214" s="223" t="inlineStr">
        <is>
          <t>010103020703  3F CABINET덕트설치공사</t>
        </is>
      </c>
    </row>
    <row r="215" ht="13.5" customHeight="1" s="362">
      <c r="H215" s="223" t="inlineStr">
        <is>
          <t>설비</t>
        </is>
      </c>
      <c r="I215" s="223" t="inlineStr">
        <is>
          <t>010103020704  4F CABINET덕트설치공사</t>
        </is>
      </c>
    </row>
    <row r="216" ht="13.5" customHeight="1" s="362">
      <c r="H216" s="223" t="inlineStr">
        <is>
          <t>설비</t>
        </is>
      </c>
      <c r="I216" s="223" t="inlineStr">
        <is>
          <t>010103020705  4MF CABINET덕트설치공사</t>
        </is>
      </c>
    </row>
    <row r="217" ht="13.5" customHeight="1" s="362">
      <c r="H217" s="223" t="inlineStr">
        <is>
          <t>설비</t>
        </is>
      </c>
      <c r="I217" s="223" t="inlineStr">
        <is>
          <t>010103020801  1F EMERGENCY덕트설치공사</t>
        </is>
      </c>
    </row>
    <row r="218" ht="13.5" customHeight="1" s="362">
      <c r="H218" s="223" t="inlineStr">
        <is>
          <t>설비</t>
        </is>
      </c>
      <c r="I218" s="223" t="inlineStr">
        <is>
          <t>010103020802  3F EMERGENCY덕트설치공사</t>
        </is>
      </c>
    </row>
    <row r="219" ht="13.5" customHeight="1" s="362">
      <c r="H219" s="223" t="inlineStr">
        <is>
          <t>설비</t>
        </is>
      </c>
      <c r="I219" s="223" t="inlineStr">
        <is>
          <t>010103020803  4F EMERGENCY덕트설치공사</t>
        </is>
      </c>
    </row>
    <row r="220" ht="13.5" customHeight="1" s="362">
      <c r="H220" s="223" t="inlineStr">
        <is>
          <t>설비</t>
        </is>
      </c>
      <c r="I220" s="223" t="inlineStr">
        <is>
          <t>010103020804  4MF EMERGENCY덕트설치공사</t>
        </is>
      </c>
    </row>
    <row r="221" ht="13.5" customHeight="1" s="362">
      <c r="H221" s="223" t="inlineStr">
        <is>
          <t>설비</t>
        </is>
      </c>
      <c r="I221" s="223" t="inlineStr">
        <is>
          <t>010103030101  1F DUCT DRAIN HF배관공사</t>
        </is>
      </c>
    </row>
    <row r="222" ht="13.5" customHeight="1" s="362">
      <c r="H222" s="223" t="inlineStr">
        <is>
          <t>설비</t>
        </is>
      </c>
      <c r="I222" s="223" t="inlineStr">
        <is>
          <t>010103030102  2F DUCT DRAIN HF배관공사</t>
        </is>
      </c>
    </row>
    <row r="223" ht="13.5" customHeight="1" s="362">
      <c r="H223" s="223" t="inlineStr">
        <is>
          <t>설비</t>
        </is>
      </c>
      <c r="I223" s="223" t="inlineStr">
        <is>
          <t>010103030103  4F DUCT DRAIN HF배관공사</t>
        </is>
      </c>
    </row>
    <row r="224" ht="13.5" customHeight="1" s="362">
      <c r="H224" s="223" t="inlineStr">
        <is>
          <t>설비</t>
        </is>
      </c>
      <c r="I224" s="223" t="inlineStr">
        <is>
          <t>010103030104  4MF DUCT DRAIN HF배관공사</t>
        </is>
      </c>
    </row>
    <row r="225" ht="13.5" customHeight="1" s="362">
      <c r="H225" s="223" t="inlineStr">
        <is>
          <t>설비</t>
        </is>
      </c>
      <c r="I225" s="223" t="inlineStr">
        <is>
          <t>010103030105  7F DUCT DRAIN HF배관공사</t>
        </is>
      </c>
    </row>
    <row r="226" ht="13.5" customHeight="1" s="362">
      <c r="H226" s="223" t="inlineStr">
        <is>
          <t>설비</t>
        </is>
      </c>
      <c r="I226" s="223" t="inlineStr">
        <is>
          <t>010103030201  2F DUCT DRAIN SOLVENT배관공사</t>
        </is>
      </c>
    </row>
    <row r="227" ht="13.5" customHeight="1" s="362">
      <c r="H227" s="223" t="inlineStr">
        <is>
          <t>설비</t>
        </is>
      </c>
      <c r="I227" s="223" t="inlineStr">
        <is>
          <t>010103040101  1F 급수급탕배관공사</t>
        </is>
      </c>
    </row>
    <row r="228" ht="13.5" customHeight="1" s="362">
      <c r="H228" s="223" t="inlineStr">
        <is>
          <t>설비</t>
        </is>
      </c>
      <c r="I228" s="223" t="inlineStr">
        <is>
          <t>010103040102  2F 급수급탕배관공사</t>
        </is>
      </c>
    </row>
    <row r="229" ht="13.5" customHeight="1" s="362">
      <c r="H229" s="223" t="inlineStr">
        <is>
          <t>설비</t>
        </is>
      </c>
      <c r="I229" s="223" t="inlineStr">
        <is>
          <t>010103040103  3F 급수급탕배관공사</t>
        </is>
      </c>
    </row>
    <row r="230" ht="13.5" customHeight="1" s="362">
      <c r="H230" s="223" t="inlineStr">
        <is>
          <t>설비</t>
        </is>
      </c>
      <c r="I230" s="223" t="inlineStr">
        <is>
          <t>010103040104  4F 급수급탕배관공사</t>
        </is>
      </c>
    </row>
    <row r="231" ht="13.5" customHeight="1" s="362">
      <c r="H231" s="223" t="inlineStr">
        <is>
          <t>설비</t>
        </is>
      </c>
      <c r="I231" s="223" t="inlineStr">
        <is>
          <t>010103040105  4MF 급수급탕배관공사</t>
        </is>
      </c>
    </row>
    <row r="232" ht="13.5" customHeight="1" s="362">
      <c r="H232" s="223" t="inlineStr">
        <is>
          <t>설비</t>
        </is>
      </c>
      <c r="I232" s="223" t="inlineStr">
        <is>
          <t>010103040106  5F 급수급탕배관공사</t>
        </is>
      </c>
    </row>
    <row r="233" ht="13.5" customHeight="1" s="362">
      <c r="H233" s="223" t="inlineStr">
        <is>
          <t>설비</t>
        </is>
      </c>
      <c r="I233" s="223" t="inlineStr">
        <is>
          <t>010103040107  6F 급수급탕배관공사</t>
        </is>
      </c>
    </row>
    <row r="234" ht="13.5" customHeight="1" s="362">
      <c r="H234" s="223" t="inlineStr">
        <is>
          <t>설비</t>
        </is>
      </c>
      <c r="I234" s="223" t="inlineStr">
        <is>
          <t>010103040201  1F NPW배관공사</t>
        </is>
      </c>
    </row>
    <row r="235" ht="13.5" customHeight="1" s="362">
      <c r="H235" s="223" t="inlineStr">
        <is>
          <t>설비</t>
        </is>
      </c>
      <c r="I235" s="223" t="inlineStr">
        <is>
          <t>010103040202  5F NPW배관공사</t>
        </is>
      </c>
    </row>
    <row r="236" ht="13.5" customHeight="1" s="362">
      <c r="H236" s="223" t="inlineStr">
        <is>
          <t>설비</t>
        </is>
      </c>
      <c r="I236" s="223" t="inlineStr">
        <is>
          <t>0101030501  HVAC PIPING VIBRATION</t>
        </is>
      </c>
    </row>
    <row r="237" ht="13.5" customHeight="1" s="362">
      <c r="H237" s="223" t="inlineStr">
        <is>
          <t>설비</t>
        </is>
      </c>
      <c r="I237" s="223" t="inlineStr">
        <is>
          <t>0101030502  HVAC- DUCT VIBRATION</t>
        </is>
      </c>
    </row>
    <row r="238" ht="13.5" customHeight="1" s="362">
      <c r="H238" s="223" t="inlineStr">
        <is>
          <t>설비</t>
        </is>
      </c>
      <c r="I238" s="223" t="inlineStr">
        <is>
          <t>0101030503  EXHAUST- DUCT VIBRATION</t>
        </is>
      </c>
    </row>
    <row r="239" ht="13.5" customHeight="1" s="362">
      <c r="H239" s="223" t="inlineStr">
        <is>
          <t>설비</t>
        </is>
      </c>
      <c r="I239" s="223" t="inlineStr">
        <is>
          <t>010103060101  1F (F02) ACID FRP</t>
        </is>
      </c>
    </row>
    <row r="240" ht="13.5" customHeight="1" s="362">
      <c r="H240" s="223" t="inlineStr">
        <is>
          <t>설비</t>
        </is>
      </c>
      <c r="I240" s="223" t="inlineStr">
        <is>
          <t>010103060102  2F (F02) ACID FRP</t>
        </is>
      </c>
    </row>
    <row r="241" ht="13.5" customHeight="1" s="362">
      <c r="H241" s="223" t="inlineStr">
        <is>
          <t>설비</t>
        </is>
      </c>
      <c r="I241" s="223" t="inlineStr">
        <is>
          <t>010103060103  3F (F02) ACID FRP</t>
        </is>
      </c>
    </row>
    <row r="242" ht="13.5" customHeight="1" s="362">
      <c r="H242" s="223" t="inlineStr">
        <is>
          <t>설비</t>
        </is>
      </c>
      <c r="I242" s="223" t="inlineStr">
        <is>
          <t>010103060104  4F (F02) ACID FRP</t>
        </is>
      </c>
    </row>
    <row r="243" ht="13.5" customHeight="1" s="362">
      <c r="H243" s="223" t="inlineStr">
        <is>
          <t>설비</t>
        </is>
      </c>
      <c r="I243" s="223" t="inlineStr">
        <is>
          <t>010103060105  4MF (F02) ACID FRP</t>
        </is>
      </c>
    </row>
    <row r="244" ht="13.5" customHeight="1" s="362">
      <c r="H244" s="223" t="inlineStr">
        <is>
          <t>설비</t>
        </is>
      </c>
      <c r="I244" s="223" t="inlineStr">
        <is>
          <t>010103060201  1F (F02) ALKALI FRP</t>
        </is>
      </c>
    </row>
    <row r="245" ht="13.5" customHeight="1" s="362">
      <c r="H245" s="223" t="inlineStr">
        <is>
          <t>설비</t>
        </is>
      </c>
      <c r="I245" s="223" t="inlineStr">
        <is>
          <t>010103060202  2F (F02) ALKALI FRP</t>
        </is>
      </c>
    </row>
    <row r="246" ht="13.5" customHeight="1" s="362">
      <c r="H246" s="223" t="inlineStr">
        <is>
          <t>설비</t>
        </is>
      </c>
      <c r="I246" s="223" t="inlineStr">
        <is>
          <t>010103060203  3F (F02) ALKALI FRP</t>
        </is>
      </c>
    </row>
    <row r="247" ht="13.5" customHeight="1" s="362">
      <c r="H247" s="223" t="inlineStr">
        <is>
          <t>설비</t>
        </is>
      </c>
      <c r="I247" s="223" t="inlineStr">
        <is>
          <t>010103060204  4F (F02) ALKALI FRP</t>
        </is>
      </c>
    </row>
    <row r="248" ht="13.5" customHeight="1" s="362">
      <c r="H248" s="223" t="inlineStr">
        <is>
          <t>설비</t>
        </is>
      </c>
      <c r="I248" s="223" t="inlineStr">
        <is>
          <t>010103060205  4MF (F02) ALKALI FRP</t>
        </is>
      </c>
    </row>
    <row r="249" ht="13.5" customHeight="1" s="362">
      <c r="H249" s="223" t="inlineStr">
        <is>
          <t>설비</t>
        </is>
      </c>
      <c r="I249" s="223" t="inlineStr">
        <is>
          <t>010103060301  1F (F02) HCL FRP</t>
        </is>
      </c>
    </row>
    <row r="250" ht="13.5" customHeight="1" s="362">
      <c r="H250" s="223" t="inlineStr">
        <is>
          <t>설비</t>
        </is>
      </c>
      <c r="I250" s="223" t="inlineStr">
        <is>
          <t>010103070101  1F (F02) ACID FM FRP</t>
        </is>
      </c>
    </row>
    <row r="251" ht="13.5" customHeight="1" s="362">
      <c r="H251" s="223" t="inlineStr">
        <is>
          <t>설비</t>
        </is>
      </c>
      <c r="I251" s="223" t="inlineStr">
        <is>
          <t>010103070201  1F (F02) PFC FM FRP</t>
        </is>
      </c>
    </row>
    <row r="252" ht="13.5" customHeight="1" s="362">
      <c r="H252" s="223" t="inlineStr">
        <is>
          <t>설비</t>
        </is>
      </c>
      <c r="I252" s="223" t="inlineStr">
        <is>
          <t>010103070301  1F (F02) HCL FM FRP</t>
        </is>
      </c>
    </row>
    <row r="253" ht="13.5" customHeight="1" s="362">
      <c r="H253" s="223" t="inlineStr">
        <is>
          <t>설비</t>
        </is>
      </c>
      <c r="I253" s="223" t="inlineStr">
        <is>
          <t>010103080101  1F (F02) ACID C-FRP</t>
        </is>
      </c>
    </row>
    <row r="254" ht="13.5" customHeight="1" s="362">
      <c r="H254" s="223" t="inlineStr">
        <is>
          <t>설비</t>
        </is>
      </c>
      <c r="I254" s="223" t="inlineStr">
        <is>
          <t>010103080201  1F (F02) PFC C-FRP</t>
        </is>
      </c>
    </row>
    <row r="255" ht="13.5" customHeight="1" s="362">
      <c r="H255" s="223" t="inlineStr">
        <is>
          <t>설비</t>
        </is>
      </c>
      <c r="I255" s="223" t="inlineStr">
        <is>
          <t>010103090101  2ND FL HIGH</t>
        </is>
      </c>
    </row>
    <row r="256" ht="13.5" customHeight="1" s="362">
      <c r="H256" s="223" t="inlineStr">
        <is>
          <t>설비</t>
        </is>
      </c>
      <c r="I256" s="223" t="inlineStr">
        <is>
          <t>010103090102  4th FL</t>
        </is>
      </c>
    </row>
    <row r="257" ht="13.5" customHeight="1" s="362">
      <c r="H257" s="223" t="inlineStr">
        <is>
          <t>설비</t>
        </is>
      </c>
      <c r="I257" s="223" t="inlineStr">
        <is>
          <t>010103090103  4th FL MEZZANINE</t>
        </is>
      </c>
    </row>
    <row r="258" ht="13.5" customHeight="1" s="362">
      <c r="H258" s="223" t="inlineStr">
        <is>
          <t>설비</t>
        </is>
      </c>
      <c r="I258" s="223" t="inlineStr">
        <is>
          <t>010104010101  1F 냉수배관공사</t>
        </is>
      </c>
    </row>
    <row r="259" ht="13.5" customHeight="1" s="362">
      <c r="H259" s="223" t="inlineStr">
        <is>
          <t>설비</t>
        </is>
      </c>
      <c r="I259" s="223" t="inlineStr">
        <is>
          <t>010104010102  4F 냉수배관공사</t>
        </is>
      </c>
    </row>
    <row r="260" ht="13.5" customHeight="1" s="362">
      <c r="H260" s="223" t="inlineStr">
        <is>
          <t>설비</t>
        </is>
      </c>
      <c r="I260" s="223" t="inlineStr">
        <is>
          <t>010104010103  4MF 냉수배관공사</t>
        </is>
      </c>
    </row>
    <row r="261" ht="13.5" customHeight="1" s="362">
      <c r="H261" s="223" t="inlineStr">
        <is>
          <t>설비</t>
        </is>
      </c>
      <c r="I261" s="223" t="inlineStr">
        <is>
          <t>010104010201  4F 폐열회수배관공사</t>
        </is>
      </c>
    </row>
    <row r="262" ht="13.5" customHeight="1" s="362">
      <c r="H262" s="223" t="inlineStr">
        <is>
          <t>설비</t>
        </is>
      </c>
      <c r="I262" s="223" t="inlineStr">
        <is>
          <t>010104010202  4MF 폐열회수배관공사</t>
        </is>
      </c>
    </row>
    <row r="263" ht="13.5" customHeight="1" s="362">
      <c r="H263" s="223" t="inlineStr">
        <is>
          <t>설비</t>
        </is>
      </c>
      <c r="I263" s="223" t="inlineStr">
        <is>
          <t>010104010301  1F 드레인배관공사</t>
        </is>
      </c>
    </row>
    <row r="264" ht="13.5" customHeight="1" s="362">
      <c r="H264" s="223" t="inlineStr">
        <is>
          <t>설비</t>
        </is>
      </c>
      <c r="I264" s="223" t="inlineStr">
        <is>
          <t>010104010302  3F 드레인배관공사</t>
        </is>
      </c>
    </row>
    <row r="265" ht="13.5" customHeight="1" s="362">
      <c r="H265" s="223" t="inlineStr">
        <is>
          <t>설비</t>
        </is>
      </c>
      <c r="I265" s="223" t="inlineStr">
        <is>
          <t>010104010303  4F 드레인배관공사</t>
        </is>
      </c>
    </row>
    <row r="266" ht="13.5" customHeight="1" s="362">
      <c r="H266" s="223" t="inlineStr">
        <is>
          <t>설비</t>
        </is>
      </c>
      <c r="I266" s="223" t="inlineStr">
        <is>
          <t>010104010304  4MF 드레인배관공사</t>
        </is>
      </c>
    </row>
    <row r="267" ht="13.5" customHeight="1" s="362">
      <c r="H267" s="223" t="inlineStr">
        <is>
          <t>설비</t>
        </is>
      </c>
      <c r="I267" s="223" t="inlineStr">
        <is>
          <t>010104010401  4F EHP/PAC드레인배관공사</t>
        </is>
      </c>
    </row>
    <row r="268" ht="13.5" customHeight="1" s="362">
      <c r="H268" s="223" t="inlineStr">
        <is>
          <t>설비</t>
        </is>
      </c>
      <c r="I268" s="223" t="inlineStr">
        <is>
          <t>010104010402  4MF EHP/PAC드레인배관공사</t>
        </is>
      </c>
    </row>
    <row r="269" ht="13.5" customHeight="1" s="362">
      <c r="H269" s="223" t="inlineStr">
        <is>
          <t>설비</t>
        </is>
      </c>
      <c r="I269" s="223" t="inlineStr">
        <is>
          <t>010104020101  2F 공조덕트설치공사</t>
        </is>
      </c>
    </row>
    <row r="270" ht="13.5" customHeight="1" s="362">
      <c r="H270" s="223" t="inlineStr">
        <is>
          <t>설비</t>
        </is>
      </c>
      <c r="I270" s="223" t="inlineStr">
        <is>
          <t>010104020102  3F 공조덕트설치공사</t>
        </is>
      </c>
    </row>
    <row r="271" ht="13.5" customHeight="1" s="362">
      <c r="H271" s="223" t="inlineStr">
        <is>
          <t>설비</t>
        </is>
      </c>
      <c r="I271" s="223" t="inlineStr">
        <is>
          <t>010104020103  4F 공조덕트설치공사</t>
        </is>
      </c>
    </row>
    <row r="272" ht="13.5" customHeight="1" s="362">
      <c r="H272" s="223" t="inlineStr">
        <is>
          <t>설비</t>
        </is>
      </c>
      <c r="I272" s="223" t="inlineStr">
        <is>
          <t>010104020104  4MF 공조덕트설치공사</t>
        </is>
      </c>
    </row>
    <row r="273" ht="13.5" customHeight="1" s="362">
      <c r="H273" s="223" t="inlineStr">
        <is>
          <t>설비</t>
        </is>
      </c>
      <c r="I273" s="223" t="inlineStr">
        <is>
          <t>010104020201  2F 크린룸덕트설치공사</t>
        </is>
      </c>
    </row>
    <row r="274" ht="13.5" customHeight="1" s="362">
      <c r="H274" s="223" t="inlineStr">
        <is>
          <t>설비</t>
        </is>
      </c>
      <c r="I274" s="223" t="inlineStr">
        <is>
          <t>010104020301  2F 일반배기덕트설치공사</t>
        </is>
      </c>
    </row>
    <row r="275" ht="13.5" customHeight="1" s="362">
      <c r="H275" s="223" t="inlineStr">
        <is>
          <t>설비</t>
        </is>
      </c>
      <c r="I275" s="223" t="inlineStr">
        <is>
          <t>010104020302  4F 일반배기덕트설치공사</t>
        </is>
      </c>
    </row>
    <row r="276" ht="13.5" customHeight="1" s="362">
      <c r="H276" s="223" t="inlineStr">
        <is>
          <t>설비</t>
        </is>
      </c>
      <c r="I276" s="223" t="inlineStr">
        <is>
          <t>010104020303  4MF 일반배기덕트설치공사</t>
        </is>
      </c>
    </row>
    <row r="277" ht="13.5" customHeight="1" s="362">
      <c r="H277" s="223" t="inlineStr">
        <is>
          <t>설비</t>
        </is>
      </c>
      <c r="I277" s="223" t="inlineStr">
        <is>
          <t>010104020401  2F HEAT/GEN배기덕트설치공사</t>
        </is>
      </c>
    </row>
    <row r="278" ht="13.5" customHeight="1" s="362">
      <c r="H278" s="223" t="inlineStr">
        <is>
          <t>설비</t>
        </is>
      </c>
      <c r="I278" s="223" t="inlineStr">
        <is>
          <t>010104020501  2F ORGANIC배기덕트설치공사</t>
        </is>
      </c>
    </row>
    <row r="279" ht="13.5" customHeight="1" s="362">
      <c r="H279" s="223" t="inlineStr">
        <is>
          <t>설비</t>
        </is>
      </c>
      <c r="I279" s="223" t="inlineStr">
        <is>
          <t>010104020502  3F ORGANIC배기덕트설치공사</t>
        </is>
      </c>
    </row>
    <row r="280" ht="13.5" customHeight="1" s="362">
      <c r="H280" s="223" t="inlineStr">
        <is>
          <t>설비</t>
        </is>
      </c>
      <c r="I280" s="223" t="inlineStr">
        <is>
          <t>010104020503  4MF ORGANIC배기덕트설치공사</t>
        </is>
      </c>
    </row>
    <row r="281" ht="13.5" customHeight="1" s="362">
      <c r="H281" s="223" t="inlineStr">
        <is>
          <t>설비</t>
        </is>
      </c>
      <c r="I281" s="223" t="inlineStr">
        <is>
          <t>010104020601  1F CABINET덕트설치공사</t>
        </is>
      </c>
    </row>
    <row r="282" ht="13.5" customHeight="1" s="362">
      <c r="H282" s="223" t="inlineStr">
        <is>
          <t>설비</t>
        </is>
      </c>
      <c r="I282" s="223" t="inlineStr">
        <is>
          <t>010104020602  2F CABINET덕트설치공사</t>
        </is>
      </c>
    </row>
    <row r="283" ht="13.5" customHeight="1" s="362">
      <c r="H283" s="223" t="inlineStr">
        <is>
          <t>설비</t>
        </is>
      </c>
      <c r="I283" s="223" t="inlineStr">
        <is>
          <t>010104020603  3F CABINET덕트설치공사</t>
        </is>
      </c>
    </row>
    <row r="284" ht="13.5" customHeight="1" s="362">
      <c r="H284" s="223" t="inlineStr">
        <is>
          <t>설비</t>
        </is>
      </c>
      <c r="I284" s="223" t="inlineStr">
        <is>
          <t>010104020604  4F CABINET덕트설치공사</t>
        </is>
      </c>
    </row>
    <row r="285" ht="13.5" customHeight="1" s="362">
      <c r="H285" s="223" t="inlineStr">
        <is>
          <t>설비</t>
        </is>
      </c>
      <c r="I285" s="223" t="inlineStr">
        <is>
          <t>010104020605  4MF CABINET덕트설치공사</t>
        </is>
      </c>
    </row>
    <row r="286" ht="13.5" customHeight="1" s="362">
      <c r="H286" s="223" t="inlineStr">
        <is>
          <t>설비</t>
        </is>
      </c>
      <c r="I286" s="223" t="inlineStr">
        <is>
          <t>010104020701  1F EMERGENCY덕트설치공사</t>
        </is>
      </c>
    </row>
    <row r="287" ht="13.5" customHeight="1" s="362">
      <c r="H287" s="223" t="inlineStr">
        <is>
          <t>설비</t>
        </is>
      </c>
      <c r="I287" s="223" t="inlineStr">
        <is>
          <t>010104020702  3F EMERGENCY덕트설치공사</t>
        </is>
      </c>
    </row>
    <row r="288" ht="13.5" customHeight="1" s="362">
      <c r="H288" s="223" t="inlineStr">
        <is>
          <t>설비</t>
        </is>
      </c>
      <c r="I288" s="223" t="inlineStr">
        <is>
          <t>010104020703  4F EMERGENCY덕트설치공사</t>
        </is>
      </c>
    </row>
    <row r="289" ht="13.5" customHeight="1" s="362">
      <c r="H289" s="223" t="inlineStr">
        <is>
          <t>설비</t>
        </is>
      </c>
      <c r="I289" s="223" t="inlineStr">
        <is>
          <t>010104020704  4MF EMERGENCY덕트설치공사</t>
        </is>
      </c>
    </row>
    <row r="290" ht="13.5" customHeight="1" s="362">
      <c r="H290" s="223" t="inlineStr">
        <is>
          <t>설비</t>
        </is>
      </c>
      <c r="I290" s="223" t="inlineStr">
        <is>
          <t>010104030101  1F DUCT DRAIN HF배관공사</t>
        </is>
      </c>
    </row>
    <row r="291" ht="13.5" customHeight="1" s="362">
      <c r="H291" s="223" t="inlineStr">
        <is>
          <t>설비</t>
        </is>
      </c>
      <c r="I291" s="223" t="inlineStr">
        <is>
          <t>010104030102  2F DUCT DRAIN HF배관공사</t>
        </is>
      </c>
    </row>
    <row r="292" ht="13.5" customHeight="1" s="362">
      <c r="H292" s="223" t="inlineStr">
        <is>
          <t>설비</t>
        </is>
      </c>
      <c r="I292" s="223" t="inlineStr">
        <is>
          <t>010104030103  3F DUCT DRAIN HF배관공사</t>
        </is>
      </c>
    </row>
    <row r="293" ht="13.5" customHeight="1" s="362">
      <c r="H293" s="223" t="inlineStr">
        <is>
          <t>설비</t>
        </is>
      </c>
      <c r="I293" s="223" t="inlineStr">
        <is>
          <t>010104030104  4MF DUCT DRAIN HF배관공사</t>
        </is>
      </c>
    </row>
    <row r="294" ht="13.5" customHeight="1" s="362">
      <c r="H294" s="223" t="inlineStr">
        <is>
          <t>설비</t>
        </is>
      </c>
      <c r="I294" s="223" t="inlineStr">
        <is>
          <t>010104030105  7F DUCT DRAIN HF배관공사</t>
        </is>
      </c>
    </row>
    <row r="295" ht="13.5" customHeight="1" s="362">
      <c r="H295" s="223" t="inlineStr">
        <is>
          <t>설비</t>
        </is>
      </c>
      <c r="I295" s="223" t="inlineStr">
        <is>
          <t>010104030201  2F DUCT DRAIN SOLVENT배관공사</t>
        </is>
      </c>
    </row>
    <row r="296" ht="13.5" customHeight="1" s="362">
      <c r="H296" s="223" t="inlineStr">
        <is>
          <t>설비</t>
        </is>
      </c>
      <c r="I296" s="223" t="inlineStr">
        <is>
          <t>010104030202  3F DUCT DRAIN SOLVENT배관공사</t>
        </is>
      </c>
    </row>
    <row r="297" ht="13.5" customHeight="1" s="362">
      <c r="H297" s="223" t="inlineStr">
        <is>
          <t>설비</t>
        </is>
      </c>
      <c r="I297" s="223" t="inlineStr">
        <is>
          <t>010104030203  4MF DUCT DRAIN SOLVENT배관공사</t>
        </is>
      </c>
    </row>
    <row r="298" ht="13.5" customHeight="1" s="362">
      <c r="H298" s="223" t="inlineStr">
        <is>
          <t>설비</t>
        </is>
      </c>
      <c r="I298" s="223" t="inlineStr">
        <is>
          <t>010104040101  1F 급수급탕배관공사</t>
        </is>
      </c>
    </row>
    <row r="299" ht="13.5" customHeight="1" s="362">
      <c r="H299" s="223" t="inlineStr">
        <is>
          <t>설비</t>
        </is>
      </c>
      <c r="I299" s="223" t="inlineStr">
        <is>
          <t>010104040102  2F 급수급탕배관공사</t>
        </is>
      </c>
    </row>
    <row r="300" ht="13.5" customHeight="1" s="362">
      <c r="H300" s="223" t="inlineStr">
        <is>
          <t>설비</t>
        </is>
      </c>
      <c r="I300" s="223" t="inlineStr">
        <is>
          <t>010104040103  3F 급수급탕배관공사</t>
        </is>
      </c>
    </row>
    <row r="301" ht="13.5" customHeight="1" s="362">
      <c r="H301" s="223" t="inlineStr">
        <is>
          <t>설비</t>
        </is>
      </c>
      <c r="I301" s="223" t="inlineStr">
        <is>
          <t>010104040104  4F 급수급탕배관공사</t>
        </is>
      </c>
    </row>
    <row r="302" ht="13.5" customHeight="1" s="362">
      <c r="H302" s="223" t="inlineStr">
        <is>
          <t>설비</t>
        </is>
      </c>
      <c r="I302" s="223" t="inlineStr">
        <is>
          <t>010104040105  4MF 급수급탕배관공사</t>
        </is>
      </c>
    </row>
    <row r="303" ht="13.5" customHeight="1" s="362">
      <c r="H303" s="223" t="inlineStr">
        <is>
          <t>설비</t>
        </is>
      </c>
      <c r="I303" s="223" t="inlineStr">
        <is>
          <t>010104040201  1F NPW배관공사</t>
        </is>
      </c>
    </row>
    <row r="304" ht="13.5" customHeight="1" s="362">
      <c r="H304" s="223" t="inlineStr">
        <is>
          <t>설비</t>
        </is>
      </c>
      <c r="I304" s="223" t="inlineStr">
        <is>
          <t>010104040202  4MF NPW배관공사</t>
        </is>
      </c>
    </row>
    <row r="305" ht="13.5" customHeight="1" s="362">
      <c r="H305" s="223" t="inlineStr">
        <is>
          <t>설비</t>
        </is>
      </c>
      <c r="I305" s="223" t="inlineStr">
        <is>
          <t>010104040301  4MF 오배수배관공사</t>
        </is>
      </c>
    </row>
    <row r="306" ht="13.5" customHeight="1" s="362">
      <c r="H306" s="223" t="inlineStr">
        <is>
          <t>설비</t>
        </is>
      </c>
      <c r="I306" s="223" t="inlineStr">
        <is>
          <t>0101040501  HVAC PIPING VIBRATION</t>
        </is>
      </c>
    </row>
    <row r="307" ht="13.5" customHeight="1" s="362">
      <c r="H307" s="223" t="inlineStr">
        <is>
          <t>설비</t>
        </is>
      </c>
      <c r="I307" s="223" t="inlineStr">
        <is>
          <t>0101040502  HVAC- DUCT VIBRATION</t>
        </is>
      </c>
    </row>
    <row r="308" ht="13.5" customHeight="1" s="362">
      <c r="H308" s="223" t="inlineStr">
        <is>
          <t>설비</t>
        </is>
      </c>
      <c r="I308" s="223" t="inlineStr">
        <is>
          <t>0101040503  EXHAUST- DUCT VIBRATION</t>
        </is>
      </c>
    </row>
    <row r="309" ht="13.5" customHeight="1" s="362">
      <c r="H309" s="223" t="inlineStr">
        <is>
          <t>설비</t>
        </is>
      </c>
      <c r="I309" s="223" t="inlineStr">
        <is>
          <t>010104060101  1ST HIGH</t>
        </is>
      </c>
    </row>
    <row r="310" ht="13.5" customHeight="1" s="362">
      <c r="H310" s="223" t="inlineStr">
        <is>
          <t>설비</t>
        </is>
      </c>
      <c r="I310" s="223" t="inlineStr">
        <is>
          <t>010104060102  1ST LOW</t>
        </is>
      </c>
    </row>
    <row r="311" ht="13.5" customHeight="1" s="362">
      <c r="H311" s="223" t="inlineStr">
        <is>
          <t>설비</t>
        </is>
      </c>
      <c r="I311" s="223" t="inlineStr">
        <is>
          <t>010104060103  4th FL MEZZANINE</t>
        </is>
      </c>
    </row>
    <row r="312" ht="13.5" customHeight="1" s="362">
      <c r="H312" s="223" t="inlineStr">
        <is>
          <t>설비</t>
        </is>
      </c>
      <c r="I312" s="223" t="inlineStr">
        <is>
          <t>010104060201  2ND FL HIGH</t>
        </is>
      </c>
    </row>
    <row r="313" ht="13.5" customHeight="1" s="362">
      <c r="H313" s="223" t="inlineStr">
        <is>
          <t>설비</t>
        </is>
      </c>
      <c r="I313" s="223" t="inlineStr">
        <is>
          <t>010104060301  2ND FL LOW</t>
        </is>
      </c>
    </row>
    <row r="314" ht="13.5" customHeight="1" s="362">
      <c r="H314" s="223" t="inlineStr">
        <is>
          <t>설비</t>
        </is>
      </c>
      <c r="I314" s="223" t="inlineStr">
        <is>
          <t>010104060401  3ND FL</t>
        </is>
      </c>
    </row>
    <row r="315" ht="13.5" customHeight="1" s="362">
      <c r="H315" s="223" t="inlineStr">
        <is>
          <t>설비</t>
        </is>
      </c>
      <c r="I315" s="223" t="inlineStr">
        <is>
          <t>010105010101  B1F 증기배관공사</t>
        </is>
      </c>
    </row>
    <row r="316" ht="13.5" customHeight="1" s="362">
      <c r="H316" s="223" t="inlineStr">
        <is>
          <t>설비</t>
        </is>
      </c>
      <c r="I316" s="223" t="inlineStr">
        <is>
          <t>010105010102  1F 증기배관공사</t>
        </is>
      </c>
    </row>
    <row r="317" ht="13.5" customHeight="1" s="362">
      <c r="H317" s="223" t="inlineStr">
        <is>
          <t>설비</t>
        </is>
      </c>
      <c r="I317" s="223" t="inlineStr">
        <is>
          <t>010105010103  2F 증기배관공사</t>
        </is>
      </c>
    </row>
    <row r="318" ht="13.5" customHeight="1" s="362">
      <c r="H318" s="223" t="inlineStr">
        <is>
          <t>설비</t>
        </is>
      </c>
      <c r="I318" s="223" t="inlineStr">
        <is>
          <t>010105010104  3F 증기배관공사</t>
        </is>
      </c>
    </row>
    <row r="319" ht="13.5" customHeight="1" s="362">
      <c r="H319" s="223" t="inlineStr">
        <is>
          <t>설비</t>
        </is>
      </c>
      <c r="I319" s="223" t="inlineStr">
        <is>
          <t>010105010105  4F 증기배관공사</t>
        </is>
      </c>
    </row>
    <row r="320" ht="13.5" customHeight="1" s="362">
      <c r="H320" s="223" t="inlineStr">
        <is>
          <t>설비</t>
        </is>
      </c>
      <c r="I320" s="223" t="inlineStr">
        <is>
          <t>010105010106  4MF 증기배관공사</t>
        </is>
      </c>
    </row>
    <row r="321" ht="13.5" customHeight="1" s="362">
      <c r="H321" s="223" t="inlineStr">
        <is>
          <t>설비</t>
        </is>
      </c>
      <c r="I321" s="223" t="inlineStr">
        <is>
          <t>010105010107  5F 증기배관공사</t>
        </is>
      </c>
    </row>
    <row r="322" ht="13.5" customHeight="1" s="362">
      <c r="H322" s="223" t="inlineStr">
        <is>
          <t>설비</t>
        </is>
      </c>
      <c r="I322" s="223" t="inlineStr">
        <is>
          <t>010105010108  6F 증기배관공사</t>
        </is>
      </c>
    </row>
    <row r="323" ht="13.5" customHeight="1" s="362">
      <c r="H323" s="223" t="inlineStr">
        <is>
          <t>설비</t>
        </is>
      </c>
      <c r="I323" s="223" t="inlineStr">
        <is>
          <t>010105010109  7F 증기배관공사</t>
        </is>
      </c>
    </row>
    <row r="324" ht="13.5" customHeight="1" s="362">
      <c r="H324" s="223" t="inlineStr">
        <is>
          <t>설비</t>
        </is>
      </c>
      <c r="I324" s="223" t="inlineStr">
        <is>
          <t>010105010110  ROOF 증기배관공사</t>
        </is>
      </c>
    </row>
    <row r="325" ht="13.5" customHeight="1" s="362">
      <c r="H325" s="223" t="inlineStr">
        <is>
          <t>설비</t>
        </is>
      </c>
      <c r="I325" s="223" t="inlineStr">
        <is>
          <t>010105010201  B1F 냉수배관공사</t>
        </is>
      </c>
    </row>
    <row r="326" ht="13.5" customHeight="1" s="362">
      <c r="H326" s="223" t="inlineStr">
        <is>
          <t>설비</t>
        </is>
      </c>
      <c r="I326" s="223" t="inlineStr">
        <is>
          <t>010105010202  1F 냉수배관공사</t>
        </is>
      </c>
    </row>
    <row r="327" ht="13.5" customHeight="1" s="362">
      <c r="H327" s="223" t="inlineStr">
        <is>
          <t>설비</t>
        </is>
      </c>
      <c r="I327" s="223" t="inlineStr">
        <is>
          <t>010105010203  2F 냉수배관공사</t>
        </is>
      </c>
    </row>
    <row r="328" ht="13.5" customHeight="1" s="362">
      <c r="H328" s="223" t="inlineStr">
        <is>
          <t>설비</t>
        </is>
      </c>
      <c r="I328" s="223" t="inlineStr">
        <is>
          <t>010105010204  3F 냉수배관공사</t>
        </is>
      </c>
    </row>
    <row r="329" ht="13.5" customHeight="1" s="362">
      <c r="H329" s="223" t="inlineStr">
        <is>
          <t>설비</t>
        </is>
      </c>
      <c r="I329" s="223" t="inlineStr">
        <is>
          <t>010105010205  4F 냉수배관공사</t>
        </is>
      </c>
    </row>
    <row r="330" ht="13.5" customHeight="1" s="362">
      <c r="H330" s="223" t="inlineStr">
        <is>
          <t>설비</t>
        </is>
      </c>
      <c r="I330" s="223" t="inlineStr">
        <is>
          <t>010105010206  4MF 냉수배관공사</t>
        </is>
      </c>
    </row>
    <row r="331" ht="13.5" customHeight="1" s="362">
      <c r="H331" s="223" t="inlineStr">
        <is>
          <t>설비</t>
        </is>
      </c>
      <c r="I331" s="223" t="inlineStr">
        <is>
          <t>010105010207  5F 냉수배관공사</t>
        </is>
      </c>
    </row>
    <row r="332" ht="13.5" customHeight="1" s="362">
      <c r="H332" s="223" t="inlineStr">
        <is>
          <t>설비</t>
        </is>
      </c>
      <c r="I332" s="223" t="inlineStr">
        <is>
          <t>010105010208  6F 냉수배관공사</t>
        </is>
      </c>
    </row>
    <row r="333" ht="13.5" customHeight="1" s="362">
      <c r="H333" s="223" t="inlineStr">
        <is>
          <t>설비</t>
        </is>
      </c>
      <c r="I333" s="223" t="inlineStr">
        <is>
          <t>010105010301  B1F 폐열회수배관공사</t>
        </is>
      </c>
    </row>
    <row r="334" ht="13.5" customHeight="1" s="362">
      <c r="H334" s="223" t="inlineStr">
        <is>
          <t>설비</t>
        </is>
      </c>
      <c r="I334" s="223" t="inlineStr">
        <is>
          <t>010105010302  1F 폐열회수배관공사</t>
        </is>
      </c>
    </row>
    <row r="335" ht="13.5" customHeight="1" s="362">
      <c r="H335" s="223" t="inlineStr">
        <is>
          <t>설비</t>
        </is>
      </c>
      <c r="I335" s="223" t="inlineStr">
        <is>
          <t>010105010303  2F 폐열회수배관공사</t>
        </is>
      </c>
    </row>
    <row r="336" ht="13.5" customHeight="1" s="362">
      <c r="H336" s="223" t="inlineStr">
        <is>
          <t>설비</t>
        </is>
      </c>
      <c r="I336" s="223" t="inlineStr">
        <is>
          <t>010105010304  3F 폐열회수배관공사</t>
        </is>
      </c>
    </row>
    <row r="337" ht="13.5" customHeight="1" s="362">
      <c r="H337" s="223" t="inlineStr">
        <is>
          <t>설비</t>
        </is>
      </c>
      <c r="I337" s="223" t="inlineStr">
        <is>
          <t>010105010305  4F 폐열회수배관공사</t>
        </is>
      </c>
    </row>
    <row r="338" ht="13.5" customHeight="1" s="362">
      <c r="H338" s="223" t="inlineStr">
        <is>
          <t>설비</t>
        </is>
      </c>
      <c r="I338" s="223" t="inlineStr">
        <is>
          <t>010105010306  4MF 폐열회수배관공사</t>
        </is>
      </c>
    </row>
    <row r="339" ht="13.5" customHeight="1" s="362">
      <c r="H339" s="223" t="inlineStr">
        <is>
          <t>설비</t>
        </is>
      </c>
      <c r="I339" s="223" t="inlineStr">
        <is>
          <t>010105010307  5F 폐열회수배관공사</t>
        </is>
      </c>
    </row>
    <row r="340" ht="13.5" customHeight="1" s="362">
      <c r="H340" s="223" t="inlineStr">
        <is>
          <t>설비</t>
        </is>
      </c>
      <c r="I340" s="223" t="inlineStr">
        <is>
          <t>010105010308  6F 폐열회수배관공사</t>
        </is>
      </c>
    </row>
    <row r="341" ht="13.5" customHeight="1" s="362">
      <c r="H341" s="223" t="inlineStr">
        <is>
          <t>설비</t>
        </is>
      </c>
      <c r="I341" s="223" t="inlineStr">
        <is>
          <t>010105010401  B1F 드레인배관공사</t>
        </is>
      </c>
    </row>
    <row r="342" ht="13.5" customHeight="1" s="362">
      <c r="H342" s="223" t="inlineStr">
        <is>
          <t>설비</t>
        </is>
      </c>
      <c r="I342" s="223" t="inlineStr">
        <is>
          <t>010105010402  1F 드레인배관공사</t>
        </is>
      </c>
    </row>
    <row r="343" ht="13.5" customHeight="1" s="362">
      <c r="H343" s="223" t="inlineStr">
        <is>
          <t>설비</t>
        </is>
      </c>
      <c r="I343" s="223" t="inlineStr">
        <is>
          <t>010105010403  2F 드레인배관공사</t>
        </is>
      </c>
    </row>
    <row r="344" ht="13.5" customHeight="1" s="362">
      <c r="H344" s="223" t="inlineStr">
        <is>
          <t>설비</t>
        </is>
      </c>
      <c r="I344" s="223" t="inlineStr">
        <is>
          <t>010105010404  3F 드레인배관공사</t>
        </is>
      </c>
    </row>
    <row r="345" ht="13.5" customHeight="1" s="362">
      <c r="H345" s="223" t="inlineStr">
        <is>
          <t>설비</t>
        </is>
      </c>
      <c r="I345" s="223" t="inlineStr">
        <is>
          <t>010105010405  4F 드레인배관공사</t>
        </is>
      </c>
    </row>
    <row r="346" ht="13.5" customHeight="1" s="362">
      <c r="H346" s="223" t="inlineStr">
        <is>
          <t>설비</t>
        </is>
      </c>
      <c r="I346" s="223" t="inlineStr">
        <is>
          <t>010105010406  4MF 드레인배관공사</t>
        </is>
      </c>
    </row>
    <row r="347" ht="13.5" customHeight="1" s="362">
      <c r="H347" s="223" t="inlineStr">
        <is>
          <t>설비</t>
        </is>
      </c>
      <c r="I347" s="223" t="inlineStr">
        <is>
          <t>010105010407  5F 드레인배관공사</t>
        </is>
      </c>
    </row>
    <row r="348" ht="13.5" customHeight="1" s="362">
      <c r="H348" s="223" t="inlineStr">
        <is>
          <t>설비</t>
        </is>
      </c>
      <c r="I348" s="223" t="inlineStr">
        <is>
          <t>010105010408  6F 드레인배관공사</t>
        </is>
      </c>
    </row>
    <row r="349" ht="13.5" customHeight="1" s="362">
      <c r="H349" s="223" t="inlineStr">
        <is>
          <t>설비</t>
        </is>
      </c>
      <c r="I349" s="223" t="inlineStr">
        <is>
          <t>010105010409  7F 드레인배관공사</t>
        </is>
      </c>
    </row>
    <row r="350" ht="13.5" customHeight="1" s="362">
      <c r="H350" s="223" t="inlineStr">
        <is>
          <t>설비</t>
        </is>
      </c>
      <c r="I350" s="223" t="inlineStr">
        <is>
          <t>010105010410  ROOF 드레인배관공사</t>
        </is>
      </c>
    </row>
    <row r="351" ht="13.5" customHeight="1" s="362">
      <c r="H351" s="223" t="inlineStr">
        <is>
          <t>설비</t>
        </is>
      </c>
      <c r="I351" s="223" t="inlineStr">
        <is>
          <t>010105010501  B1F WSS 배관공사</t>
        </is>
      </c>
    </row>
    <row r="352" ht="13.5" customHeight="1" s="362">
      <c r="H352" s="223" t="inlineStr">
        <is>
          <t>설비</t>
        </is>
      </c>
      <c r="I352" s="223" t="inlineStr">
        <is>
          <t>010105010502  1F WSS 배관공사</t>
        </is>
      </c>
    </row>
    <row r="353" ht="13.5" customHeight="1" s="362">
      <c r="H353" s="223" t="inlineStr">
        <is>
          <t>설비</t>
        </is>
      </c>
      <c r="I353" s="223" t="inlineStr">
        <is>
          <t>010105010503  2F WSS 배관공사</t>
        </is>
      </c>
    </row>
    <row r="354" ht="13.5" customHeight="1" s="362">
      <c r="H354" s="223" t="inlineStr">
        <is>
          <t>설비</t>
        </is>
      </c>
      <c r="I354" s="223" t="inlineStr">
        <is>
          <t>010105010504  3F WSS 배관공사</t>
        </is>
      </c>
    </row>
    <row r="355" ht="13.5" customHeight="1" s="362">
      <c r="H355" s="223" t="inlineStr">
        <is>
          <t>설비</t>
        </is>
      </c>
      <c r="I355" s="223" t="inlineStr">
        <is>
          <t>010105010505  4F WSS배관공사</t>
        </is>
      </c>
    </row>
    <row r="356" ht="13.5" customHeight="1" s="362">
      <c r="H356" s="223" t="inlineStr">
        <is>
          <t>설비</t>
        </is>
      </c>
      <c r="I356" s="223" t="inlineStr">
        <is>
          <t>010105010506  4MF WSS배관공사</t>
        </is>
      </c>
    </row>
    <row r="357" ht="13.5" customHeight="1" s="362">
      <c r="H357" s="223" t="inlineStr">
        <is>
          <t>설비</t>
        </is>
      </c>
      <c r="I357" s="223" t="inlineStr">
        <is>
          <t>010105010507  5F WSS배관공사</t>
        </is>
      </c>
    </row>
    <row r="358" ht="13.5" customHeight="1" s="362">
      <c r="H358" s="223" t="inlineStr">
        <is>
          <t>설비</t>
        </is>
      </c>
      <c r="I358" s="223" t="inlineStr">
        <is>
          <t>010105010508  6F WSS배관공사</t>
        </is>
      </c>
    </row>
    <row r="359" ht="13.5" customHeight="1" s="362">
      <c r="H359" s="223" t="inlineStr">
        <is>
          <t>설비</t>
        </is>
      </c>
      <c r="I359" s="223" t="inlineStr">
        <is>
          <t>010105010509  7F WSS배관공사</t>
        </is>
      </c>
    </row>
    <row r="360" ht="13.5" customHeight="1" s="362">
      <c r="H360" s="223" t="inlineStr">
        <is>
          <t>설비</t>
        </is>
      </c>
      <c r="I360" s="223" t="inlineStr">
        <is>
          <t>010105010601  B1F EHP/PAC드레인배관공사</t>
        </is>
      </c>
    </row>
    <row r="361" ht="13.5" customHeight="1" s="362">
      <c r="H361" s="223" t="inlineStr">
        <is>
          <t>설비</t>
        </is>
      </c>
      <c r="I361" s="223" t="inlineStr">
        <is>
          <t>010105010602  1F EHP/PAC드레인배관공사</t>
        </is>
      </c>
    </row>
    <row r="362" ht="13.5" customHeight="1" s="362">
      <c r="H362" s="223" t="inlineStr">
        <is>
          <t>설비</t>
        </is>
      </c>
      <c r="I362" s="223" t="inlineStr">
        <is>
          <t>010105010603  2F EHP/PAC드레인배관공사</t>
        </is>
      </c>
    </row>
    <row r="363" ht="13.5" customHeight="1" s="362">
      <c r="H363" s="223" t="inlineStr">
        <is>
          <t>설비</t>
        </is>
      </c>
      <c r="I363" s="223" t="inlineStr">
        <is>
          <t>010105010604  3F EHP/PAC드레인배관공사</t>
        </is>
      </c>
    </row>
    <row r="364" ht="13.5" customHeight="1" s="362">
      <c r="H364" s="223" t="inlineStr">
        <is>
          <t>설비</t>
        </is>
      </c>
      <c r="I364" s="223" t="inlineStr">
        <is>
          <t>010105010605  4F EHP/PAC드레인배관공사</t>
        </is>
      </c>
    </row>
    <row r="365" ht="13.5" customHeight="1" s="362">
      <c r="H365" s="223" t="inlineStr">
        <is>
          <t>설비</t>
        </is>
      </c>
      <c r="I365" s="223" t="inlineStr">
        <is>
          <t>010105010606  4MF EHP/PAC드레인배관공사</t>
        </is>
      </c>
    </row>
    <row r="366" ht="13.5" customHeight="1" s="362">
      <c r="H366" s="223" t="inlineStr">
        <is>
          <t>설비</t>
        </is>
      </c>
      <c r="I366" s="223" t="inlineStr">
        <is>
          <t>010105010607  5F EHP/PAC드레인배관공사</t>
        </is>
      </c>
    </row>
    <row r="367" ht="13.5" customHeight="1" s="362">
      <c r="H367" s="223" t="inlineStr">
        <is>
          <t>설비</t>
        </is>
      </c>
      <c r="I367" s="223" t="inlineStr">
        <is>
          <t>010105010608  6F EHP/PAC드레인배관공사</t>
        </is>
      </c>
    </row>
    <row r="368" ht="13.5" customHeight="1" s="362">
      <c r="H368" s="223" t="inlineStr">
        <is>
          <t>설비</t>
        </is>
      </c>
      <c r="I368" s="223" t="inlineStr">
        <is>
          <t>010105010609  7F EHP/PAC드레인배관공사</t>
        </is>
      </c>
    </row>
    <row r="369" ht="13.5" customHeight="1" s="362">
      <c r="H369" s="223" t="inlineStr">
        <is>
          <t>설비</t>
        </is>
      </c>
      <c r="I369" s="223" t="inlineStr">
        <is>
          <t>010105010610  ROOF EHP/PAC드레인배관공사</t>
        </is>
      </c>
    </row>
    <row r="370" ht="13.5" customHeight="1" s="362">
      <c r="H370" s="223" t="inlineStr">
        <is>
          <t>설비</t>
        </is>
      </c>
      <c r="I370" s="223" t="inlineStr">
        <is>
          <t>010105020101  1F 공조덕트설치공사</t>
        </is>
      </c>
    </row>
    <row r="371" ht="13.5" customHeight="1" s="362">
      <c r="H371" s="223" t="inlineStr">
        <is>
          <t>설비</t>
        </is>
      </c>
      <c r="I371" s="223" t="inlineStr">
        <is>
          <t>010105020102  2F 공조덕트설치공사</t>
        </is>
      </c>
    </row>
    <row r="372" ht="13.5" customHeight="1" s="362">
      <c r="H372" s="223" t="inlineStr">
        <is>
          <t>설비</t>
        </is>
      </c>
      <c r="I372" s="223" t="inlineStr">
        <is>
          <t>010105020103  3F 공조덕트설치공사</t>
        </is>
      </c>
    </row>
    <row r="373" ht="13.5" customHeight="1" s="362">
      <c r="H373" s="223" t="inlineStr">
        <is>
          <t>설비</t>
        </is>
      </c>
      <c r="I373" s="223" t="inlineStr">
        <is>
          <t>010105020104  4F 공조덕트설치공사</t>
        </is>
      </c>
    </row>
    <row r="374" ht="13.5" customHeight="1" s="362">
      <c r="H374" s="223" t="inlineStr">
        <is>
          <t>설비</t>
        </is>
      </c>
      <c r="I374" s="223" t="inlineStr">
        <is>
          <t>010105020105  5F 공조덕트설치공사</t>
        </is>
      </c>
    </row>
    <row r="375" ht="13.5" customHeight="1" s="362">
      <c r="H375" s="223" t="inlineStr">
        <is>
          <t>설비</t>
        </is>
      </c>
      <c r="I375" s="223" t="inlineStr">
        <is>
          <t>010105020106  6F 공조덕트설치공사</t>
        </is>
      </c>
    </row>
    <row r="376" ht="13.5" customHeight="1" s="362">
      <c r="H376" s="223" t="inlineStr">
        <is>
          <t>설비</t>
        </is>
      </c>
      <c r="I376" s="223" t="inlineStr">
        <is>
          <t>010105020201  3F 크린룸덕트설치공사</t>
        </is>
      </c>
    </row>
    <row r="377" ht="13.5" customHeight="1" s="362">
      <c r="H377" s="223" t="inlineStr">
        <is>
          <t>설비</t>
        </is>
      </c>
      <c r="I377" s="223" t="inlineStr">
        <is>
          <t>010105020301  B1F 일반배기덕트설치공사</t>
        </is>
      </c>
    </row>
    <row r="378" ht="13.5" customHeight="1" s="362">
      <c r="H378" s="223" t="inlineStr">
        <is>
          <t>설비</t>
        </is>
      </c>
      <c r="I378" s="223" t="inlineStr">
        <is>
          <t>010105020302  1F 일반배기덕트설치공사</t>
        </is>
      </c>
    </row>
    <row r="379" ht="13.5" customHeight="1" s="362">
      <c r="H379" s="223" t="inlineStr">
        <is>
          <t>설비</t>
        </is>
      </c>
      <c r="I379" s="223" t="inlineStr">
        <is>
          <t>010105020303  2F 일반배기덕트설치공사</t>
        </is>
      </c>
    </row>
    <row r="380" ht="13.5" customHeight="1" s="362">
      <c r="H380" s="223" t="inlineStr">
        <is>
          <t>설비</t>
        </is>
      </c>
      <c r="I380" s="223" t="inlineStr">
        <is>
          <t>010105020304  3F 일반배기덕트설치공사</t>
        </is>
      </c>
    </row>
    <row r="381" ht="13.5" customHeight="1" s="362">
      <c r="H381" s="223" t="inlineStr">
        <is>
          <t>설비</t>
        </is>
      </c>
      <c r="I381" s="223" t="inlineStr">
        <is>
          <t>010105020305  4F 일반배기덕트설치공사</t>
        </is>
      </c>
    </row>
    <row r="382" ht="13.5" customHeight="1" s="362">
      <c r="H382" s="223" t="inlineStr">
        <is>
          <t>설비</t>
        </is>
      </c>
      <c r="I382" s="223" t="inlineStr">
        <is>
          <t>010105020306  4MF 일반배기덕트설치공사</t>
        </is>
      </c>
    </row>
    <row r="383" ht="13.5" customHeight="1" s="362">
      <c r="H383" s="223" t="inlineStr">
        <is>
          <t>설비</t>
        </is>
      </c>
      <c r="I383" s="223" t="inlineStr">
        <is>
          <t>010105020307  5F 일반배기덕트설치공사</t>
        </is>
      </c>
    </row>
    <row r="384" ht="13.5" customHeight="1" s="362">
      <c r="H384" s="223" t="inlineStr">
        <is>
          <t>설비</t>
        </is>
      </c>
      <c r="I384" s="223" t="inlineStr">
        <is>
          <t>010105020308  6F 일반배기덕트설치공사</t>
        </is>
      </c>
    </row>
    <row r="385" ht="13.5" customHeight="1" s="362">
      <c r="H385" s="223" t="inlineStr">
        <is>
          <t>설비</t>
        </is>
      </c>
      <c r="I385" s="223" t="inlineStr">
        <is>
          <t>010105020309  7F 일반배기덕트설치공사</t>
        </is>
      </c>
    </row>
    <row r="386" ht="13.5" customHeight="1" s="362">
      <c r="H386" s="223" t="inlineStr">
        <is>
          <t>설비</t>
        </is>
      </c>
      <c r="I386" s="223" t="inlineStr">
        <is>
          <t>010105020310  ROOF 일반배기덕트설치공사</t>
        </is>
      </c>
    </row>
    <row r="387" ht="13.5" customHeight="1" s="362">
      <c r="H387" s="223" t="inlineStr">
        <is>
          <t>설비</t>
        </is>
      </c>
      <c r="I387" s="223" t="inlineStr">
        <is>
          <t>010105020401  2F HEAT/GEN배기덕트설치공사</t>
        </is>
      </c>
    </row>
    <row r="388" ht="13.5" customHeight="1" s="362">
      <c r="H388" s="223" t="inlineStr">
        <is>
          <t>설비</t>
        </is>
      </c>
      <c r="I388" s="223" t="inlineStr">
        <is>
          <t>010105020402  3F HEAT/GEN배기덕트설치공사</t>
        </is>
      </c>
    </row>
    <row r="389" ht="13.5" customHeight="1" s="362">
      <c r="H389" s="223" t="inlineStr">
        <is>
          <t>설비</t>
        </is>
      </c>
      <c r="I389" s="223" t="inlineStr">
        <is>
          <t>010105020403  4F HEAT/GEN배기덕트설치공사</t>
        </is>
      </c>
    </row>
    <row r="390" ht="13.5" customHeight="1" s="362">
      <c r="H390" s="223" t="inlineStr">
        <is>
          <t>설비</t>
        </is>
      </c>
      <c r="I390" s="223" t="inlineStr">
        <is>
          <t>010105020404  4MF HEAT/GEN배기덕트설치공사</t>
        </is>
      </c>
    </row>
    <row r="391" ht="13.5" customHeight="1" s="362">
      <c r="H391" s="223" t="inlineStr">
        <is>
          <t>설비</t>
        </is>
      </c>
      <c r="I391" s="223" t="inlineStr">
        <is>
          <t>010105020405  5F HEAT/GEN배기덕트설치공사</t>
        </is>
      </c>
    </row>
    <row r="392" ht="13.5" customHeight="1" s="362">
      <c r="H392" s="223" t="inlineStr">
        <is>
          <t>설비</t>
        </is>
      </c>
      <c r="I392" s="223" t="inlineStr">
        <is>
          <t>010105020406  6F HEAT/GEN배기덕트설치공사</t>
        </is>
      </c>
    </row>
    <row r="393" ht="13.5" customHeight="1" s="362">
      <c r="H393" s="223" t="inlineStr">
        <is>
          <t>설비</t>
        </is>
      </c>
      <c r="I393" s="223" t="inlineStr">
        <is>
          <t>010105020407  7F HEAT/GEN배기덕트설치공사</t>
        </is>
      </c>
    </row>
    <row r="394" ht="13.5" customHeight="1" s="362">
      <c r="H394" s="223" t="inlineStr">
        <is>
          <t>설비</t>
        </is>
      </c>
      <c r="I394" s="223" t="inlineStr">
        <is>
          <t>010105020408  ROOF HEAT/GEN배기덕트설치공사</t>
        </is>
      </c>
    </row>
    <row r="395" ht="13.5" customHeight="1" s="362">
      <c r="H395" s="223" t="inlineStr">
        <is>
          <t>설비</t>
        </is>
      </c>
      <c r="I395" s="223" t="inlineStr">
        <is>
          <t>010105020501  2F ORGANIC배기덕트설치공사</t>
        </is>
      </c>
    </row>
    <row r="396" ht="13.5" customHeight="1" s="362">
      <c r="H396" s="223" t="inlineStr">
        <is>
          <t>설비</t>
        </is>
      </c>
      <c r="I396" s="223" t="inlineStr">
        <is>
          <t>010105020502  3F ORGANIC배기덕트설치공사</t>
        </is>
      </c>
    </row>
    <row r="397" ht="13.5" customHeight="1" s="362">
      <c r="H397" s="223" t="inlineStr">
        <is>
          <t>설비</t>
        </is>
      </c>
      <c r="I397" s="223" t="inlineStr">
        <is>
          <t>010105020503  4F ORGANIC배기덕트설치공사</t>
        </is>
      </c>
    </row>
    <row r="398" ht="13.5" customHeight="1" s="362">
      <c r="H398" s="223" t="inlineStr">
        <is>
          <t>설비</t>
        </is>
      </c>
      <c r="I398" s="223" t="inlineStr">
        <is>
          <t>010105020504  4MF ORGANIC배기덕트설치공사</t>
        </is>
      </c>
    </row>
    <row r="399" ht="13.5" customHeight="1" s="362">
      <c r="H399" s="223" t="inlineStr">
        <is>
          <t>설비</t>
        </is>
      </c>
      <c r="I399" s="223" t="inlineStr">
        <is>
          <t>010105020505  5F ORGANIC배기덕트설치공사</t>
        </is>
      </c>
    </row>
    <row r="400" ht="13.5" customHeight="1" s="362">
      <c r="H400" s="223" t="inlineStr">
        <is>
          <t>설비</t>
        </is>
      </c>
      <c r="I400" s="223" t="inlineStr">
        <is>
          <t>010105020506  6F ORGANIC배기덕트설치공사</t>
        </is>
      </c>
    </row>
    <row r="401" ht="13.5" customHeight="1" s="362">
      <c r="H401" s="223" t="inlineStr">
        <is>
          <t>설비</t>
        </is>
      </c>
      <c r="I401" s="223" t="inlineStr">
        <is>
          <t>010105020507  7F ORGANIC배기덕트설치공사</t>
        </is>
      </c>
    </row>
    <row r="402" ht="13.5" customHeight="1" s="362">
      <c r="H402" s="223" t="inlineStr">
        <is>
          <t>설비</t>
        </is>
      </c>
      <c r="I402" s="223" t="inlineStr">
        <is>
          <t>010105020508  ROOF ORGANIC배기덕트설치공사</t>
        </is>
      </c>
    </row>
    <row r="403" ht="13.5" customHeight="1" s="362">
      <c r="H403" s="223" t="inlineStr">
        <is>
          <t>설비</t>
        </is>
      </c>
      <c r="I403" s="223" t="inlineStr">
        <is>
          <t>010105020601  B1F CABINET덕트설치공사</t>
        </is>
      </c>
    </row>
    <row r="404" ht="13.5" customHeight="1" s="362">
      <c r="H404" s="223" t="inlineStr">
        <is>
          <t>설비</t>
        </is>
      </c>
      <c r="I404" s="223" t="inlineStr">
        <is>
          <t>010105020602  1F CABINET덕트설치공사</t>
        </is>
      </c>
    </row>
    <row r="405" ht="13.5" customHeight="1" s="362">
      <c r="H405" s="223" t="inlineStr">
        <is>
          <t>설비</t>
        </is>
      </c>
      <c r="I405" s="223" t="inlineStr">
        <is>
          <t>010105020603  2F CABINET덕트설치공사</t>
        </is>
      </c>
    </row>
    <row r="406" ht="13.5" customHeight="1" s="362">
      <c r="H406" s="223" t="inlineStr">
        <is>
          <t>설비</t>
        </is>
      </c>
      <c r="I406" s="223" t="inlineStr">
        <is>
          <t>010105020604  3F CABINET덕트설치공사</t>
        </is>
      </c>
    </row>
    <row r="407" ht="13.5" customHeight="1" s="362">
      <c r="H407" s="223" t="inlineStr">
        <is>
          <t>설비</t>
        </is>
      </c>
      <c r="I407" s="223" t="inlineStr">
        <is>
          <t>010105020605  4F CABINET덕트설치공사</t>
        </is>
      </c>
    </row>
    <row r="408" ht="13.5" customHeight="1" s="362">
      <c r="H408" s="223" t="inlineStr">
        <is>
          <t>설비</t>
        </is>
      </c>
      <c r="I408" s="223" t="inlineStr">
        <is>
          <t>010105020606  4MF CABINET덕트설치공사</t>
        </is>
      </c>
    </row>
    <row r="409" ht="13.5" customHeight="1" s="362">
      <c r="H409" s="223" t="inlineStr">
        <is>
          <t>설비</t>
        </is>
      </c>
      <c r="I409" s="223" t="inlineStr">
        <is>
          <t>010105020607  5F CABINET덕트설치공사</t>
        </is>
      </c>
    </row>
    <row r="410" ht="13.5" customHeight="1" s="362">
      <c r="H410" s="223" t="inlineStr">
        <is>
          <t>설비</t>
        </is>
      </c>
      <c r="I410" s="223" t="inlineStr">
        <is>
          <t>010105020608  6F CABINET덕트설치공사</t>
        </is>
      </c>
    </row>
    <row r="411" ht="13.5" customHeight="1" s="362">
      <c r="H411" s="223" t="inlineStr">
        <is>
          <t>설비</t>
        </is>
      </c>
      <c r="I411" s="223" t="inlineStr">
        <is>
          <t>010105020609  7F CABINET덕트설치공사</t>
        </is>
      </c>
    </row>
    <row r="412" ht="13.5" customHeight="1" s="362">
      <c r="H412" s="223" t="inlineStr">
        <is>
          <t>설비</t>
        </is>
      </c>
      <c r="I412" s="223" t="inlineStr">
        <is>
          <t>010105020610  ROOF CABINET덕트설치공사</t>
        </is>
      </c>
    </row>
    <row r="413" ht="13.5" customHeight="1" s="362">
      <c r="H413" s="223" t="inlineStr">
        <is>
          <t>설비</t>
        </is>
      </c>
      <c r="I413" s="223" t="inlineStr">
        <is>
          <t>010105020701  B1F EMERGENCY덕트설치공사</t>
        </is>
      </c>
    </row>
    <row r="414" ht="13.5" customHeight="1" s="362">
      <c r="H414" s="223" t="inlineStr">
        <is>
          <t>설비</t>
        </is>
      </c>
      <c r="I414" s="223" t="inlineStr">
        <is>
          <t>010105020702  1F EMERGENCY덕트설치공사</t>
        </is>
      </c>
    </row>
    <row r="415" ht="13.5" customHeight="1" s="362">
      <c r="H415" s="223" t="inlineStr">
        <is>
          <t>설비</t>
        </is>
      </c>
      <c r="I415" s="223" t="inlineStr">
        <is>
          <t>010105020703  2F EMERGENCY덕트설치공사</t>
        </is>
      </c>
    </row>
    <row r="416" ht="13.5" customHeight="1" s="362">
      <c r="H416" s="223" t="inlineStr">
        <is>
          <t>설비</t>
        </is>
      </c>
      <c r="I416" s="223" t="inlineStr">
        <is>
          <t>010105020704  3F EMERGENCY덕트설치공사</t>
        </is>
      </c>
    </row>
    <row r="417" ht="13.5" customHeight="1" s="362">
      <c r="H417" s="223" t="inlineStr">
        <is>
          <t>설비</t>
        </is>
      </c>
      <c r="I417" s="223" t="inlineStr">
        <is>
          <t>010105020705  4F EMERGENCY덕트설치공사</t>
        </is>
      </c>
    </row>
    <row r="418" ht="13.5" customHeight="1" s="362">
      <c r="H418" s="223" t="inlineStr">
        <is>
          <t>설비</t>
        </is>
      </c>
      <c r="I418" s="223" t="inlineStr">
        <is>
          <t>010105020706  4MF EMERGENCY덕트설치공사</t>
        </is>
      </c>
    </row>
    <row r="419" ht="13.5" customHeight="1" s="362">
      <c r="H419" s="223" t="inlineStr">
        <is>
          <t>설비</t>
        </is>
      </c>
      <c r="I419" s="223" t="inlineStr">
        <is>
          <t>010105020707  5F EMERGENCY덕트설치공사</t>
        </is>
      </c>
    </row>
    <row r="420" ht="13.5" customHeight="1" s="362">
      <c r="H420" s="223" t="inlineStr">
        <is>
          <t>설비</t>
        </is>
      </c>
      <c r="I420" s="223" t="inlineStr">
        <is>
          <t>010105020708  6F EMERGENCY덕트설치공사</t>
        </is>
      </c>
    </row>
    <row r="421" ht="13.5" customHeight="1" s="362">
      <c r="H421" s="223" t="inlineStr">
        <is>
          <t>설비</t>
        </is>
      </c>
      <c r="I421" s="223" t="inlineStr">
        <is>
          <t>010105020709  7F EMERGENCY덕트설치공사</t>
        </is>
      </c>
    </row>
    <row r="422" ht="13.5" customHeight="1" s="362">
      <c r="H422" s="223" t="inlineStr">
        <is>
          <t>설비</t>
        </is>
      </c>
      <c r="I422" s="223" t="inlineStr">
        <is>
          <t>010105020710  ROOF EMERGENCY덕트설치공사</t>
        </is>
      </c>
    </row>
    <row r="423" ht="13.5" customHeight="1" s="362">
      <c r="H423" s="223" t="inlineStr">
        <is>
          <t>설비</t>
        </is>
      </c>
      <c r="I423" s="223" t="inlineStr">
        <is>
          <t>010105020801  1F ACID STS배기덕트설치공사</t>
        </is>
      </c>
    </row>
    <row r="424" ht="13.5" customHeight="1" s="362">
      <c r="H424" s="223" t="inlineStr">
        <is>
          <t>설비</t>
        </is>
      </c>
      <c r="I424" s="223" t="inlineStr">
        <is>
          <t>010105020802  2F ACID STS배기덕트설치공사</t>
        </is>
      </c>
    </row>
    <row r="425" ht="13.5" customHeight="1" s="362">
      <c r="H425" s="223" t="inlineStr">
        <is>
          <t>설비</t>
        </is>
      </c>
      <c r="I425" s="223" t="inlineStr">
        <is>
          <t>010105020803  3F ACID STS배기덕트설치공사</t>
        </is>
      </c>
    </row>
    <row r="426" ht="13.5" customHeight="1" s="362">
      <c r="H426" s="223" t="inlineStr">
        <is>
          <t>설비</t>
        </is>
      </c>
      <c r="I426" s="223" t="inlineStr">
        <is>
          <t>010105020804  4F ACID STS배기덕트설치공사</t>
        </is>
      </c>
    </row>
    <row r="427" ht="13.5" customHeight="1" s="362">
      <c r="H427" s="223" t="inlineStr">
        <is>
          <t>설비</t>
        </is>
      </c>
      <c r="I427" s="223" t="inlineStr">
        <is>
          <t>010105020805  4MF ACID STS배기덕트설치공사</t>
        </is>
      </c>
    </row>
    <row r="428" ht="13.5" customHeight="1" s="362">
      <c r="H428" s="223" t="inlineStr">
        <is>
          <t>설비</t>
        </is>
      </c>
      <c r="I428" s="223" t="inlineStr">
        <is>
          <t>010105020806  5F ACID STS배기덕트설치공사</t>
        </is>
      </c>
    </row>
    <row r="429" ht="13.5" customHeight="1" s="362">
      <c r="H429" s="223" t="inlineStr">
        <is>
          <t>설비</t>
        </is>
      </c>
      <c r="I429" s="223" t="inlineStr">
        <is>
          <t>010105020807  6F ACID STS배기덕트설치공사</t>
        </is>
      </c>
    </row>
    <row r="430" ht="13.5" customHeight="1" s="362">
      <c r="H430" s="223" t="inlineStr">
        <is>
          <t>설비</t>
        </is>
      </c>
      <c r="I430" s="223" t="inlineStr">
        <is>
          <t>010105020808  7F ACID STS배기덕트설치공사</t>
        </is>
      </c>
    </row>
    <row r="431" ht="13.5" customHeight="1" s="362">
      <c r="H431" s="223" t="inlineStr">
        <is>
          <t>설비</t>
        </is>
      </c>
      <c r="I431" s="223" t="inlineStr">
        <is>
          <t>010105020809  ROOF ACID STS배기덕트설치공사</t>
        </is>
      </c>
    </row>
    <row r="432" ht="13.5" customHeight="1" s="362">
      <c r="H432" s="223" t="inlineStr">
        <is>
          <t>설비</t>
        </is>
      </c>
      <c r="I432" s="223" t="inlineStr">
        <is>
          <t>010105020901  1F ALKALI STS배기덕트설치공사</t>
        </is>
      </c>
    </row>
    <row r="433" ht="13.5" customHeight="1" s="362">
      <c r="H433" s="223" t="inlineStr">
        <is>
          <t>설비</t>
        </is>
      </c>
      <c r="I433" s="223" t="inlineStr">
        <is>
          <t>010105020902  2F ALKALI STS배기덕트설치공사</t>
        </is>
      </c>
    </row>
    <row r="434" ht="13.5" customHeight="1" s="362">
      <c r="H434" s="223" t="inlineStr">
        <is>
          <t>설비</t>
        </is>
      </c>
      <c r="I434" s="223" t="inlineStr">
        <is>
          <t>010105020903  3F ALKALI STS배기덕트설치공사</t>
        </is>
      </c>
    </row>
    <row r="435" ht="13.5" customHeight="1" s="362">
      <c r="H435" s="223" t="inlineStr">
        <is>
          <t>설비</t>
        </is>
      </c>
      <c r="I435" s="223" t="inlineStr">
        <is>
          <t>010105020904  4F ALKALI STS배기덕트설치공사</t>
        </is>
      </c>
    </row>
    <row r="436" ht="13.5" customHeight="1" s="362">
      <c r="H436" s="223" t="inlineStr">
        <is>
          <t>설비</t>
        </is>
      </c>
      <c r="I436" s="223" t="inlineStr">
        <is>
          <t>010105020905  4MF ALKALI STS배기덕트설치공사</t>
        </is>
      </c>
    </row>
    <row r="437" ht="13.5" customHeight="1" s="362">
      <c r="H437" s="223" t="inlineStr">
        <is>
          <t>설비</t>
        </is>
      </c>
      <c r="I437" s="223" t="inlineStr">
        <is>
          <t>010105020906  5F ALKALI STS배기덕트설치공사</t>
        </is>
      </c>
    </row>
    <row r="438" ht="13.5" customHeight="1" s="362">
      <c r="H438" s="223" t="inlineStr">
        <is>
          <t>설비</t>
        </is>
      </c>
      <c r="I438" s="223" t="inlineStr">
        <is>
          <t>010105020907  6F ALKALI STS배기덕트설치공사</t>
        </is>
      </c>
    </row>
    <row r="439" ht="13.5" customHeight="1" s="362">
      <c r="H439" s="223" t="inlineStr">
        <is>
          <t>설비</t>
        </is>
      </c>
      <c r="I439" s="223" t="inlineStr">
        <is>
          <t>010105020908  7F ALKALI STS배기덕트설치공사</t>
        </is>
      </c>
    </row>
    <row r="440" ht="13.5" customHeight="1" s="362">
      <c r="H440" s="223" t="inlineStr">
        <is>
          <t>설비</t>
        </is>
      </c>
      <c r="I440" s="223" t="inlineStr">
        <is>
          <t>010105020909  RF ALKALI STS배기덕트설치공사</t>
        </is>
      </c>
    </row>
    <row r="441" ht="13.5" customHeight="1" s="362">
      <c r="H441" s="223" t="inlineStr">
        <is>
          <t>설비</t>
        </is>
      </c>
      <c r="I441" s="223" t="inlineStr">
        <is>
          <t>010105030101  1F DUCT DRAIN HF배관공사</t>
        </is>
      </c>
    </row>
    <row r="442" ht="13.5" customHeight="1" s="362">
      <c r="H442" s="223" t="inlineStr">
        <is>
          <t>설비</t>
        </is>
      </c>
      <c r="I442" s="223" t="inlineStr">
        <is>
          <t>010105030102  2F DUCT DRAIN HF배관공사</t>
        </is>
      </c>
    </row>
    <row r="443" ht="13.5" customHeight="1" s="362">
      <c r="H443" s="223" t="inlineStr">
        <is>
          <t>설비</t>
        </is>
      </c>
      <c r="I443" s="223" t="inlineStr">
        <is>
          <t>010105030103  3F DUCT DRAIN HF배관공사</t>
        </is>
      </c>
    </row>
    <row r="444" ht="13.5" customHeight="1" s="362">
      <c r="H444" s="223" t="inlineStr">
        <is>
          <t>설비</t>
        </is>
      </c>
      <c r="I444" s="223" t="inlineStr">
        <is>
          <t>010105030104  4F DUCT DRAIN HF배관공사</t>
        </is>
      </c>
    </row>
    <row r="445" ht="13.5" customHeight="1" s="362">
      <c r="H445" s="223" t="inlineStr">
        <is>
          <t>설비</t>
        </is>
      </c>
      <c r="I445" s="223" t="inlineStr">
        <is>
          <t>010105030105  4MF DUCT DRAIN HF배관공사</t>
        </is>
      </c>
    </row>
    <row r="446" ht="13.5" customHeight="1" s="362">
      <c r="H446" s="223" t="inlineStr">
        <is>
          <t>설비</t>
        </is>
      </c>
      <c r="I446" s="223" t="inlineStr">
        <is>
          <t>010105030106  7F DUCT DRAIN HF배관공사</t>
        </is>
      </c>
    </row>
    <row r="447" ht="13.5" customHeight="1" s="362">
      <c r="H447" s="223" t="inlineStr">
        <is>
          <t>설비</t>
        </is>
      </c>
      <c r="I447" s="223" t="inlineStr">
        <is>
          <t>010105030107  ROOF DUCT DRAIN HF배관공사</t>
        </is>
      </c>
    </row>
    <row r="448" ht="13.5" customHeight="1" s="362">
      <c r="H448" s="223" t="inlineStr">
        <is>
          <t>설비</t>
        </is>
      </c>
      <c r="I448" s="223" t="inlineStr">
        <is>
          <t>010105030201  2F DUCT DRAIN SOLVENT배관공사</t>
        </is>
      </c>
    </row>
    <row r="449" ht="13.5" customHeight="1" s="362">
      <c r="H449" s="223" t="inlineStr">
        <is>
          <t>설비</t>
        </is>
      </c>
      <c r="I449" s="223" t="inlineStr">
        <is>
          <t>010105030202  3F DUCT DRAIN SOLVENT배관공사</t>
        </is>
      </c>
    </row>
    <row r="450" ht="13.5" customHeight="1" s="362">
      <c r="H450" s="223" t="inlineStr">
        <is>
          <t>설비</t>
        </is>
      </c>
      <c r="I450" s="223" t="inlineStr">
        <is>
          <t>010105030203  4MF DUCT DRAIN SOLVENT배관공사</t>
        </is>
      </c>
    </row>
    <row r="451" ht="13.5" customHeight="1" s="362">
      <c r="H451" s="223" t="inlineStr">
        <is>
          <t>설비</t>
        </is>
      </c>
      <c r="I451" s="223" t="inlineStr">
        <is>
          <t>010105030204  7F DUCT DRAIN SOLVENT배관공사</t>
        </is>
      </c>
    </row>
    <row r="452" ht="13.5" customHeight="1" s="362">
      <c r="H452" s="223" t="inlineStr">
        <is>
          <t>설비</t>
        </is>
      </c>
      <c r="I452" s="223" t="inlineStr">
        <is>
          <t>010105030205  RF DUCT DRAIN SOLVENT배관공사</t>
        </is>
      </c>
    </row>
    <row r="453" ht="13.5" customHeight="1" s="362">
      <c r="H453" s="223" t="inlineStr">
        <is>
          <t>설비</t>
        </is>
      </c>
      <c r="I453" s="223" t="inlineStr">
        <is>
          <t>010105040101  3층 위생기구설치공사</t>
        </is>
      </c>
    </row>
    <row r="454" ht="13.5" customHeight="1" s="362">
      <c r="H454" s="223" t="inlineStr">
        <is>
          <t>설비</t>
        </is>
      </c>
      <c r="I454" s="223" t="inlineStr">
        <is>
          <t>010105040201  B1F 급수급탕배관공사</t>
        </is>
      </c>
    </row>
    <row r="455" ht="13.5" customHeight="1" s="362">
      <c r="H455" s="223" t="inlineStr">
        <is>
          <t>설비</t>
        </is>
      </c>
      <c r="I455" s="223" t="inlineStr">
        <is>
          <t>010105040202  1F 급수급탕배관공사</t>
        </is>
      </c>
    </row>
    <row r="456" ht="13.5" customHeight="1" s="362">
      <c r="H456" s="223" t="inlineStr">
        <is>
          <t>설비</t>
        </is>
      </c>
      <c r="I456" s="223" t="inlineStr">
        <is>
          <t>010105040203  2F 급수급탕배관공사</t>
        </is>
      </c>
    </row>
    <row r="457" ht="13.5" customHeight="1" s="362">
      <c r="H457" s="223" t="inlineStr">
        <is>
          <t>설비</t>
        </is>
      </c>
      <c r="I457" s="223" t="inlineStr">
        <is>
          <t>010105040204  3F 급수급탕배관공사</t>
        </is>
      </c>
    </row>
    <row r="458" ht="13.5" customHeight="1" s="362">
      <c r="H458" s="223" t="inlineStr">
        <is>
          <t>설비</t>
        </is>
      </c>
      <c r="I458" s="223" t="inlineStr">
        <is>
          <t>010105040205  4F 급수급탕배관공사</t>
        </is>
      </c>
    </row>
    <row r="459" ht="13.5" customHeight="1" s="362">
      <c r="H459" s="223" t="inlineStr">
        <is>
          <t>설비</t>
        </is>
      </c>
      <c r="I459" s="223" t="inlineStr">
        <is>
          <t>010105040206  4MF 급수급탕배관공사</t>
        </is>
      </c>
    </row>
    <row r="460" ht="13.5" customHeight="1" s="362">
      <c r="H460" s="223" t="inlineStr">
        <is>
          <t>설비</t>
        </is>
      </c>
      <c r="I460" s="223" t="inlineStr">
        <is>
          <t>010105040207  5F 급수급탕배관공사</t>
        </is>
      </c>
    </row>
    <row r="461" ht="13.5" customHeight="1" s="362">
      <c r="H461" s="223" t="inlineStr">
        <is>
          <t>설비</t>
        </is>
      </c>
      <c r="I461" s="223" t="inlineStr">
        <is>
          <t>010105040208  6F 급수급탕배관공사</t>
        </is>
      </c>
    </row>
    <row r="462" ht="13.5" customHeight="1" s="362">
      <c r="H462" s="223" t="inlineStr">
        <is>
          <t>설비</t>
        </is>
      </c>
      <c r="I462" s="223" t="inlineStr">
        <is>
          <t>010105040209  7F 급수급탕배관공사</t>
        </is>
      </c>
    </row>
    <row r="463" ht="13.5" customHeight="1" s="362">
      <c r="H463" s="223" t="inlineStr">
        <is>
          <t>설비</t>
        </is>
      </c>
      <c r="I463" s="223" t="inlineStr">
        <is>
          <t>010105040301  B1F NPW배관공사</t>
        </is>
      </c>
    </row>
    <row r="464" ht="13.5" customHeight="1" s="362">
      <c r="H464" s="223" t="inlineStr">
        <is>
          <t>설비</t>
        </is>
      </c>
      <c r="I464" s="223" t="inlineStr">
        <is>
          <t>010105040302  1F NPW배관공사</t>
        </is>
      </c>
    </row>
    <row r="465" ht="13.5" customHeight="1" s="362">
      <c r="H465" s="223" t="inlineStr">
        <is>
          <t>설비</t>
        </is>
      </c>
      <c r="I465" s="223" t="inlineStr">
        <is>
          <t>010105040303  2F NPW배관공사</t>
        </is>
      </c>
    </row>
    <row r="466" ht="13.5" customHeight="1" s="362">
      <c r="H466" s="223" t="inlineStr">
        <is>
          <t>설비</t>
        </is>
      </c>
      <c r="I466" s="223" t="inlineStr">
        <is>
          <t>010105040304  3F NPW배관공사</t>
        </is>
      </c>
    </row>
    <row r="467" ht="13.5" customHeight="1" s="362">
      <c r="H467" s="223" t="inlineStr">
        <is>
          <t>설비</t>
        </is>
      </c>
      <c r="I467" s="223" t="inlineStr">
        <is>
          <t>010105040305  4F NPW배관공사</t>
        </is>
      </c>
    </row>
    <row r="468" ht="13.5" customHeight="1" s="362">
      <c r="H468" s="223" t="inlineStr">
        <is>
          <t>설비</t>
        </is>
      </c>
      <c r="I468" s="223" t="inlineStr">
        <is>
          <t>010105040306  4MF NPW배관공사</t>
        </is>
      </c>
    </row>
    <row r="469" ht="13.5" customHeight="1" s="362">
      <c r="H469" s="223" t="inlineStr">
        <is>
          <t>설비</t>
        </is>
      </c>
      <c r="I469" s="223" t="inlineStr">
        <is>
          <t>010105040307  5F NPW배관공사</t>
        </is>
      </c>
    </row>
    <row r="470" ht="13.5" customHeight="1" s="362">
      <c r="H470" s="223" t="inlineStr">
        <is>
          <t>설비</t>
        </is>
      </c>
      <c r="I470" s="223" t="inlineStr">
        <is>
          <t>010105040308  6F NPW배관공사</t>
        </is>
      </c>
    </row>
    <row r="471" ht="13.5" customHeight="1" s="362">
      <c r="H471" s="223" t="inlineStr">
        <is>
          <t>설비</t>
        </is>
      </c>
      <c r="I471" s="223" t="inlineStr">
        <is>
          <t>010105040309  7F NPW배관공사</t>
        </is>
      </c>
    </row>
    <row r="472" ht="13.5" customHeight="1" s="362">
      <c r="H472" s="223" t="inlineStr">
        <is>
          <t>설비</t>
        </is>
      </c>
      <c r="I472" s="223" t="inlineStr">
        <is>
          <t>010105040310  ROOF NPW배관공사</t>
        </is>
      </c>
    </row>
    <row r="473" ht="13.5" customHeight="1" s="362">
      <c r="H473" s="223" t="inlineStr">
        <is>
          <t>설비</t>
        </is>
      </c>
      <c r="I473" s="223" t="inlineStr">
        <is>
          <t>010105040311  ROOFTOP-1 NPW배관공사</t>
        </is>
      </c>
    </row>
    <row r="474" ht="13.5" customHeight="1" s="362">
      <c r="H474" s="223" t="inlineStr">
        <is>
          <t>설비</t>
        </is>
      </c>
      <c r="I474" s="223" t="inlineStr">
        <is>
          <t>010105040401  B1F 오배수배관공사</t>
        </is>
      </c>
    </row>
    <row r="475" ht="13.5" customHeight="1" s="362">
      <c r="H475" s="223" t="inlineStr">
        <is>
          <t>설비</t>
        </is>
      </c>
      <c r="I475" s="223" t="inlineStr">
        <is>
          <t>010105040402  1F 오배수배관공사</t>
        </is>
      </c>
    </row>
    <row r="476" ht="13.5" customHeight="1" s="362">
      <c r="H476" s="223" t="inlineStr">
        <is>
          <t>설비</t>
        </is>
      </c>
      <c r="I476" s="223" t="inlineStr">
        <is>
          <t>010105040403  2F 오배수배관공사</t>
        </is>
      </c>
    </row>
    <row r="477" ht="13.5" customHeight="1" s="362">
      <c r="H477" s="223" t="inlineStr">
        <is>
          <t>설비</t>
        </is>
      </c>
      <c r="I477" s="223" t="inlineStr">
        <is>
          <t>010105040404  3F 오배수배관공사</t>
        </is>
      </c>
    </row>
    <row r="478" ht="13.5" customHeight="1" s="362">
      <c r="H478" s="223" t="inlineStr">
        <is>
          <t>설비</t>
        </is>
      </c>
      <c r="I478" s="223" t="inlineStr">
        <is>
          <t>010105040405  4F 오배수배관공사</t>
        </is>
      </c>
    </row>
    <row r="479" ht="13.5" customHeight="1" s="362">
      <c r="H479" s="223" t="inlineStr">
        <is>
          <t>설비</t>
        </is>
      </c>
      <c r="I479" s="223" t="inlineStr">
        <is>
          <t>010105040406  4MF 오배수배관공사</t>
        </is>
      </c>
    </row>
    <row r="480" ht="13.5" customHeight="1" s="362">
      <c r="H480" s="223" t="inlineStr">
        <is>
          <t>설비</t>
        </is>
      </c>
      <c r="I480" s="223" t="inlineStr">
        <is>
          <t>010105040407  5F 오배수배관공사</t>
        </is>
      </c>
    </row>
    <row r="481" ht="13.5" customHeight="1" s="362">
      <c r="H481" s="223" t="inlineStr">
        <is>
          <t>설비</t>
        </is>
      </c>
      <c r="I481" s="223" t="inlineStr">
        <is>
          <t>010105040408  6F 오배수배관공사</t>
        </is>
      </c>
    </row>
    <row r="482" ht="13.5" customHeight="1" s="362">
      <c r="H482" s="223" t="inlineStr">
        <is>
          <t>설비</t>
        </is>
      </c>
      <c r="I482" s="223" t="inlineStr">
        <is>
          <t>010105040409  7F 오배수배관공사</t>
        </is>
      </c>
    </row>
    <row r="483" ht="13.5" customHeight="1" s="362">
      <c r="H483" s="223" t="inlineStr">
        <is>
          <t>설비</t>
        </is>
      </c>
      <c r="I483" s="223" t="inlineStr">
        <is>
          <t>010105040410  ROOF층 오배수배관공사</t>
        </is>
      </c>
    </row>
    <row r="484" ht="13.5" customHeight="1" s="362">
      <c r="H484" s="223" t="inlineStr">
        <is>
          <t>설비</t>
        </is>
      </c>
      <c r="I484" s="223" t="inlineStr">
        <is>
          <t>0101050501  1F WALK WAY</t>
        </is>
      </c>
    </row>
    <row r="485" ht="13.5" customHeight="1" s="362">
      <c r="H485" s="223" t="inlineStr">
        <is>
          <t>설비</t>
        </is>
      </c>
      <c r="I485" s="223" t="inlineStr">
        <is>
          <t>0101050502  2F WALK WAY</t>
        </is>
      </c>
    </row>
    <row r="486" ht="13.5" customHeight="1" s="362">
      <c r="H486" s="223" t="inlineStr">
        <is>
          <t>설비</t>
        </is>
      </c>
      <c r="I486" s="223" t="inlineStr">
        <is>
          <t>0101050601  ROOF F04 동파방지열선(CTW,NPW,CD)</t>
        </is>
      </c>
    </row>
    <row r="487" ht="13.5" customHeight="1" s="362">
      <c r="H487" s="223" t="inlineStr">
        <is>
          <t>설비</t>
        </is>
      </c>
      <c r="I487" s="223" t="inlineStr">
        <is>
          <t>0101050602  ROOF F05 동파방지열선(CTW,NPW,CD)</t>
        </is>
      </c>
    </row>
    <row r="488" ht="13.5" customHeight="1" s="362">
      <c r="H488" s="223" t="inlineStr">
        <is>
          <t>설비</t>
        </is>
      </c>
      <c r="I488" s="223" t="inlineStr">
        <is>
          <t>0101050603  ROOF F04 동파방지열선(DUCT DRAIN)</t>
        </is>
      </c>
    </row>
    <row r="489" ht="13.5" customHeight="1" s="362">
      <c r="H489" s="223" t="inlineStr">
        <is>
          <t>설비</t>
        </is>
      </c>
      <c r="I489" s="223" t="inlineStr">
        <is>
          <t>0101050604  ROOF F05 동파방지열선(DUCT DRAIN)</t>
        </is>
      </c>
    </row>
    <row r="490" ht="13.5" customHeight="1" s="362">
      <c r="H490" s="223" t="inlineStr">
        <is>
          <t>설비</t>
        </is>
      </c>
      <c r="I490" s="223" t="inlineStr">
        <is>
          <t>01010507  사이포닉 우배수 배관공사</t>
        </is>
      </c>
    </row>
    <row r="491" ht="13.5" customHeight="1" s="362">
      <c r="H491" s="223" t="inlineStr">
        <is>
          <t>설비</t>
        </is>
      </c>
      <c r="I491" s="223" t="inlineStr">
        <is>
          <t>0101050801  HVAC PIPING VIBRATION</t>
        </is>
      </c>
    </row>
    <row r="492" ht="13.5" customHeight="1" s="362">
      <c r="H492" s="223" t="inlineStr">
        <is>
          <t>설비</t>
        </is>
      </c>
      <c r="I492" s="223" t="inlineStr">
        <is>
          <t>0101050802  HVAC- DUCT VIBRATION</t>
        </is>
      </c>
    </row>
    <row r="493" ht="13.5" customHeight="1" s="362">
      <c r="H493" s="223" t="inlineStr">
        <is>
          <t>설비</t>
        </is>
      </c>
      <c r="I493" s="223" t="inlineStr">
        <is>
          <t>0101050803  EXHAUST- DUCT VIBRATION</t>
        </is>
      </c>
    </row>
    <row r="494" ht="13.5" customHeight="1" s="362">
      <c r="H494" s="223" t="inlineStr">
        <is>
          <t>설비</t>
        </is>
      </c>
      <c r="I494" s="223" t="inlineStr">
        <is>
          <t>01010509  LNG 배관공사</t>
        </is>
      </c>
    </row>
    <row r="495" ht="13.5" customHeight="1" s="362">
      <c r="H495" s="223" t="inlineStr">
        <is>
          <t>설비</t>
        </is>
      </c>
      <c r="I495" s="223" t="inlineStr">
        <is>
          <t>0101051001  RF (F04) ACID FRP</t>
        </is>
      </c>
    </row>
    <row r="496" ht="13.5" customHeight="1" s="362">
      <c r="H496" s="223" t="inlineStr">
        <is>
          <t>설비</t>
        </is>
      </c>
      <c r="I496" s="223" t="inlineStr">
        <is>
          <t>0101051002  RF (F04) ALKALI FRP</t>
        </is>
      </c>
    </row>
    <row r="497" ht="13.5" customHeight="1" s="362">
      <c r="H497" s="223" t="inlineStr">
        <is>
          <t>설비</t>
        </is>
      </c>
      <c r="I497" s="223" t="inlineStr">
        <is>
          <t>010105110101  1F DS구간~ROOF (남측 )</t>
        </is>
      </c>
    </row>
    <row r="498" ht="13.5" customHeight="1" s="362">
      <c r="H498" s="223" t="inlineStr">
        <is>
          <t>설비</t>
        </is>
      </c>
      <c r="I498" s="223" t="inlineStr">
        <is>
          <t>010105120101  RF (F04) ACID FRP</t>
        </is>
      </c>
    </row>
    <row r="499" ht="13.5" customHeight="1" s="362">
      <c r="H499" s="223" t="inlineStr">
        <is>
          <t>설비</t>
        </is>
      </c>
      <c r="I499" s="223" t="inlineStr">
        <is>
          <t>010105120201  RF (F04) ALKALI FRP</t>
        </is>
      </c>
    </row>
    <row r="500" ht="13.5" customHeight="1" s="362">
      <c r="H500" s="223" t="inlineStr">
        <is>
          <t>설비</t>
        </is>
      </c>
      <c r="I500" s="223" t="inlineStr">
        <is>
          <t>010105120301  RF (F04) CABINET FRP</t>
        </is>
      </c>
    </row>
    <row r="501" ht="13.5" customHeight="1" s="362">
      <c r="H501" s="223" t="inlineStr">
        <is>
          <t>설비</t>
        </is>
      </c>
      <c r="I501" s="223" t="inlineStr">
        <is>
          <t>010105120401  RF (F04) HCL FRP</t>
        </is>
      </c>
    </row>
    <row r="502" ht="13.5" customHeight="1" s="362">
      <c r="H502" s="223" t="inlineStr">
        <is>
          <t>설비</t>
        </is>
      </c>
      <c r="I502" s="223" t="inlineStr">
        <is>
          <t>010105120501  RF (F04) EMERGENCY FRP</t>
        </is>
      </c>
    </row>
    <row r="503" ht="13.5" customHeight="1" s="362">
      <c r="H503" s="223" t="inlineStr">
        <is>
          <t>설비</t>
        </is>
      </c>
      <c r="I503" s="223" t="inlineStr">
        <is>
          <t>010106010101  B1F 증기배관공사</t>
        </is>
      </c>
    </row>
    <row r="504" ht="13.5" customHeight="1" s="362">
      <c r="H504" s="223" t="inlineStr">
        <is>
          <t>설비</t>
        </is>
      </c>
      <c r="I504" s="223" t="inlineStr">
        <is>
          <t>010106010102  1F 증기배관공사</t>
        </is>
      </c>
    </row>
    <row r="505" ht="13.5" customHeight="1" s="362">
      <c r="H505" s="223" t="inlineStr">
        <is>
          <t>설비</t>
        </is>
      </c>
      <c r="I505" s="223" t="inlineStr">
        <is>
          <t>010106010103  2F 증기배관공사</t>
        </is>
      </c>
    </row>
    <row r="506" ht="13.5" customHeight="1" s="362">
      <c r="H506" s="223" t="inlineStr">
        <is>
          <t>설비</t>
        </is>
      </c>
      <c r="I506" s="223" t="inlineStr">
        <is>
          <t>010106010104  3F 증기배관공사</t>
        </is>
      </c>
    </row>
    <row r="507" ht="13.5" customHeight="1" s="362">
      <c r="H507" s="223" t="inlineStr">
        <is>
          <t>설비</t>
        </is>
      </c>
      <c r="I507" s="223" t="inlineStr">
        <is>
          <t>010106010105  4F 증기배관공사</t>
        </is>
      </c>
    </row>
    <row r="508" ht="13.5" customHeight="1" s="362">
      <c r="H508" s="223" t="inlineStr">
        <is>
          <t>설비</t>
        </is>
      </c>
      <c r="I508" s="223" t="inlineStr">
        <is>
          <t>010106010106  4MF 증기배관공사</t>
        </is>
      </c>
    </row>
    <row r="509" ht="13.5" customHeight="1" s="362">
      <c r="H509" s="223" t="inlineStr">
        <is>
          <t>설비</t>
        </is>
      </c>
      <c r="I509" s="223" t="inlineStr">
        <is>
          <t>010106010107  5F 증기배관공사</t>
        </is>
      </c>
    </row>
    <row r="510" ht="13.5" customHeight="1" s="362">
      <c r="H510" s="223" t="inlineStr">
        <is>
          <t>설비</t>
        </is>
      </c>
      <c r="I510" s="223" t="inlineStr">
        <is>
          <t>010106010108  6F 증기배관공사</t>
        </is>
      </c>
    </row>
    <row r="511" ht="13.5" customHeight="1" s="362">
      <c r="H511" s="223" t="inlineStr">
        <is>
          <t>설비</t>
        </is>
      </c>
      <c r="I511" s="223" t="inlineStr">
        <is>
          <t>010106010109  7F 증기배관공사</t>
        </is>
      </c>
    </row>
    <row r="512" ht="13.5" customHeight="1" s="362">
      <c r="H512" s="223" t="inlineStr">
        <is>
          <t>설비</t>
        </is>
      </c>
      <c r="I512" s="223" t="inlineStr">
        <is>
          <t>010106010201  B1F 냉수배관공사</t>
        </is>
      </c>
    </row>
    <row r="513" ht="13.5" customHeight="1" s="362">
      <c r="H513" s="223" t="inlineStr">
        <is>
          <t>설비</t>
        </is>
      </c>
      <c r="I513" s="223" t="inlineStr">
        <is>
          <t>010106010202  1F 냉수배관공사</t>
        </is>
      </c>
    </row>
    <row r="514" ht="13.5" customHeight="1" s="362">
      <c r="H514" s="223" t="inlineStr">
        <is>
          <t>설비</t>
        </is>
      </c>
      <c r="I514" s="223" t="inlineStr">
        <is>
          <t>010106010203  2F 냉수배관공사</t>
        </is>
      </c>
    </row>
    <row r="515" ht="13.5" customHeight="1" s="362">
      <c r="H515" s="223" t="inlineStr">
        <is>
          <t>설비</t>
        </is>
      </c>
      <c r="I515" s="223" t="inlineStr">
        <is>
          <t>010106010204  3F 냉수배관공사</t>
        </is>
      </c>
    </row>
    <row r="516" ht="13.5" customHeight="1" s="362">
      <c r="H516" s="223" t="inlineStr">
        <is>
          <t>설비</t>
        </is>
      </c>
      <c r="I516" s="223" t="inlineStr">
        <is>
          <t>010106010205  4F 냉수배관공사</t>
        </is>
      </c>
    </row>
    <row r="517" ht="13.5" customHeight="1" s="362">
      <c r="H517" s="223" t="inlineStr">
        <is>
          <t>설비</t>
        </is>
      </c>
      <c r="I517" s="223" t="inlineStr">
        <is>
          <t>010106010206  4MF 냉수배관공사</t>
        </is>
      </c>
    </row>
    <row r="518" ht="13.5" customHeight="1" s="362">
      <c r="H518" s="223" t="inlineStr">
        <is>
          <t>설비</t>
        </is>
      </c>
      <c r="I518" s="223" t="inlineStr">
        <is>
          <t>010106010301  1F 폐열회수배관공사</t>
        </is>
      </c>
    </row>
    <row r="519" ht="13.5" customHeight="1" s="362">
      <c r="H519" s="223" t="inlineStr">
        <is>
          <t>설비</t>
        </is>
      </c>
      <c r="I519" s="223" t="inlineStr">
        <is>
          <t>010106010302  2F 폐열회수배관공사</t>
        </is>
      </c>
    </row>
    <row r="520" ht="13.5" customHeight="1" s="362">
      <c r="H520" s="223" t="inlineStr">
        <is>
          <t>설비</t>
        </is>
      </c>
      <c r="I520" s="223" t="inlineStr">
        <is>
          <t>010106010303  3F 폐열회수배관공사</t>
        </is>
      </c>
    </row>
    <row r="521" ht="13.5" customHeight="1" s="362">
      <c r="H521" s="223" t="inlineStr">
        <is>
          <t>설비</t>
        </is>
      </c>
      <c r="I521" s="223" t="inlineStr">
        <is>
          <t>010106010304  4F 폐열회수배관공사</t>
        </is>
      </c>
    </row>
    <row r="522" ht="13.5" customHeight="1" s="362">
      <c r="H522" s="223" t="inlineStr">
        <is>
          <t>설비</t>
        </is>
      </c>
      <c r="I522" s="223" t="inlineStr">
        <is>
          <t>010106010305  4MF 폐열회수배관공사</t>
        </is>
      </c>
    </row>
    <row r="523" ht="13.5" customHeight="1" s="362">
      <c r="H523" s="223" t="inlineStr">
        <is>
          <t>설비</t>
        </is>
      </c>
      <c r="I523" s="223" t="inlineStr">
        <is>
          <t>010106010401  B1F 드레인배관공사</t>
        </is>
      </c>
    </row>
    <row r="524" ht="13.5" customHeight="1" s="362">
      <c r="H524" s="223" t="inlineStr">
        <is>
          <t>설비</t>
        </is>
      </c>
      <c r="I524" s="223" t="inlineStr">
        <is>
          <t>010106010402  1F 드레인배관공사</t>
        </is>
      </c>
    </row>
    <row r="525" ht="13.5" customHeight="1" s="362">
      <c r="H525" s="223" t="inlineStr">
        <is>
          <t>설비</t>
        </is>
      </c>
      <c r="I525" s="223" t="inlineStr">
        <is>
          <t>010106010403  2F 드레인배관공사</t>
        </is>
      </c>
    </row>
    <row r="526" ht="13.5" customHeight="1" s="362">
      <c r="H526" s="223" t="inlineStr">
        <is>
          <t>설비</t>
        </is>
      </c>
      <c r="I526" s="223" t="inlineStr">
        <is>
          <t>010106010404  3F 드레인배관공사</t>
        </is>
      </c>
    </row>
    <row r="527" ht="13.5" customHeight="1" s="362">
      <c r="H527" s="223" t="inlineStr">
        <is>
          <t>설비</t>
        </is>
      </c>
      <c r="I527" s="223" t="inlineStr">
        <is>
          <t>010106010405  4F 드레인배관공사</t>
        </is>
      </c>
    </row>
    <row r="528" ht="13.5" customHeight="1" s="362">
      <c r="H528" s="223" t="inlineStr">
        <is>
          <t>설비</t>
        </is>
      </c>
      <c r="I528" s="223" t="inlineStr">
        <is>
          <t>010106010406  4MF 드레인배관공사</t>
        </is>
      </c>
    </row>
    <row r="529" ht="13.5" customHeight="1" s="362">
      <c r="H529" s="223" t="inlineStr">
        <is>
          <t>설비</t>
        </is>
      </c>
      <c r="I529" s="223" t="inlineStr">
        <is>
          <t>010106010501  B1F WSS 배관공사</t>
        </is>
      </c>
    </row>
    <row r="530" ht="13.5" customHeight="1" s="362">
      <c r="H530" s="223" t="inlineStr">
        <is>
          <t>설비</t>
        </is>
      </c>
      <c r="I530" s="223" t="inlineStr">
        <is>
          <t>010106010502  1F WSS 배관공사</t>
        </is>
      </c>
    </row>
    <row r="531" ht="13.5" customHeight="1" s="362">
      <c r="H531" s="223" t="inlineStr">
        <is>
          <t>설비</t>
        </is>
      </c>
      <c r="I531" s="223" t="inlineStr">
        <is>
          <t>010106010503  2F WSS 배관공사</t>
        </is>
      </c>
    </row>
    <row r="532" ht="13.5" customHeight="1" s="362">
      <c r="H532" s="223" t="inlineStr">
        <is>
          <t>설비</t>
        </is>
      </c>
      <c r="I532" s="223" t="inlineStr">
        <is>
          <t>010106010601  1F CDA배관공사</t>
        </is>
      </c>
    </row>
    <row r="533" ht="13.5" customHeight="1" s="362">
      <c r="H533" s="223" t="inlineStr">
        <is>
          <t>설비</t>
        </is>
      </c>
      <c r="I533" s="223" t="inlineStr">
        <is>
          <t>010106010602  2F CDA배관공사</t>
        </is>
      </c>
    </row>
    <row r="534" ht="13.5" customHeight="1" s="362">
      <c r="H534" s="223" t="inlineStr">
        <is>
          <t>설비</t>
        </is>
      </c>
      <c r="I534" s="223" t="inlineStr">
        <is>
          <t>010106010603  3F CDA배관공사</t>
        </is>
      </c>
    </row>
    <row r="535" ht="13.5" customHeight="1" s="362">
      <c r="H535" s="223" t="inlineStr">
        <is>
          <t>설비</t>
        </is>
      </c>
      <c r="I535" s="223" t="inlineStr">
        <is>
          <t>010106010604  4F CDA배관공사</t>
        </is>
      </c>
    </row>
    <row r="536" ht="13.5" customHeight="1" s="362">
      <c r="H536" s="223" t="inlineStr">
        <is>
          <t>설비</t>
        </is>
      </c>
      <c r="I536" s="223" t="inlineStr">
        <is>
          <t>010106010701  2F 일반배기덕트설치공사</t>
        </is>
      </c>
    </row>
    <row r="537" ht="13.5" customHeight="1" s="362">
      <c r="H537" s="223" t="inlineStr">
        <is>
          <t>설비</t>
        </is>
      </c>
      <c r="I537" s="223" t="inlineStr">
        <is>
          <t>010106020101  B1F 증기배관공사</t>
        </is>
      </c>
    </row>
    <row r="538" ht="13.5" customHeight="1" s="362">
      <c r="H538" s="223" t="inlineStr">
        <is>
          <t>설비</t>
        </is>
      </c>
      <c r="I538" s="223" t="inlineStr">
        <is>
          <t>010106020102  1F 증기배관공사</t>
        </is>
      </c>
    </row>
    <row r="539" ht="13.5" customHeight="1" s="362">
      <c r="H539" s="223" t="inlineStr">
        <is>
          <t>설비</t>
        </is>
      </c>
      <c r="I539" s="223" t="inlineStr">
        <is>
          <t>010106020103  2F 증기배관공사</t>
        </is>
      </c>
    </row>
    <row r="540" ht="13.5" customHeight="1" s="362">
      <c r="H540" s="223" t="inlineStr">
        <is>
          <t>설비</t>
        </is>
      </c>
      <c r="I540" s="223" t="inlineStr">
        <is>
          <t>010106020104  3F 증기배관공사</t>
        </is>
      </c>
    </row>
    <row r="541" ht="13.5" customHeight="1" s="362">
      <c r="H541" s="223" t="inlineStr">
        <is>
          <t>설비</t>
        </is>
      </c>
      <c r="I541" s="223" t="inlineStr">
        <is>
          <t>010106020105  5F 증기배관공사</t>
        </is>
      </c>
    </row>
    <row r="542" ht="13.5" customHeight="1" s="362">
      <c r="H542" s="223" t="inlineStr">
        <is>
          <t>설비</t>
        </is>
      </c>
      <c r="I542" s="223" t="inlineStr">
        <is>
          <t>010106020106  6F 증기배관공사</t>
        </is>
      </c>
    </row>
    <row r="543" ht="13.5" customHeight="1" s="362">
      <c r="H543" s="223" t="inlineStr">
        <is>
          <t>설비</t>
        </is>
      </c>
      <c r="I543" s="223" t="inlineStr">
        <is>
          <t>010106020107  7F 증기배관공사</t>
        </is>
      </c>
    </row>
    <row r="544" ht="13.5" customHeight="1" s="362">
      <c r="H544" s="223" t="inlineStr">
        <is>
          <t>설비</t>
        </is>
      </c>
      <c r="I544" s="223" t="inlineStr">
        <is>
          <t>010106020201  1F 냉수배관공사</t>
        </is>
      </c>
    </row>
    <row r="545" ht="13.5" customHeight="1" s="362">
      <c r="H545" s="223" t="inlineStr">
        <is>
          <t>설비</t>
        </is>
      </c>
      <c r="I545" s="223" t="inlineStr">
        <is>
          <t>010106020202  2F 냉수배관공사</t>
        </is>
      </c>
    </row>
    <row r="546" ht="13.5" customHeight="1" s="362">
      <c r="H546" s="223" t="inlineStr">
        <is>
          <t>설비</t>
        </is>
      </c>
      <c r="I546" s="223" t="inlineStr">
        <is>
          <t>010106020203  3F 냉수배관공사</t>
        </is>
      </c>
    </row>
    <row r="547" ht="13.5" customHeight="1" s="362">
      <c r="H547" s="223" t="inlineStr">
        <is>
          <t>설비</t>
        </is>
      </c>
      <c r="I547" s="223" t="inlineStr">
        <is>
          <t>010106020301  1F 폐열회수배관공사</t>
        </is>
      </c>
    </row>
    <row r="548" ht="13.5" customHeight="1" s="362">
      <c r="H548" s="223" t="inlineStr">
        <is>
          <t>설비</t>
        </is>
      </c>
      <c r="I548" s="223" t="inlineStr">
        <is>
          <t>010106020302  2F 폐열회수배관공사</t>
        </is>
      </c>
    </row>
    <row r="549" ht="13.5" customHeight="1" s="362">
      <c r="H549" s="223" t="inlineStr">
        <is>
          <t>설비</t>
        </is>
      </c>
      <c r="I549" s="223" t="inlineStr">
        <is>
          <t>010106020303  3F 폐열회수배관공사</t>
        </is>
      </c>
    </row>
    <row r="550" ht="13.5" customHeight="1" s="362">
      <c r="H550" s="223" t="inlineStr">
        <is>
          <t>설비</t>
        </is>
      </c>
      <c r="I550" s="223" t="inlineStr">
        <is>
          <t>010106020401  B1F 드레인배관공사</t>
        </is>
      </c>
    </row>
    <row r="551" ht="13.5" customHeight="1" s="362">
      <c r="H551" s="223" t="inlineStr">
        <is>
          <t>설비</t>
        </is>
      </c>
      <c r="I551" s="223" t="inlineStr">
        <is>
          <t>010106020402  1F 드레인배관공사</t>
        </is>
      </c>
    </row>
    <row r="552" ht="13.5" customHeight="1" s="362">
      <c r="H552" s="223" t="inlineStr">
        <is>
          <t>설비</t>
        </is>
      </c>
      <c r="I552" s="223" t="inlineStr">
        <is>
          <t>010106020403  2F 드레인배관공사</t>
        </is>
      </c>
    </row>
    <row r="553" ht="13.5" customHeight="1" s="362">
      <c r="H553" s="223" t="inlineStr">
        <is>
          <t>설비</t>
        </is>
      </c>
      <c r="I553" s="223" t="inlineStr">
        <is>
          <t>010106020404  3F 드레인배관공사</t>
        </is>
      </c>
    </row>
    <row r="554" ht="13.5" customHeight="1" s="362">
      <c r="H554" s="223" t="inlineStr">
        <is>
          <t>설비</t>
        </is>
      </c>
      <c r="I554" s="223" t="inlineStr">
        <is>
          <t>010106020501  B1F WSS 배관공사</t>
        </is>
      </c>
    </row>
    <row r="555" ht="13.5" customHeight="1" s="362">
      <c r="H555" s="223" t="inlineStr">
        <is>
          <t>설비</t>
        </is>
      </c>
      <c r="I555" s="223" t="inlineStr">
        <is>
          <t>010106020502  1F WSS 배관공사</t>
        </is>
      </c>
    </row>
    <row r="556" ht="13.5" customHeight="1" s="362">
      <c r="H556" s="223" t="inlineStr">
        <is>
          <t>설비</t>
        </is>
      </c>
      <c r="I556" s="223" t="inlineStr">
        <is>
          <t>010106020503  3F WSS 배관공사</t>
        </is>
      </c>
    </row>
    <row r="557" ht="13.5" customHeight="1" s="362">
      <c r="H557" s="223" t="inlineStr">
        <is>
          <t>설비</t>
        </is>
      </c>
      <c r="I557" s="223" t="inlineStr">
        <is>
          <t>010106020601  1F CDA배관공사</t>
        </is>
      </c>
    </row>
    <row r="558" ht="13.5" customHeight="1" s="362">
      <c r="H558" s="223" t="inlineStr">
        <is>
          <t>설비</t>
        </is>
      </c>
      <c r="I558" s="223" t="inlineStr">
        <is>
          <t>010106020602  2F CDA배관공사</t>
        </is>
      </c>
    </row>
    <row r="559" ht="13.5" customHeight="1" s="362">
      <c r="H559" s="223" t="inlineStr">
        <is>
          <t>설비</t>
        </is>
      </c>
      <c r="I559" s="223" t="inlineStr">
        <is>
          <t>010106020603  3F CDA배관공사</t>
        </is>
      </c>
    </row>
    <row r="560" ht="13.5" customHeight="1" s="362">
      <c r="H560" s="223" t="inlineStr">
        <is>
          <t>설비</t>
        </is>
      </c>
      <c r="I560" s="223" t="inlineStr">
        <is>
          <t>010106020701  B1F ROW 배관공사</t>
        </is>
      </c>
    </row>
    <row r="561" ht="13.5" customHeight="1" s="362">
      <c r="H561" s="223" t="inlineStr">
        <is>
          <t>설비</t>
        </is>
      </c>
      <c r="I561" s="223" t="inlineStr">
        <is>
          <t>010106020801  1F 일반배기덕트설치공사</t>
        </is>
      </c>
    </row>
    <row r="562" ht="13.5" customHeight="1" s="362">
      <c r="H562" s="223" t="inlineStr">
        <is>
          <t>설비</t>
        </is>
      </c>
      <c r="I562" s="223" t="inlineStr">
        <is>
          <t>010106020802  2F 일반배기덕트설치공사</t>
        </is>
      </c>
    </row>
    <row r="563" ht="13.5" customHeight="1" s="362">
      <c r="H563" s="223" t="inlineStr">
        <is>
          <t>설비</t>
        </is>
      </c>
      <c r="I563" s="223" t="inlineStr">
        <is>
          <t>010107010101  1F 증기배관공사</t>
        </is>
      </c>
    </row>
    <row r="564" ht="13.5" customHeight="1" s="362">
      <c r="H564" s="223" t="inlineStr">
        <is>
          <t>설비</t>
        </is>
      </c>
      <c r="I564" s="223" t="inlineStr">
        <is>
          <t>010107010102  2F 증기배관공사</t>
        </is>
      </c>
    </row>
    <row r="565" ht="13.5" customHeight="1" s="362">
      <c r="H565" s="223" t="inlineStr">
        <is>
          <t>설비</t>
        </is>
      </c>
      <c r="I565" s="223" t="inlineStr">
        <is>
          <t>010107010103  3F 증기배관공사</t>
        </is>
      </c>
    </row>
    <row r="566" ht="13.5" customHeight="1" s="362">
      <c r="H566" s="223" t="inlineStr">
        <is>
          <t>설비</t>
        </is>
      </c>
      <c r="I566" s="223" t="inlineStr">
        <is>
          <t>010107010104  4F 증기배관공사</t>
        </is>
      </c>
    </row>
    <row r="567" ht="13.5" customHeight="1" s="362">
      <c r="H567" s="223" t="inlineStr">
        <is>
          <t>설비</t>
        </is>
      </c>
      <c r="I567" s="223" t="inlineStr">
        <is>
          <t>010107010105  4MF 증기배관공사</t>
        </is>
      </c>
    </row>
    <row r="568" ht="13.5" customHeight="1" s="362">
      <c r="H568" s="223" t="inlineStr">
        <is>
          <t>설비</t>
        </is>
      </c>
      <c r="I568" s="223" t="inlineStr">
        <is>
          <t>010107010201  1F 냉수배관공사</t>
        </is>
      </c>
    </row>
    <row r="569" ht="13.5" customHeight="1" s="362">
      <c r="H569" s="223" t="inlineStr">
        <is>
          <t>설비</t>
        </is>
      </c>
      <c r="I569" s="223" t="inlineStr">
        <is>
          <t>010107010202  2F 냉수배관공사</t>
        </is>
      </c>
    </row>
    <row r="570" ht="13.5" customHeight="1" s="362">
      <c r="H570" s="223" t="inlineStr">
        <is>
          <t>설비</t>
        </is>
      </c>
      <c r="I570" s="223" t="inlineStr">
        <is>
          <t>010107010203  3F 냉수배관공사</t>
        </is>
      </c>
    </row>
    <row r="571" ht="13.5" customHeight="1" s="362">
      <c r="H571" s="223" t="inlineStr">
        <is>
          <t>설비</t>
        </is>
      </c>
      <c r="I571" s="223" t="inlineStr">
        <is>
          <t>010107010204  4F 냉수배관공사</t>
        </is>
      </c>
    </row>
    <row r="572" ht="13.5" customHeight="1" s="362">
      <c r="H572" s="223" t="inlineStr">
        <is>
          <t>설비</t>
        </is>
      </c>
      <c r="I572" s="223" t="inlineStr">
        <is>
          <t>010107010205  4MF 냉수배관공사</t>
        </is>
      </c>
    </row>
    <row r="573" ht="13.5" customHeight="1" s="362">
      <c r="H573" s="223" t="inlineStr">
        <is>
          <t>설비</t>
        </is>
      </c>
      <c r="I573" s="223" t="inlineStr">
        <is>
          <t>010107010301  1F 폐열회수배관공사</t>
        </is>
      </c>
    </row>
    <row r="574" ht="13.5" customHeight="1" s="362">
      <c r="H574" s="223" t="inlineStr">
        <is>
          <t>설비</t>
        </is>
      </c>
      <c r="I574" s="223" t="inlineStr">
        <is>
          <t>010107010302  2F 폐열회수배관공사</t>
        </is>
      </c>
    </row>
    <row r="575" ht="13.5" customHeight="1" s="362">
      <c r="H575" s="223" t="inlineStr">
        <is>
          <t>설비</t>
        </is>
      </c>
      <c r="I575" s="223" t="inlineStr">
        <is>
          <t>010107010303  3F 폐열회수배관공사</t>
        </is>
      </c>
    </row>
    <row r="576" ht="13.5" customHeight="1" s="362">
      <c r="H576" s="223" t="inlineStr">
        <is>
          <t>설비</t>
        </is>
      </c>
      <c r="I576" s="223" t="inlineStr">
        <is>
          <t>010107010304  4F 폐열회수배관공사</t>
        </is>
      </c>
    </row>
    <row r="577" ht="13.5" customHeight="1" s="362">
      <c r="H577" s="223" t="inlineStr">
        <is>
          <t>설비</t>
        </is>
      </c>
      <c r="I577" s="223" t="inlineStr">
        <is>
          <t>010107010305  4MF 폐열회수배관공사</t>
        </is>
      </c>
    </row>
    <row r="578" ht="13.5" customHeight="1" s="362">
      <c r="H578" s="223" t="inlineStr">
        <is>
          <t>설비</t>
        </is>
      </c>
      <c r="I578" s="223" t="inlineStr">
        <is>
          <t>010107010401  1F 드레인배관공사</t>
        </is>
      </c>
    </row>
    <row r="579" ht="13.5" customHeight="1" s="362">
      <c r="H579" s="223" t="inlineStr">
        <is>
          <t>설비</t>
        </is>
      </c>
      <c r="I579" s="223" t="inlineStr">
        <is>
          <t>010107010402  2F 드레인배관공사</t>
        </is>
      </c>
    </row>
    <row r="580" ht="13.5" customHeight="1" s="362">
      <c r="H580" s="223" t="inlineStr">
        <is>
          <t>설비</t>
        </is>
      </c>
      <c r="I580" s="223" t="inlineStr">
        <is>
          <t>010107010403  3F 드레인배관공사</t>
        </is>
      </c>
    </row>
    <row r="581" ht="13.5" customHeight="1" s="362">
      <c r="H581" s="223" t="inlineStr">
        <is>
          <t>설비</t>
        </is>
      </c>
      <c r="I581" s="223" t="inlineStr">
        <is>
          <t>010107010404  4F 드레인배관공사</t>
        </is>
      </c>
    </row>
    <row r="582" ht="13.5" customHeight="1" s="362">
      <c r="H582" s="223" t="inlineStr">
        <is>
          <t>설비</t>
        </is>
      </c>
      <c r="I582" s="223" t="inlineStr">
        <is>
          <t>010107010405  4MF 드레인배관공사</t>
        </is>
      </c>
    </row>
    <row r="583" ht="13.5" customHeight="1" s="362">
      <c r="H583" s="223" t="inlineStr">
        <is>
          <t>설비</t>
        </is>
      </c>
      <c r="I583" s="223" t="inlineStr">
        <is>
          <t>010107010501  1F WSS 배관공사</t>
        </is>
      </c>
    </row>
    <row r="584" ht="13.5" customHeight="1" s="362">
      <c r="H584" s="223" t="inlineStr">
        <is>
          <t>설비</t>
        </is>
      </c>
      <c r="I584" s="223" t="inlineStr">
        <is>
          <t>010107010502  2F WSS 배관공사</t>
        </is>
      </c>
    </row>
    <row r="585" ht="13.5" customHeight="1" s="362">
      <c r="H585" s="223" t="inlineStr">
        <is>
          <t>설비</t>
        </is>
      </c>
      <c r="I585" s="223" t="inlineStr">
        <is>
          <t>010107010503  3F WSS 배관공사</t>
        </is>
      </c>
    </row>
    <row r="586" ht="13.5" customHeight="1" s="362">
      <c r="H586" s="223" t="inlineStr">
        <is>
          <t>설비</t>
        </is>
      </c>
      <c r="I586" s="223" t="inlineStr">
        <is>
          <t>010107010504  4F WSS배관공사</t>
        </is>
      </c>
    </row>
    <row r="587" ht="13.5" customHeight="1" s="362">
      <c r="H587" s="223" t="inlineStr">
        <is>
          <t>설비</t>
        </is>
      </c>
      <c r="I587" s="223" t="inlineStr">
        <is>
          <t>010107010505  4MF WSS배관공사</t>
        </is>
      </c>
    </row>
    <row r="588" ht="13.5" customHeight="1" s="362">
      <c r="H588" s="223" t="inlineStr">
        <is>
          <t>설비</t>
        </is>
      </c>
      <c r="I588" s="223" t="inlineStr">
        <is>
          <t>010107010601  1F 공조덕트설치공사</t>
        </is>
      </c>
    </row>
    <row r="589" ht="13.5" customHeight="1" s="362">
      <c r="H589" s="223" t="inlineStr">
        <is>
          <t>설비</t>
        </is>
      </c>
      <c r="I589" s="223" t="inlineStr">
        <is>
          <t>010107010602  2F 공조덕트설치공사</t>
        </is>
      </c>
    </row>
    <row r="590" ht="13.5" customHeight="1" s="362">
      <c r="H590" s="223" t="inlineStr">
        <is>
          <t>설비</t>
        </is>
      </c>
      <c r="I590" s="223" t="inlineStr">
        <is>
          <t>010107010603  3F 공조덕트설치공사</t>
        </is>
      </c>
    </row>
    <row r="591" ht="13.5" customHeight="1" s="362">
      <c r="H591" s="223" t="inlineStr">
        <is>
          <t>설비</t>
        </is>
      </c>
      <c r="I591" s="223" t="inlineStr">
        <is>
          <t>010107010604  4F 공조덕트설치공사</t>
        </is>
      </c>
    </row>
    <row r="592" ht="13.5" customHeight="1" s="362">
      <c r="H592" s="223" t="inlineStr">
        <is>
          <t>설비</t>
        </is>
      </c>
      <c r="I592" s="223" t="inlineStr">
        <is>
          <t>010107010701  1F 일반배기덕트설치공사</t>
        </is>
      </c>
    </row>
    <row r="593" ht="13.5" customHeight="1" s="362">
      <c r="H593" s="223" t="inlineStr">
        <is>
          <t>설비</t>
        </is>
      </c>
      <c r="I593" s="223" t="inlineStr">
        <is>
          <t>010107010702  3F 일반배기덕트설치공사</t>
        </is>
      </c>
    </row>
    <row r="594" ht="13.5" customHeight="1" s="362">
      <c r="H594" s="223" t="inlineStr">
        <is>
          <t>설비</t>
        </is>
      </c>
      <c r="I594" s="223" t="inlineStr">
        <is>
          <t>010107010703  4F 일반배기덕트설치공사</t>
        </is>
      </c>
    </row>
    <row r="595" ht="13.5" customHeight="1" s="362">
      <c r="H595" s="223" t="inlineStr">
        <is>
          <t>설비</t>
        </is>
      </c>
      <c r="I595" s="223" t="inlineStr">
        <is>
          <t>010107020101  3F 증기배관공사</t>
        </is>
      </c>
    </row>
    <row r="596" ht="13.5" customHeight="1" s="362">
      <c r="H596" s="223" t="inlineStr">
        <is>
          <t>설비</t>
        </is>
      </c>
      <c r="I596" s="223" t="inlineStr">
        <is>
          <t>010107020102  4F 증기배관공사</t>
        </is>
      </c>
    </row>
    <row r="597" ht="13.5" customHeight="1" s="362">
      <c r="H597" s="223" t="inlineStr">
        <is>
          <t>설비</t>
        </is>
      </c>
      <c r="I597" s="223" t="inlineStr">
        <is>
          <t>010107020103  4MF 증기배관공사</t>
        </is>
      </c>
    </row>
    <row r="598" ht="13.5" customHeight="1" s="362">
      <c r="H598" s="223" t="inlineStr">
        <is>
          <t>설비</t>
        </is>
      </c>
      <c r="I598" s="223" t="inlineStr">
        <is>
          <t>010107020104  6F 증기배관공사</t>
        </is>
      </c>
    </row>
    <row r="599" ht="13.5" customHeight="1" s="362">
      <c r="H599" s="223" t="inlineStr">
        <is>
          <t>설비</t>
        </is>
      </c>
      <c r="I599" s="223" t="inlineStr">
        <is>
          <t>010107020201  3F 냉수배관공사</t>
        </is>
      </c>
    </row>
    <row r="600" ht="13.5" customHeight="1" s="362">
      <c r="H600" s="223" t="inlineStr">
        <is>
          <t>설비</t>
        </is>
      </c>
      <c r="I600" s="223" t="inlineStr">
        <is>
          <t>010107020202  4F 냉수배관공사</t>
        </is>
      </c>
    </row>
    <row r="601" ht="13.5" customHeight="1" s="362">
      <c r="H601" s="223" t="inlineStr">
        <is>
          <t>설비</t>
        </is>
      </c>
      <c r="I601" s="223" t="inlineStr">
        <is>
          <t>010107020203  4MF 냉수배관공사</t>
        </is>
      </c>
    </row>
    <row r="602" ht="13.5" customHeight="1" s="362">
      <c r="H602" s="223" t="inlineStr">
        <is>
          <t>설비</t>
        </is>
      </c>
      <c r="I602" s="223" t="inlineStr">
        <is>
          <t>010107020204  6F 냉수배관공사</t>
        </is>
      </c>
    </row>
    <row r="603" ht="13.5" customHeight="1" s="362">
      <c r="H603" s="223" t="inlineStr">
        <is>
          <t>설비</t>
        </is>
      </c>
      <c r="I603" s="223" t="inlineStr">
        <is>
          <t>010107020301  3F 폐열회수배관공사</t>
        </is>
      </c>
    </row>
    <row r="604" ht="13.5" customHeight="1" s="362">
      <c r="H604" s="223" t="inlineStr">
        <is>
          <t>설비</t>
        </is>
      </c>
      <c r="I604" s="223" t="inlineStr">
        <is>
          <t>010107020302  4F 폐열회수배관공사</t>
        </is>
      </c>
    </row>
    <row r="605" ht="13.5" customHeight="1" s="362">
      <c r="H605" s="223" t="inlineStr">
        <is>
          <t>설비</t>
        </is>
      </c>
      <c r="I605" s="223" t="inlineStr">
        <is>
          <t>010107020303  4MF 폐열회수배관공사</t>
        </is>
      </c>
    </row>
    <row r="606" ht="13.5" customHeight="1" s="362">
      <c r="H606" s="223" t="inlineStr">
        <is>
          <t>설비</t>
        </is>
      </c>
      <c r="I606" s="223" t="inlineStr">
        <is>
          <t>010107020304  6F 폐열회수배관공사</t>
        </is>
      </c>
    </row>
    <row r="607" ht="13.5" customHeight="1" s="362">
      <c r="H607" s="223" t="inlineStr">
        <is>
          <t>설비</t>
        </is>
      </c>
      <c r="I607" s="223" t="inlineStr">
        <is>
          <t>010107020401  3F 드레인배관공사</t>
        </is>
      </c>
    </row>
    <row r="608" ht="13.5" customHeight="1" s="362">
      <c r="H608" s="223" t="inlineStr">
        <is>
          <t>설비</t>
        </is>
      </c>
      <c r="I608" s="223" t="inlineStr">
        <is>
          <t>010107020402  4F 드레인배관공사</t>
        </is>
      </c>
    </row>
    <row r="609" ht="13.5" customHeight="1" s="362">
      <c r="H609" s="223" t="inlineStr">
        <is>
          <t>설비</t>
        </is>
      </c>
      <c r="I609" s="223" t="inlineStr">
        <is>
          <t>010107020403  4MF 드레인배관공사</t>
        </is>
      </c>
    </row>
    <row r="610" ht="13.5" customHeight="1" s="362">
      <c r="H610" s="223" t="inlineStr">
        <is>
          <t>설비</t>
        </is>
      </c>
      <c r="I610" s="223" t="inlineStr">
        <is>
          <t>010107020404  6F 드레인배관공사</t>
        </is>
      </c>
    </row>
    <row r="611" ht="13.5" customHeight="1" s="362">
      <c r="H611" s="223" t="inlineStr">
        <is>
          <t>설비</t>
        </is>
      </c>
      <c r="I611" s="223" t="inlineStr">
        <is>
          <t>010107020501  3F WSS 배관공사</t>
        </is>
      </c>
    </row>
    <row r="612" ht="13.5" customHeight="1" s="362">
      <c r="H612" s="223" t="inlineStr">
        <is>
          <t>설비</t>
        </is>
      </c>
      <c r="I612" s="223" t="inlineStr">
        <is>
          <t>010107020502  4F WSS배관공사</t>
        </is>
      </c>
    </row>
    <row r="613" ht="13.5" customHeight="1" s="362">
      <c r="H613" s="223" t="inlineStr">
        <is>
          <t>설비</t>
        </is>
      </c>
      <c r="I613" s="223" t="inlineStr">
        <is>
          <t>010107020503  4MF WSS배관공사</t>
        </is>
      </c>
    </row>
    <row r="614" ht="13.5" customHeight="1" s="362">
      <c r="H614" s="223" t="inlineStr">
        <is>
          <t>설비</t>
        </is>
      </c>
      <c r="I614" s="223" t="inlineStr">
        <is>
          <t>010107020601  3F 공조덕트설치공사</t>
        </is>
      </c>
    </row>
    <row r="615" ht="13.5" customHeight="1" s="362">
      <c r="H615" s="223" t="inlineStr">
        <is>
          <t>설비</t>
        </is>
      </c>
      <c r="I615" s="223" t="inlineStr">
        <is>
          <t>010107020602  4F 공조덕트설치공사</t>
        </is>
      </c>
    </row>
    <row r="616" ht="13.5" customHeight="1" s="362">
      <c r="H616" s="223" t="inlineStr">
        <is>
          <t>설비</t>
        </is>
      </c>
      <c r="I616" s="223" t="inlineStr">
        <is>
          <t>010107020603  6F 공조덕트설치공사</t>
        </is>
      </c>
    </row>
    <row r="617" ht="13.5" customHeight="1" s="362">
      <c r="H617" s="223" t="inlineStr">
        <is>
          <t>설비</t>
        </is>
      </c>
      <c r="I617" s="223" t="inlineStr">
        <is>
          <t>010107020701  3F 일반배기덕트설치공사</t>
        </is>
      </c>
    </row>
    <row r="618" ht="13.5" customHeight="1" s="362">
      <c r="H618" s="223" t="inlineStr">
        <is>
          <t>설비</t>
        </is>
      </c>
      <c r="I618" s="223" t="inlineStr">
        <is>
          <t>010108010101  4F 냉수배관공사</t>
        </is>
      </c>
    </row>
    <row r="619" ht="13.5" customHeight="1" s="362">
      <c r="H619" s="223" t="inlineStr">
        <is>
          <t>설비</t>
        </is>
      </c>
      <c r="I619" s="223" t="inlineStr">
        <is>
          <t>010108010201  4F 드레인배관공사</t>
        </is>
      </c>
    </row>
    <row r="620" ht="13.5" customHeight="1" s="362">
      <c r="H620" s="223" t="inlineStr">
        <is>
          <t>설비</t>
        </is>
      </c>
      <c r="I620" s="223" t="inlineStr">
        <is>
          <t>010108010301  4F 공조덕트설치공사</t>
        </is>
      </c>
    </row>
    <row r="621" ht="13.5" customHeight="1" s="362">
      <c r="H621" s="223" t="inlineStr">
        <is>
          <t>설비</t>
        </is>
      </c>
      <c r="I621" s="223" t="inlineStr">
        <is>
          <t>010108020101  4F 냉수배관공사</t>
        </is>
      </c>
    </row>
    <row r="622" ht="13.5" customHeight="1" s="362">
      <c r="H622" s="223" t="inlineStr">
        <is>
          <t>설비</t>
        </is>
      </c>
      <c r="I622" s="223" t="inlineStr">
        <is>
          <t>010108020201  4F 드레인배관공사</t>
        </is>
      </c>
    </row>
    <row r="623" ht="13.5" customHeight="1" s="362">
      <c r="H623" s="223" t="inlineStr">
        <is>
          <t>설비</t>
        </is>
      </c>
      <c r="I623" s="223" t="inlineStr">
        <is>
          <t>010108020301  4F 공조덕트설치공사</t>
        </is>
      </c>
    </row>
    <row r="624" ht="13.5" customHeight="1" s="362">
      <c r="H624" s="223" t="inlineStr">
        <is>
          <t>설비</t>
        </is>
      </c>
      <c r="I624" s="223" t="inlineStr">
        <is>
          <t>010109010101  3F DCC배관공사</t>
        </is>
      </c>
    </row>
    <row r="625" ht="13.5" customHeight="1" s="362">
      <c r="H625" s="223" t="inlineStr">
        <is>
          <t>설비</t>
        </is>
      </c>
      <c r="I625" s="223" t="inlineStr">
        <is>
          <t>010109010201  2F 드레인배관공사</t>
        </is>
      </c>
    </row>
    <row r="626" ht="13.5" customHeight="1" s="362">
      <c r="H626" s="223" t="inlineStr">
        <is>
          <t>설비</t>
        </is>
      </c>
      <c r="I626" s="223" t="inlineStr">
        <is>
          <t>010109010202  3F 드레인배관공사</t>
        </is>
      </c>
    </row>
    <row r="627" ht="13.5" customHeight="1" s="362">
      <c r="H627" s="223" t="inlineStr">
        <is>
          <t>설비</t>
        </is>
      </c>
      <c r="I627" s="223" t="inlineStr">
        <is>
          <t>010109020101  3F DCC배관공사</t>
        </is>
      </c>
    </row>
    <row r="628" ht="13.5" customHeight="1" s="362">
      <c r="H628" s="223" t="inlineStr">
        <is>
          <t>설비</t>
        </is>
      </c>
      <c r="I628" s="223" t="inlineStr">
        <is>
          <t>010109020201  2F 드레인배관공사</t>
        </is>
      </c>
    </row>
    <row r="629" ht="13.5" customHeight="1" s="362">
      <c r="H629" s="223" t="inlineStr">
        <is>
          <t>설비</t>
        </is>
      </c>
      <c r="I629" s="223" t="inlineStr">
        <is>
          <t>010109020202  3F 드레인배관공사</t>
        </is>
      </c>
    </row>
    <row r="630" ht="13.5" customHeight="1" s="362">
      <c r="H630" s="223" t="inlineStr">
        <is>
          <t>설비</t>
        </is>
      </c>
      <c r="I630" s="223" t="inlineStr">
        <is>
          <t>010109030101  3F DCC배관공사</t>
        </is>
      </c>
    </row>
    <row r="631" ht="13.5" customHeight="1" s="362">
      <c r="H631" s="223" t="inlineStr">
        <is>
          <t>설비</t>
        </is>
      </c>
      <c r="I631" s="223" t="inlineStr">
        <is>
          <t>010109030201  2F 드레인배관공사</t>
        </is>
      </c>
    </row>
    <row r="632" ht="13.5" customHeight="1" s="362">
      <c r="H632" s="223" t="inlineStr">
        <is>
          <t>설비</t>
        </is>
      </c>
      <c r="I632" s="223" t="inlineStr">
        <is>
          <t>010109030202  3F 드레인배관공사</t>
        </is>
      </c>
    </row>
    <row r="633" ht="13.5" customHeight="1" s="362">
      <c r="H633" s="223" t="inlineStr">
        <is>
          <t>설비</t>
        </is>
      </c>
      <c r="I633" s="223" t="inlineStr">
        <is>
          <t>010109040101  3F DCC배관공사</t>
        </is>
      </c>
    </row>
    <row r="634" ht="13.5" customHeight="1" s="362">
      <c r="H634" s="223" t="inlineStr">
        <is>
          <t>설비</t>
        </is>
      </c>
      <c r="I634" s="223" t="inlineStr">
        <is>
          <t>010109040201  2F 드레인배관공사</t>
        </is>
      </c>
    </row>
    <row r="635" ht="13.5" customHeight="1" s="362">
      <c r="H635" s="223" t="inlineStr">
        <is>
          <t>설비</t>
        </is>
      </c>
      <c r="I635" s="223" t="inlineStr">
        <is>
          <t>010109040202  3F 드레인배관공사</t>
        </is>
      </c>
    </row>
    <row r="636" ht="13.5" customHeight="1" s="362">
      <c r="H636" s="223" t="inlineStr">
        <is>
          <t>설비</t>
        </is>
      </c>
      <c r="I636" s="223" t="inlineStr">
        <is>
          <t>0101100101  2F H-VAC배관공사</t>
        </is>
      </c>
    </row>
    <row r="637" ht="13.5" customHeight="1" s="362">
      <c r="H637" s="223" t="inlineStr">
        <is>
          <t>설비</t>
        </is>
      </c>
      <c r="I637" s="223" t="inlineStr">
        <is>
          <t>0101100102  3F H-VAC배관공사</t>
        </is>
      </c>
    </row>
    <row r="638" ht="13.5" customHeight="1" s="362">
      <c r="H638" s="223" t="inlineStr">
        <is>
          <t>설비</t>
        </is>
      </c>
      <c r="I638" s="223" t="inlineStr">
        <is>
          <t>0101100201  1F H-VAC배관공사</t>
        </is>
      </c>
    </row>
    <row r="639" ht="13.5" customHeight="1" s="362">
      <c r="H639" s="223" t="inlineStr">
        <is>
          <t>설비</t>
        </is>
      </c>
      <c r="I639" s="223" t="inlineStr">
        <is>
          <t>0101100202  2F H-VAC배관공사</t>
        </is>
      </c>
    </row>
    <row r="640" ht="13.5" customHeight="1" s="362">
      <c r="H640" s="223" t="inlineStr">
        <is>
          <t>설비</t>
        </is>
      </c>
      <c r="I640" s="223" t="inlineStr">
        <is>
          <t>0101100203  3F H-VAC배관공사</t>
        </is>
      </c>
    </row>
    <row r="641" ht="13.5" customHeight="1" s="362">
      <c r="H641" s="223" t="inlineStr">
        <is>
          <t>설비</t>
        </is>
      </c>
      <c r="I641" s="223" t="inlineStr">
        <is>
          <t>0101100301  1F H-VAC배관공사</t>
        </is>
      </c>
    </row>
    <row r="642" ht="13.5" customHeight="1" s="362">
      <c r="H642" s="223" t="inlineStr">
        <is>
          <t>설비</t>
        </is>
      </c>
      <c r="I642" s="223" t="inlineStr">
        <is>
          <t>0101100302  2F H-VAC배관공사</t>
        </is>
      </c>
    </row>
    <row r="643" ht="13.5" customHeight="1" s="362">
      <c r="H643" s="223" t="inlineStr">
        <is>
          <t>설비</t>
        </is>
      </c>
      <c r="I643" s="223" t="inlineStr">
        <is>
          <t>0101100303  3F H-VAC배관공사</t>
        </is>
      </c>
    </row>
    <row r="644" ht="13.5" customHeight="1" s="362">
      <c r="H644" s="223" t="inlineStr">
        <is>
          <t>설비</t>
        </is>
      </c>
      <c r="I644" s="223" t="inlineStr">
        <is>
          <t>0101100401  B1F H-VAC배관공사</t>
        </is>
      </c>
    </row>
    <row r="645" ht="13.5" customHeight="1" s="362">
      <c r="H645" s="223" t="inlineStr">
        <is>
          <t>설비</t>
        </is>
      </c>
      <c r="I645" s="223" t="inlineStr">
        <is>
          <t>0101100402  1F H-VAC배관공사</t>
        </is>
      </c>
    </row>
    <row r="646" ht="13.5" customHeight="1" s="362">
      <c r="H646" s="223" t="inlineStr">
        <is>
          <t>설비</t>
        </is>
      </c>
      <c r="I646" s="223" t="inlineStr">
        <is>
          <t>0101100403  2F H-VAC배관공사</t>
        </is>
      </c>
    </row>
    <row r="647" ht="13.5" customHeight="1" s="362">
      <c r="H647" s="223" t="inlineStr">
        <is>
          <t>설비</t>
        </is>
      </c>
      <c r="I647" s="223" t="inlineStr">
        <is>
          <t>0101100404  3F H-VAC배관공사</t>
        </is>
      </c>
    </row>
    <row r="648" ht="13.5" customHeight="1" s="362">
      <c r="H648" s="223" t="inlineStr">
        <is>
          <t>설비</t>
        </is>
      </c>
      <c r="I648" s="223" t="inlineStr">
        <is>
          <t>0101100405  4F H-VAC배관공사</t>
        </is>
      </c>
    </row>
    <row r="649" ht="13.5" customHeight="1" s="362">
      <c r="H649" s="223" t="inlineStr">
        <is>
          <t>설비</t>
        </is>
      </c>
      <c r="I649" s="223" t="inlineStr">
        <is>
          <t>0101100406  4MF H-VAC배관공사</t>
        </is>
      </c>
    </row>
    <row r="650" ht="13.5" customHeight="1" s="362">
      <c r="H650" s="223" t="inlineStr">
        <is>
          <t>설비</t>
        </is>
      </c>
      <c r="I650" s="223" t="inlineStr">
        <is>
          <t>010201  장비설치공사</t>
        </is>
      </c>
    </row>
    <row r="651" ht="13.5" customHeight="1" s="362">
      <c r="H651" s="223" t="inlineStr">
        <is>
          <t>설비</t>
        </is>
      </c>
      <c r="I651" s="223" t="inlineStr">
        <is>
          <t>01020201  2F 냉수배관공사</t>
        </is>
      </c>
    </row>
    <row r="652" ht="13.5" customHeight="1" s="362">
      <c r="H652" s="223" t="inlineStr">
        <is>
          <t>설비</t>
        </is>
      </c>
      <c r="I652" s="223" t="inlineStr">
        <is>
          <t>01020301  2F PCW배관공사</t>
        </is>
      </c>
    </row>
    <row r="653" ht="13.5" customHeight="1" s="362">
      <c r="H653" s="223" t="inlineStr">
        <is>
          <t>설비</t>
        </is>
      </c>
      <c r="I653" s="223" t="inlineStr">
        <is>
          <t>01020401  2층 급수급탕배관공사</t>
        </is>
      </c>
    </row>
    <row r="654" ht="13.5" customHeight="1" s="362">
      <c r="H654" s="223" t="inlineStr">
        <is>
          <t>설비</t>
        </is>
      </c>
      <c r="I654" s="223" t="inlineStr">
        <is>
          <t>01020501  2F 드레인배관공사</t>
        </is>
      </c>
    </row>
    <row r="655" ht="13.5" customHeight="1" s="362">
      <c r="H655" s="223" t="inlineStr">
        <is>
          <t>설비</t>
        </is>
      </c>
      <c r="I655" s="223" t="inlineStr">
        <is>
          <t>01020601  2F WALK WAY</t>
        </is>
      </c>
    </row>
    <row r="656" ht="13.5" customHeight="1" s="362">
      <c r="H656" s="223" t="inlineStr">
        <is>
          <t>설비</t>
        </is>
      </c>
      <c r="I656" s="223" t="inlineStr">
        <is>
          <t>0104  PIPE EXPANSION JOINT 공사</t>
        </is>
      </c>
    </row>
    <row r="657" ht="13.5" customHeight="1" s="362">
      <c r="H657" s="223" t="inlineStr">
        <is>
          <t>설비</t>
        </is>
      </c>
      <c r="I657" s="223" t="inlineStr">
        <is>
          <t>010501  HVAC (F04)</t>
        </is>
      </c>
    </row>
    <row r="658" ht="13.5" customHeight="1" s="362">
      <c r="H658" s="223" t="inlineStr">
        <is>
          <t>설비</t>
        </is>
      </c>
      <c r="I658" s="223" t="inlineStr">
        <is>
          <t>010502  HVAC (F03)</t>
        </is>
      </c>
    </row>
    <row r="659" ht="13.5" customHeight="1" s="362">
      <c r="H659" s="223" t="inlineStr">
        <is>
          <t>설비</t>
        </is>
      </c>
      <c r="I659" s="223" t="inlineStr">
        <is>
          <t>0106  T.A.B</t>
        </is>
      </c>
    </row>
    <row r="660" ht="13.5" customHeight="1" s="362">
      <c r="H660" s="223" t="inlineStr">
        <is>
          <t>설비</t>
        </is>
      </c>
      <c r="I660" s="223" t="inlineStr">
        <is>
          <t>010102010101  1F 증기배관공사</t>
        </is>
      </c>
    </row>
    <row r="661" ht="13.5" customHeight="1" s="362">
      <c r="H661" s="223" t="inlineStr">
        <is>
          <t>설비</t>
        </is>
      </c>
      <c r="I661" s="223" t="inlineStr">
        <is>
          <t>010102010102  2F 증기배관공사</t>
        </is>
      </c>
    </row>
    <row r="662" ht="13.5" customHeight="1" s="362">
      <c r="H662" s="223" t="inlineStr">
        <is>
          <t>설비</t>
        </is>
      </c>
      <c r="I662" s="223" t="inlineStr">
        <is>
          <t>010102010103  3F 증기배관공사</t>
        </is>
      </c>
    </row>
    <row r="663" ht="13.5" customHeight="1" s="362">
      <c r="H663" s="223" t="inlineStr">
        <is>
          <t>설비</t>
        </is>
      </c>
      <c r="I663" s="223" t="inlineStr">
        <is>
          <t>010102010201  1F 냉각수배관공사</t>
        </is>
      </c>
    </row>
    <row r="664" ht="13.5" customHeight="1" s="362">
      <c r="H664" s="223" t="inlineStr">
        <is>
          <t>설비</t>
        </is>
      </c>
      <c r="I664" s="223" t="inlineStr">
        <is>
          <t>010102010202  2F 냉각수배관공사</t>
        </is>
      </c>
    </row>
    <row r="665" ht="13.5" customHeight="1" s="362">
      <c r="H665" s="223" t="inlineStr">
        <is>
          <t>설비</t>
        </is>
      </c>
      <c r="I665" s="223" t="inlineStr">
        <is>
          <t>010102010203  3F 냉각수배관공사</t>
        </is>
      </c>
    </row>
    <row r="666" ht="13.5" customHeight="1" s="362">
      <c r="H666" s="223" t="inlineStr">
        <is>
          <t>설비</t>
        </is>
      </c>
      <c r="I666" s="223" t="inlineStr">
        <is>
          <t>010102010301  1F 냉수배관공사</t>
        </is>
      </c>
    </row>
    <row r="667" ht="13.5" customHeight="1" s="362">
      <c r="H667" s="223" t="inlineStr">
        <is>
          <t>설비</t>
        </is>
      </c>
      <c r="I667" s="223" t="inlineStr">
        <is>
          <t>010102010302  2F 냉수배관공사</t>
        </is>
      </c>
    </row>
    <row r="668" ht="13.5" customHeight="1" s="362">
      <c r="H668" s="223" t="inlineStr">
        <is>
          <t>설비</t>
        </is>
      </c>
      <c r="I668" s="223" t="inlineStr">
        <is>
          <t>010102010303  3F 냉수배관공사</t>
        </is>
      </c>
    </row>
    <row r="669" ht="13.5" customHeight="1" s="362">
      <c r="H669" s="223" t="inlineStr">
        <is>
          <t>설비</t>
        </is>
      </c>
      <c r="I669" s="223" t="inlineStr">
        <is>
          <t>010102010401  1F 폐열회수배관공사</t>
        </is>
      </c>
    </row>
    <row r="670" ht="13.5" customHeight="1" s="362">
      <c r="H670" s="223" t="inlineStr">
        <is>
          <t>설비</t>
        </is>
      </c>
      <c r="I670" s="223" t="inlineStr">
        <is>
          <t>010102010402  2F 폐열회수배관공사</t>
        </is>
      </c>
    </row>
    <row r="671" ht="13.5" customHeight="1" s="362">
      <c r="H671" s="223" t="inlineStr">
        <is>
          <t>설비</t>
        </is>
      </c>
      <c r="I671" s="223" t="inlineStr">
        <is>
          <t>010102010403  3F 폐열회수배관공사</t>
        </is>
      </c>
    </row>
    <row r="672" ht="13.5" customHeight="1" s="362">
      <c r="H672" s="223" t="inlineStr">
        <is>
          <t>설비</t>
        </is>
      </c>
      <c r="I672" s="223" t="inlineStr">
        <is>
          <t>010102010501  1F 드레인배관공사</t>
        </is>
      </c>
    </row>
    <row r="673" ht="13.5" customHeight="1" s="362">
      <c r="H673" s="223" t="inlineStr">
        <is>
          <t>설비</t>
        </is>
      </c>
      <c r="I673" s="223" t="inlineStr">
        <is>
          <t>010102010502  2F 드레인배관공사</t>
        </is>
      </c>
    </row>
    <row r="674" ht="13.5" customHeight="1" s="362">
      <c r="H674" s="223" t="inlineStr">
        <is>
          <t>설비</t>
        </is>
      </c>
      <c r="I674" s="223" t="inlineStr">
        <is>
          <t>010102010503  3F 드레인배관공사</t>
        </is>
      </c>
    </row>
    <row r="675" ht="13.5" customHeight="1" s="362">
      <c r="H675" s="223" t="inlineStr">
        <is>
          <t>설비</t>
        </is>
      </c>
      <c r="I675" s="223" t="inlineStr">
        <is>
          <t>010102010601  1F WSS배관공사</t>
        </is>
      </c>
    </row>
    <row r="676" ht="13.5" customHeight="1" s="362">
      <c r="H676" s="223" t="inlineStr">
        <is>
          <t>설비</t>
        </is>
      </c>
      <c r="I676" s="223" t="inlineStr">
        <is>
          <t>010102010602  2F WSS배관공사</t>
        </is>
      </c>
    </row>
    <row r="677" ht="13.5" customHeight="1" s="362">
      <c r="H677" s="223" t="inlineStr">
        <is>
          <t>설비</t>
        </is>
      </c>
      <c r="I677" s="223" t="inlineStr">
        <is>
          <t>010102010603  3F WSS배관공사</t>
        </is>
      </c>
    </row>
    <row r="678" ht="13.5" customHeight="1" s="362">
      <c r="H678" s="223" t="inlineStr">
        <is>
          <t>설비</t>
        </is>
      </c>
      <c r="I678" s="223" t="inlineStr">
        <is>
          <t>010102010701  1F EHP드레인배관공사</t>
        </is>
      </c>
    </row>
    <row r="679" ht="13.5" customHeight="1" s="362">
      <c r="H679" s="223" t="inlineStr">
        <is>
          <t>설비</t>
        </is>
      </c>
      <c r="I679" s="223" t="inlineStr">
        <is>
          <t>010102010702  2F EHP드레인배관공사</t>
        </is>
      </c>
    </row>
    <row r="680" ht="13.5" customHeight="1" s="362">
      <c r="H680" s="223" t="inlineStr">
        <is>
          <t>설비</t>
        </is>
      </c>
      <c r="I680" s="223" t="inlineStr">
        <is>
          <t>010102010703  3F EHP드레인배관공사</t>
        </is>
      </c>
    </row>
    <row r="681" ht="13.5" customHeight="1" s="362">
      <c r="H681" s="223" t="inlineStr">
        <is>
          <t>설비</t>
        </is>
      </c>
      <c r="I681" s="223" t="inlineStr">
        <is>
          <t>010102020101  2F 공조덕트설치공사</t>
        </is>
      </c>
    </row>
    <row r="682" ht="13.5" customHeight="1" s="362">
      <c r="H682" s="223" t="inlineStr">
        <is>
          <t>설비</t>
        </is>
      </c>
      <c r="I682" s="223" t="inlineStr">
        <is>
          <t>010102020102  3F 공조덕트설치공사</t>
        </is>
      </c>
    </row>
    <row r="683" ht="13.5" customHeight="1" s="362">
      <c r="H683" s="223" t="inlineStr">
        <is>
          <t>설비</t>
        </is>
      </c>
      <c r="I683" s="223" t="inlineStr">
        <is>
          <t>010102020201  1F 일반배기덕트설치공사</t>
        </is>
      </c>
    </row>
    <row r="684" ht="13.5" customHeight="1" s="362">
      <c r="H684" s="223" t="inlineStr">
        <is>
          <t>설비</t>
        </is>
      </c>
      <c r="I684" s="223" t="inlineStr">
        <is>
          <t>010102020202  2F 일반배기덕트설치공사</t>
        </is>
      </c>
    </row>
    <row r="685" ht="13.5" customHeight="1" s="362">
      <c r="H685" s="223" t="inlineStr">
        <is>
          <t>설비</t>
        </is>
      </c>
      <c r="I685" s="223" t="inlineStr">
        <is>
          <t>010102020203  3F 일반배기덕트설치공사</t>
        </is>
      </c>
    </row>
    <row r="686" ht="13.5" customHeight="1" s="362">
      <c r="H686" s="223" t="inlineStr">
        <is>
          <t>설비</t>
        </is>
      </c>
      <c r="I686" s="223" t="inlineStr">
        <is>
          <t>010102020301  2F CABINET덕트설치공사</t>
        </is>
      </c>
    </row>
    <row r="687" ht="13.5" customHeight="1" s="362">
      <c r="H687" s="223" t="inlineStr">
        <is>
          <t>설비</t>
        </is>
      </c>
      <c r="I687" s="223" t="inlineStr">
        <is>
          <t>010102020302  3F CABINET덕트설치공사</t>
        </is>
      </c>
    </row>
    <row r="688" ht="13.5" customHeight="1" s="362">
      <c r="H688" s="223" t="inlineStr">
        <is>
          <t>설비</t>
        </is>
      </c>
      <c r="I688" s="223" t="inlineStr">
        <is>
          <t>010102020401  2F EMERGENCY덕트설치공사</t>
        </is>
      </c>
    </row>
    <row r="689" ht="13.5" customHeight="1" s="362">
      <c r="H689" s="223" t="inlineStr">
        <is>
          <t>설비</t>
        </is>
      </c>
      <c r="I689" s="223" t="inlineStr">
        <is>
          <t>010102020402  3F EMERGENCY덕트설치공사</t>
        </is>
      </c>
    </row>
    <row r="690" ht="13.5" customHeight="1" s="362">
      <c r="H690" s="223" t="inlineStr">
        <is>
          <t>설비</t>
        </is>
      </c>
      <c r="I690" s="223" t="inlineStr">
        <is>
          <t>010102040101  1F 급수급탕배관공사</t>
        </is>
      </c>
    </row>
    <row r="691" ht="13.5" customHeight="1" s="362">
      <c r="H691" s="223" t="inlineStr">
        <is>
          <t>설비</t>
        </is>
      </c>
      <c r="I691" s="223" t="inlineStr">
        <is>
          <t>010102040102  2F 급수급탕배관공사</t>
        </is>
      </c>
    </row>
    <row r="692" ht="13.5" customHeight="1" s="362">
      <c r="H692" s="223" t="inlineStr">
        <is>
          <t>설비</t>
        </is>
      </c>
      <c r="I692" s="223" t="inlineStr">
        <is>
          <t>010102040103  3F 급수급탕배관공사</t>
        </is>
      </c>
    </row>
    <row r="693" ht="13.5" customHeight="1" s="362">
      <c r="H693" s="223" t="inlineStr">
        <is>
          <t>설비</t>
        </is>
      </c>
      <c r="I693" s="223" t="inlineStr">
        <is>
          <t>010102040201  1F IW배관공사</t>
        </is>
      </c>
    </row>
    <row r="694" ht="13.5" customHeight="1" s="362">
      <c r="H694" s="223" t="inlineStr">
        <is>
          <t>설비</t>
        </is>
      </c>
      <c r="I694" s="223" t="inlineStr">
        <is>
          <t>010102040202  2F IW배관공사</t>
        </is>
      </c>
    </row>
    <row r="695" ht="13.5" customHeight="1" s="362">
      <c r="H695" s="223" t="inlineStr">
        <is>
          <t>설비</t>
        </is>
      </c>
      <c r="I695" s="223" t="inlineStr">
        <is>
          <t>010102040203  3F IW배관공사</t>
        </is>
      </c>
    </row>
    <row r="696" ht="13.5" customHeight="1" s="362">
      <c r="H696" s="223" t="inlineStr">
        <is>
          <t>설비</t>
        </is>
      </c>
      <c r="I696" s="223" t="inlineStr">
        <is>
          <t>010102040301  1F UPW배관공사</t>
        </is>
      </c>
    </row>
    <row r="697" ht="13.5" customHeight="1" s="362">
      <c r="H697" s="223" t="inlineStr">
        <is>
          <t>설비</t>
        </is>
      </c>
      <c r="I697" s="223" t="inlineStr">
        <is>
          <t>010102040302  2F UPW배관공사</t>
        </is>
      </c>
    </row>
    <row r="698" ht="13.5" customHeight="1" s="362">
      <c r="H698" s="223" t="inlineStr">
        <is>
          <t>설비</t>
        </is>
      </c>
      <c r="I698" s="223" t="inlineStr">
        <is>
          <t>010102040303  3F UPW배관공사</t>
        </is>
      </c>
    </row>
    <row r="699" ht="13.5" customHeight="1" s="362">
      <c r="H699" s="223" t="inlineStr">
        <is>
          <t>설비</t>
        </is>
      </c>
      <c r="I699" s="223" t="inlineStr">
        <is>
          <t>010102040401  1F NPW배관공사</t>
        </is>
      </c>
    </row>
    <row r="700" ht="13.5" customHeight="1" s="362">
      <c r="H700" s="223" t="inlineStr">
        <is>
          <t>설비</t>
        </is>
      </c>
      <c r="I700" s="223" t="inlineStr">
        <is>
          <t>010102040402  2F NPW배관공사</t>
        </is>
      </c>
    </row>
    <row r="701" ht="13.5" customHeight="1" s="362">
      <c r="H701" s="223" t="inlineStr">
        <is>
          <t>설비</t>
        </is>
      </c>
      <c r="I701" s="223" t="inlineStr">
        <is>
          <t>010102040403  3F NPW배관공사</t>
        </is>
      </c>
    </row>
    <row r="702" ht="13.5" customHeight="1" s="362">
      <c r="H702" s="223" t="inlineStr">
        <is>
          <t>설비</t>
        </is>
      </c>
      <c r="I702" s="223" t="inlineStr">
        <is>
          <t>010102040501  1F ROW배관공사</t>
        </is>
      </c>
    </row>
    <row r="703" ht="13.5" customHeight="1" s="362">
      <c r="H703" s="223" t="inlineStr">
        <is>
          <t>설비</t>
        </is>
      </c>
      <c r="I703" s="223" t="inlineStr">
        <is>
          <t>010102040601  1F 오배수배관공사</t>
        </is>
      </c>
    </row>
    <row r="704" ht="13.5" customHeight="1" s="362">
      <c r="H704" s="223" t="inlineStr">
        <is>
          <t>설비</t>
        </is>
      </c>
      <c r="I704" s="223" t="inlineStr">
        <is>
          <t>010102040602  2F 오배수배관공사</t>
        </is>
      </c>
    </row>
    <row r="705" ht="13.5" customHeight="1" s="362">
      <c r="H705" s="223" t="inlineStr">
        <is>
          <t>설비</t>
        </is>
      </c>
      <c r="I705" s="223" t="inlineStr">
        <is>
          <t>010102040603  3층 오배수배관공사</t>
        </is>
      </c>
    </row>
    <row r="706" ht="13.5" customHeight="1" s="362">
      <c r="H706" s="223" t="inlineStr">
        <is>
          <t>설비</t>
        </is>
      </c>
      <c r="I706" s="223" t="inlineStr">
        <is>
          <t>010102040701  1F WW배관공사</t>
        </is>
      </c>
    </row>
    <row r="707" ht="13.5" customHeight="1" s="362">
      <c r="H707" s="223" t="inlineStr">
        <is>
          <t>설비</t>
        </is>
      </c>
      <c r="I707" s="223" t="inlineStr">
        <is>
          <t>010102040702  2F WW배관공사</t>
        </is>
      </c>
    </row>
    <row r="708" ht="13.5" customHeight="1" s="362">
      <c r="H708" s="223" t="inlineStr">
        <is>
          <t>설비</t>
        </is>
      </c>
      <c r="I708" s="223" t="inlineStr">
        <is>
          <t>010102040703  3F WW배관공사</t>
        </is>
      </c>
    </row>
    <row r="709" ht="13.5" customHeight="1" s="362">
      <c r="H709" s="223" t="inlineStr">
        <is>
          <t>설비</t>
        </is>
      </c>
      <c r="I709" s="223" t="inlineStr">
        <is>
          <t>010102040801  1F REW배관공사</t>
        </is>
      </c>
    </row>
    <row r="710" ht="13.5" customHeight="1" s="362">
      <c r="H710" s="223" t="inlineStr">
        <is>
          <t>설비</t>
        </is>
      </c>
      <c r="I710" s="223" t="inlineStr">
        <is>
          <t>010102040802  2F REW배관공사</t>
        </is>
      </c>
    </row>
    <row r="711" ht="13.5" customHeight="1" s="362">
      <c r="H711" s="223" t="inlineStr">
        <is>
          <t>설비</t>
        </is>
      </c>
      <c r="I711" s="223" t="inlineStr">
        <is>
          <t>010102040803  3F REW배관공사</t>
        </is>
      </c>
    </row>
    <row r="712" ht="13.5" customHeight="1" s="362">
      <c r="H712" s="223" t="inlineStr">
        <is>
          <t>설비</t>
        </is>
      </c>
      <c r="I712" s="223" t="inlineStr">
        <is>
          <t>0101020501  1F WALK WAY 설치공사</t>
        </is>
      </c>
    </row>
    <row r="713" ht="13.5" customHeight="1" s="362">
      <c r="H713" s="223" t="inlineStr">
        <is>
          <t>설비</t>
        </is>
      </c>
      <c r="I713" s="223" t="inlineStr">
        <is>
          <t>0101020502  3F WALK WAY 설치공사</t>
        </is>
      </c>
    </row>
    <row r="714" ht="13.5" customHeight="1" s="362">
      <c r="H714" s="223" t="inlineStr">
        <is>
          <t>설비</t>
        </is>
      </c>
      <c r="I714" s="223" t="inlineStr">
        <is>
          <t>010103010101  4F 증기배관공사</t>
        </is>
      </c>
    </row>
    <row r="715" ht="13.5" customHeight="1" s="362">
      <c r="H715" s="223" t="inlineStr">
        <is>
          <t>설비</t>
        </is>
      </c>
      <c r="I715" s="223" t="inlineStr">
        <is>
          <t>010103010102  5F 증기배관공사</t>
        </is>
      </c>
    </row>
    <row r="716" ht="13.5" customHeight="1" s="362">
      <c r="H716" s="223" t="inlineStr">
        <is>
          <t>설비</t>
        </is>
      </c>
      <c r="I716" s="223" t="inlineStr">
        <is>
          <t>010103010103  7F 증기배관공사</t>
        </is>
      </c>
    </row>
    <row r="717" ht="13.5" customHeight="1" s="362">
      <c r="H717" s="223" t="inlineStr">
        <is>
          <t>설비</t>
        </is>
      </c>
      <c r="I717" s="223" t="inlineStr">
        <is>
          <t>010103010104  8F 증기배관공사</t>
        </is>
      </c>
    </row>
    <row r="718" ht="13.5" customHeight="1" s="362">
      <c r="H718" s="223" t="inlineStr">
        <is>
          <t>설비</t>
        </is>
      </c>
      <c r="I718" s="223" t="inlineStr">
        <is>
          <t>010103010105  9F 증기배관공사</t>
        </is>
      </c>
    </row>
    <row r="719" ht="13.5" customHeight="1" s="362">
      <c r="H719" s="223" t="inlineStr">
        <is>
          <t>설비</t>
        </is>
      </c>
      <c r="I719" s="223" t="inlineStr">
        <is>
          <t>010103010201  4F 냉각수배관공사</t>
        </is>
      </c>
    </row>
    <row r="720" ht="13.5" customHeight="1" s="362">
      <c r="H720" s="223" t="inlineStr">
        <is>
          <t>설비</t>
        </is>
      </c>
      <c r="I720" s="223" t="inlineStr">
        <is>
          <t>010103010202  5F 냉각수배관공사</t>
        </is>
      </c>
    </row>
    <row r="721" ht="13.5" customHeight="1" s="362">
      <c r="H721" s="223" t="inlineStr">
        <is>
          <t>설비</t>
        </is>
      </c>
      <c r="I721" s="223" t="inlineStr">
        <is>
          <t>010103010203  7F 냉각수배관공사</t>
        </is>
      </c>
    </row>
    <row r="722" ht="13.5" customHeight="1" s="362">
      <c r="H722" s="223" t="inlineStr">
        <is>
          <t>설비</t>
        </is>
      </c>
      <c r="I722" s="223" t="inlineStr">
        <is>
          <t>010103010204  8F 냉각수배관공사</t>
        </is>
      </c>
    </row>
    <row r="723" ht="13.5" customHeight="1" s="362">
      <c r="H723" s="223" t="inlineStr">
        <is>
          <t>설비</t>
        </is>
      </c>
      <c r="I723" s="223" t="inlineStr">
        <is>
          <t>010103010205  9F 냉각수배관공사</t>
        </is>
      </c>
    </row>
    <row r="724" ht="13.5" customHeight="1" s="362">
      <c r="H724" s="223" t="inlineStr">
        <is>
          <t>설비</t>
        </is>
      </c>
      <c r="I724" s="223" t="inlineStr">
        <is>
          <t>010103010301  4F 냉수배관공사</t>
        </is>
      </c>
    </row>
    <row r="725" ht="13.5" customHeight="1" s="362">
      <c r="H725" s="223" t="inlineStr">
        <is>
          <t>설비</t>
        </is>
      </c>
      <c r="I725" s="223" t="inlineStr">
        <is>
          <t>010103010302  5F 냉수배관공사</t>
        </is>
      </c>
    </row>
    <row r="726" ht="13.5" customHeight="1" s="362">
      <c r="H726" s="223" t="inlineStr">
        <is>
          <t>설비</t>
        </is>
      </c>
      <c r="I726" s="223" t="inlineStr">
        <is>
          <t>010103010303  7F 냉수배관공사</t>
        </is>
      </c>
    </row>
    <row r="727" ht="13.5" customHeight="1" s="362">
      <c r="H727" s="223" t="inlineStr">
        <is>
          <t>설비</t>
        </is>
      </c>
      <c r="I727" s="223" t="inlineStr">
        <is>
          <t>010103010304  8F 냉수배관공사</t>
        </is>
      </c>
    </row>
    <row r="728" ht="13.5" customHeight="1" s="362">
      <c r="H728" s="223" t="inlineStr">
        <is>
          <t>설비</t>
        </is>
      </c>
      <c r="I728" s="223" t="inlineStr">
        <is>
          <t>010103010305  9F 냉수배관공사</t>
        </is>
      </c>
    </row>
    <row r="729" ht="13.5" customHeight="1" s="362">
      <c r="H729" s="223" t="inlineStr">
        <is>
          <t>설비</t>
        </is>
      </c>
      <c r="I729" s="223" t="inlineStr">
        <is>
          <t>010103010401  4F 폐열회수배관공사</t>
        </is>
      </c>
    </row>
    <row r="730" ht="13.5" customHeight="1" s="362">
      <c r="H730" s="223" t="inlineStr">
        <is>
          <t>설비</t>
        </is>
      </c>
      <c r="I730" s="223" t="inlineStr">
        <is>
          <t>010103010402  5F 폐열회수배관공사</t>
        </is>
      </c>
    </row>
    <row r="731" ht="13.5" customHeight="1" s="362">
      <c r="H731" s="223" t="inlineStr">
        <is>
          <t>설비</t>
        </is>
      </c>
      <c r="I731" s="223" t="inlineStr">
        <is>
          <t>010103010501  4F 드레인배관공사</t>
        </is>
      </c>
    </row>
    <row r="732" ht="13.5" customHeight="1" s="362">
      <c r="H732" s="223" t="inlineStr">
        <is>
          <t>설비</t>
        </is>
      </c>
      <c r="I732" s="223" t="inlineStr">
        <is>
          <t>010103010502  5F 드레인배관공사</t>
        </is>
      </c>
    </row>
    <row r="733" ht="13.5" customHeight="1" s="362">
      <c r="H733" s="223" t="inlineStr">
        <is>
          <t>설비</t>
        </is>
      </c>
      <c r="I733" s="223" t="inlineStr">
        <is>
          <t>010103010503  7F 드레인배관공사</t>
        </is>
      </c>
    </row>
    <row r="734" ht="13.5" customHeight="1" s="362">
      <c r="H734" s="223" t="inlineStr">
        <is>
          <t>설비</t>
        </is>
      </c>
      <c r="I734" s="223" t="inlineStr">
        <is>
          <t>010103010504  8F 드레인배관공사</t>
        </is>
      </c>
    </row>
    <row r="735" ht="13.5" customHeight="1" s="362">
      <c r="H735" s="223" t="inlineStr">
        <is>
          <t>설비</t>
        </is>
      </c>
      <c r="I735" s="223" t="inlineStr">
        <is>
          <t>010103010505  9F 드레인배관공사</t>
        </is>
      </c>
    </row>
    <row r="736" ht="13.5" customHeight="1" s="362">
      <c r="H736" s="223" t="inlineStr">
        <is>
          <t>설비</t>
        </is>
      </c>
      <c r="I736" s="223" t="inlineStr">
        <is>
          <t>010103010601  4F WSS배관공사</t>
        </is>
      </c>
    </row>
    <row r="737" ht="13.5" customHeight="1" s="362">
      <c r="H737" s="223" t="inlineStr">
        <is>
          <t>설비</t>
        </is>
      </c>
      <c r="I737" s="223" t="inlineStr">
        <is>
          <t>010103010602  5F WSS배관공사</t>
        </is>
      </c>
    </row>
    <row r="738" ht="13.5" customHeight="1" s="362">
      <c r="H738" s="223" t="inlineStr">
        <is>
          <t>설비</t>
        </is>
      </c>
      <c r="I738" s="223" t="inlineStr">
        <is>
          <t>010103010701  4F EHP드레인배관공사</t>
        </is>
      </c>
    </row>
    <row r="739" ht="13.5" customHeight="1" s="362">
      <c r="H739" s="223" t="inlineStr">
        <is>
          <t>설비</t>
        </is>
      </c>
      <c r="I739" s="223" t="inlineStr">
        <is>
          <t>010103010702  5F EHP드레인배관공사</t>
        </is>
      </c>
    </row>
    <row r="740" ht="13.5" customHeight="1" s="362">
      <c r="H740" s="223" t="inlineStr">
        <is>
          <t>설비</t>
        </is>
      </c>
      <c r="I740" s="223" t="inlineStr">
        <is>
          <t>010103010703  7F EHP드레인배관공사</t>
        </is>
      </c>
    </row>
    <row r="741" ht="13.5" customHeight="1" s="362">
      <c r="H741" s="223" t="inlineStr">
        <is>
          <t>설비</t>
        </is>
      </c>
      <c r="I741" s="223" t="inlineStr">
        <is>
          <t>010103010704  8F EHP드레인배관공사</t>
        </is>
      </c>
    </row>
    <row r="742" ht="13.5" customHeight="1" s="362">
      <c r="H742" s="223" t="inlineStr">
        <is>
          <t>설비</t>
        </is>
      </c>
      <c r="I742" s="223" t="inlineStr">
        <is>
          <t>010103010705  9F EHP드레인배관공사</t>
        </is>
      </c>
    </row>
    <row r="743" ht="13.5" customHeight="1" s="362">
      <c r="H743" s="223" t="inlineStr">
        <is>
          <t>설비</t>
        </is>
      </c>
      <c r="I743" s="223" t="inlineStr">
        <is>
          <t>010103020101  4F 공조덕트설치공사</t>
        </is>
      </c>
    </row>
    <row r="744" ht="13.5" customHeight="1" s="362">
      <c r="H744" s="223" t="inlineStr">
        <is>
          <t>설비</t>
        </is>
      </c>
      <c r="I744" s="223" t="inlineStr">
        <is>
          <t>010103020102  5F 공조덕트설치공사</t>
        </is>
      </c>
    </row>
    <row r="745" ht="13.5" customHeight="1" s="362">
      <c r="H745" s="223" t="inlineStr">
        <is>
          <t>설비</t>
        </is>
      </c>
      <c r="I745" s="223" t="inlineStr">
        <is>
          <t>010103020201  4F 일반배기덕트설치공사</t>
        </is>
      </c>
    </row>
    <row r="746" ht="13.5" customHeight="1" s="362">
      <c r="H746" s="223" t="inlineStr">
        <is>
          <t>설비</t>
        </is>
      </c>
      <c r="I746" s="223" t="inlineStr">
        <is>
          <t>010103020202  5F 일반배기덕트설치공사</t>
        </is>
      </c>
    </row>
    <row r="747" ht="13.5" customHeight="1" s="362">
      <c r="H747" s="223" t="inlineStr">
        <is>
          <t>설비</t>
        </is>
      </c>
      <c r="I747" s="223" t="inlineStr">
        <is>
          <t>010103020203  6F 일반배기덕트설치공사</t>
        </is>
      </c>
    </row>
    <row r="748" ht="13.5" customHeight="1" s="362">
      <c r="H748" s="223" t="inlineStr">
        <is>
          <t>설비</t>
        </is>
      </c>
      <c r="I748" s="223" t="inlineStr">
        <is>
          <t>010103020204  7F 일반배기덕트설치공사</t>
        </is>
      </c>
    </row>
    <row r="749" ht="13.5" customHeight="1" s="362">
      <c r="H749" s="223" t="inlineStr">
        <is>
          <t>설비</t>
        </is>
      </c>
      <c r="I749" s="223" t="inlineStr">
        <is>
          <t>010103020205  8F 일반배기덕트설치공사</t>
        </is>
      </c>
    </row>
    <row r="750" ht="13.5" customHeight="1" s="362">
      <c r="H750" s="223" t="inlineStr">
        <is>
          <t>설비</t>
        </is>
      </c>
      <c r="I750" s="223" t="inlineStr">
        <is>
          <t>010103020206  9F 일반배기덕트설치공사</t>
        </is>
      </c>
    </row>
    <row r="751" ht="13.5" customHeight="1" s="362">
      <c r="H751" s="223" t="inlineStr">
        <is>
          <t>설비</t>
        </is>
      </c>
      <c r="I751" s="223" t="inlineStr">
        <is>
          <t>010103020301  4F CABINET덕트설치공사</t>
        </is>
      </c>
    </row>
    <row r="752" ht="13.5" customHeight="1" s="362">
      <c r="H752" s="223" t="inlineStr">
        <is>
          <t>설비</t>
        </is>
      </c>
      <c r="I752" s="223" t="inlineStr">
        <is>
          <t>010103020302  5F CABINET덕트설치공사</t>
        </is>
      </c>
    </row>
    <row r="753" ht="13.5" customHeight="1" s="362">
      <c r="H753" s="223" t="inlineStr">
        <is>
          <t>설비</t>
        </is>
      </c>
      <c r="I753" s="223" t="inlineStr">
        <is>
          <t>010103020303  7F CABINET덕트설치공사</t>
        </is>
      </c>
    </row>
    <row r="754" ht="13.5" customHeight="1" s="362">
      <c r="H754" s="223" t="inlineStr">
        <is>
          <t>설비</t>
        </is>
      </c>
      <c r="I754" s="223" t="inlineStr">
        <is>
          <t>010103020304  8F CABINET덕트설치공사</t>
        </is>
      </c>
    </row>
    <row r="755" ht="13.5" customHeight="1" s="362">
      <c r="H755" s="223" t="inlineStr">
        <is>
          <t>설비</t>
        </is>
      </c>
      <c r="I755" s="223" t="inlineStr">
        <is>
          <t>010103020401  4F EMERGENCY덕트설치공사</t>
        </is>
      </c>
    </row>
    <row r="756" ht="13.5" customHeight="1" s="362">
      <c r="H756" s="223" t="inlineStr">
        <is>
          <t>설비</t>
        </is>
      </c>
      <c r="I756" s="223" t="inlineStr">
        <is>
          <t>010103020402  5F EMERGENCY덕트설치공사</t>
        </is>
      </c>
    </row>
    <row r="757" ht="13.5" customHeight="1" s="362">
      <c r="H757" s="223" t="inlineStr">
        <is>
          <t>설비</t>
        </is>
      </c>
      <c r="I757" s="223" t="inlineStr">
        <is>
          <t>010103020403  7F EMERGENCY덕트설치공사</t>
        </is>
      </c>
    </row>
    <row r="758" ht="13.5" customHeight="1" s="362">
      <c r="H758" s="223" t="inlineStr">
        <is>
          <t>설비</t>
        </is>
      </c>
      <c r="I758" s="223" t="inlineStr">
        <is>
          <t>010103020404  8F EMERGENCY덕트설치공사</t>
        </is>
      </c>
    </row>
    <row r="759" ht="13.5" customHeight="1" s="362">
      <c r="H759" s="223" t="inlineStr">
        <is>
          <t>설비</t>
        </is>
      </c>
      <c r="I759" s="223" t="inlineStr">
        <is>
          <t>010103030101  4F DUCT DRAIN HF배관공사</t>
        </is>
      </c>
    </row>
    <row r="760" ht="13.5" customHeight="1" s="362">
      <c r="H760" s="223" t="inlineStr">
        <is>
          <t>설비</t>
        </is>
      </c>
      <c r="I760" s="223" t="inlineStr">
        <is>
          <t>010103030102  5F DUCT DRAIN HF배관공사</t>
        </is>
      </c>
    </row>
    <row r="761" ht="13.5" customHeight="1" s="362">
      <c r="H761" s="223" t="inlineStr">
        <is>
          <t>설비</t>
        </is>
      </c>
      <c r="I761" s="223" t="inlineStr">
        <is>
          <t>010103030103  7F DUCT DRAIN HF배관공사</t>
        </is>
      </c>
    </row>
    <row r="762" ht="13.5" customHeight="1" s="362">
      <c r="H762" s="223" t="inlineStr">
        <is>
          <t>설비</t>
        </is>
      </c>
      <c r="I762" s="223" t="inlineStr">
        <is>
          <t>010103030104  8F DUCT DRAIN HF배관공사</t>
        </is>
      </c>
    </row>
    <row r="763" ht="13.5" customHeight="1" s="362">
      <c r="H763" s="223" t="inlineStr">
        <is>
          <t>설비</t>
        </is>
      </c>
      <c r="I763" s="223" t="inlineStr">
        <is>
          <t>010103040101  4F 급수급탕배관공사</t>
        </is>
      </c>
    </row>
    <row r="764" ht="13.5" customHeight="1" s="362">
      <c r="H764" s="223" t="inlineStr">
        <is>
          <t>설비</t>
        </is>
      </c>
      <c r="I764" s="223" t="inlineStr">
        <is>
          <t>010103040102  5F 급수급탕배관공사</t>
        </is>
      </c>
    </row>
    <row r="765" ht="13.5" customHeight="1" s="362">
      <c r="H765" s="223" t="inlineStr">
        <is>
          <t>설비</t>
        </is>
      </c>
      <c r="I765" s="223" t="inlineStr">
        <is>
          <t>010103040103  7F 급수급탕배관공사</t>
        </is>
      </c>
    </row>
    <row r="766" ht="13.5" customHeight="1" s="362">
      <c r="H766" s="223" t="inlineStr">
        <is>
          <t>설비</t>
        </is>
      </c>
      <c r="I766" s="223" t="inlineStr">
        <is>
          <t>010103040104  8F 급수급탕배관공사</t>
        </is>
      </c>
    </row>
    <row r="767" ht="13.5" customHeight="1" s="362">
      <c r="H767" s="223" t="inlineStr">
        <is>
          <t>설비</t>
        </is>
      </c>
      <c r="I767" s="223" t="inlineStr">
        <is>
          <t>010103040105  9F 급수급탕배관공사</t>
        </is>
      </c>
    </row>
    <row r="768" ht="13.5" customHeight="1" s="362">
      <c r="H768" s="223" t="inlineStr">
        <is>
          <t>설비</t>
        </is>
      </c>
      <c r="I768" s="223" t="inlineStr">
        <is>
          <t>010103040201  4F IW배관공사</t>
        </is>
      </c>
    </row>
    <row r="769" ht="13.5" customHeight="1" s="362">
      <c r="H769" s="223" t="inlineStr">
        <is>
          <t>설비</t>
        </is>
      </c>
      <c r="I769" s="223" t="inlineStr">
        <is>
          <t>010103040202  5F IW배관공사</t>
        </is>
      </c>
    </row>
    <row r="770" ht="13.5" customHeight="1" s="362">
      <c r="H770" s="223" t="inlineStr">
        <is>
          <t>설비</t>
        </is>
      </c>
      <c r="I770" s="223" t="inlineStr">
        <is>
          <t>010103040203  7F IW배관공사</t>
        </is>
      </c>
    </row>
    <row r="771" ht="13.5" customHeight="1" s="362">
      <c r="H771" s="223" t="inlineStr">
        <is>
          <t>설비</t>
        </is>
      </c>
      <c r="I771" s="223" t="inlineStr">
        <is>
          <t>010103040204  8F IW배관공사</t>
        </is>
      </c>
    </row>
    <row r="772" ht="13.5" customHeight="1" s="362">
      <c r="H772" s="223" t="inlineStr">
        <is>
          <t>설비</t>
        </is>
      </c>
      <c r="I772" s="223" t="inlineStr">
        <is>
          <t>010103040205  9F IW배관공사</t>
        </is>
      </c>
    </row>
    <row r="773" ht="13.5" customHeight="1" s="362">
      <c r="H773" s="223" t="inlineStr">
        <is>
          <t>설비</t>
        </is>
      </c>
      <c r="I773" s="223" t="inlineStr">
        <is>
          <t>010103040301  4F NPW배관공사</t>
        </is>
      </c>
    </row>
    <row r="774" ht="13.5" customHeight="1" s="362">
      <c r="H774" s="223" t="inlineStr">
        <is>
          <t>설비</t>
        </is>
      </c>
      <c r="I774" s="223" t="inlineStr">
        <is>
          <t>010103040302  5F NPW배관공사</t>
        </is>
      </c>
    </row>
    <row r="775" ht="13.5" customHeight="1" s="362">
      <c r="H775" s="223" t="inlineStr">
        <is>
          <t>설비</t>
        </is>
      </c>
      <c r="I775" s="223" t="inlineStr">
        <is>
          <t>010103040401  4층 오배수배관공사</t>
        </is>
      </c>
    </row>
    <row r="776" ht="13.5" customHeight="1" s="362">
      <c r="H776" s="223" t="inlineStr">
        <is>
          <t>설비</t>
        </is>
      </c>
      <c r="I776" s="223" t="inlineStr">
        <is>
          <t>010103040402  5층 오배수배관공사</t>
        </is>
      </c>
    </row>
    <row r="777" ht="13.5" customHeight="1" s="362">
      <c r="H777" s="223" t="inlineStr">
        <is>
          <t>설비</t>
        </is>
      </c>
      <c r="I777" s="223" t="inlineStr">
        <is>
          <t>010103040403  7층 오배수배관공사</t>
        </is>
      </c>
    </row>
    <row r="778" ht="13.5" customHeight="1" s="362">
      <c r="H778" s="223" t="inlineStr">
        <is>
          <t>설비</t>
        </is>
      </c>
      <c r="I778" s="223" t="inlineStr">
        <is>
          <t>010103040404  8층 오배수배관공사</t>
        </is>
      </c>
    </row>
    <row r="779" ht="13.5" customHeight="1" s="362">
      <c r="H779" s="223" t="inlineStr">
        <is>
          <t>설비</t>
        </is>
      </c>
      <c r="I779" s="223" t="inlineStr">
        <is>
          <t>010103040405  9층 오배수배관공사</t>
        </is>
      </c>
    </row>
    <row r="780" ht="13.5" customHeight="1" s="362">
      <c r="H780" s="223" t="inlineStr">
        <is>
          <t>설비</t>
        </is>
      </c>
      <c r="I780" s="223" t="inlineStr">
        <is>
          <t>010103040501  4F REW배관공사</t>
        </is>
      </c>
    </row>
    <row r="781" ht="13.5" customHeight="1" s="362">
      <c r="H781" s="223" t="inlineStr">
        <is>
          <t>설비</t>
        </is>
      </c>
      <c r="I781" s="223" t="inlineStr">
        <is>
          <t>010103040502  5F REW배관공사</t>
        </is>
      </c>
    </row>
    <row r="782" ht="13.5" customHeight="1" s="362">
      <c r="H782" s="223" t="inlineStr">
        <is>
          <t>설비</t>
        </is>
      </c>
      <c r="I782" s="223" t="inlineStr">
        <is>
          <t>0101030501  4F WALK WAY 설치공사</t>
        </is>
      </c>
    </row>
    <row r="783" ht="13.5" customHeight="1" s="362">
      <c r="H783" s="223" t="inlineStr">
        <is>
          <t>설비</t>
        </is>
      </c>
      <c r="I783" s="223" t="inlineStr">
        <is>
          <t>0101030502  5F WALK WAY 설치공사</t>
        </is>
      </c>
    </row>
    <row r="784" ht="13.5" customHeight="1" s="362">
      <c r="H784" s="223" t="inlineStr">
        <is>
          <t>설비</t>
        </is>
      </c>
      <c r="I784" s="223" t="inlineStr">
        <is>
          <t>0101030503  8F WALK WAY 설치공사</t>
        </is>
      </c>
    </row>
    <row r="785" ht="13.5" customHeight="1" s="362">
      <c r="H785" s="223" t="inlineStr">
        <is>
          <t>설비</t>
        </is>
      </c>
      <c r="I785" s="223" t="inlineStr">
        <is>
          <t>010104010101  4층 SS/R배관공사</t>
        </is>
      </c>
    </row>
    <row r="786" ht="13.5" customHeight="1" s="362">
      <c r="H786" s="223" t="inlineStr">
        <is>
          <t>설비</t>
        </is>
      </c>
      <c r="I786" s="223" t="inlineStr">
        <is>
          <t>010104020101  1층 CW배관공사</t>
        </is>
      </c>
    </row>
    <row r="787" ht="13.5" customHeight="1" s="362">
      <c r="H787" s="223" t="inlineStr">
        <is>
          <t>설비</t>
        </is>
      </c>
      <c r="I787" s="223" t="inlineStr">
        <is>
          <t>010104020102  2층 CW배관공사</t>
        </is>
      </c>
    </row>
    <row r="788" ht="13.5" customHeight="1" s="362">
      <c r="H788" s="223" t="inlineStr">
        <is>
          <t>설비</t>
        </is>
      </c>
      <c r="I788" s="223" t="inlineStr">
        <is>
          <t>010104020103  3층 CW배관공사</t>
        </is>
      </c>
    </row>
    <row r="789" ht="13.5" customHeight="1" s="362">
      <c r="H789" s="223" t="inlineStr">
        <is>
          <t>설비</t>
        </is>
      </c>
      <c r="I789" s="223" t="inlineStr">
        <is>
          <t>010104020104  4층 CW배관공사</t>
        </is>
      </c>
    </row>
    <row r="790" ht="13.5" customHeight="1" s="362">
      <c r="H790" s="223" t="inlineStr">
        <is>
          <t>설비</t>
        </is>
      </c>
      <c r="I790" s="223" t="inlineStr">
        <is>
          <t>010104020201  1층 NPW배관공사</t>
        </is>
      </c>
    </row>
    <row r="791" ht="13.5" customHeight="1" s="362">
      <c r="H791" s="223" t="inlineStr">
        <is>
          <t>설비</t>
        </is>
      </c>
      <c r="I791" s="223" t="inlineStr">
        <is>
          <t>010104020202  2층 NPW배관공사</t>
        </is>
      </c>
    </row>
    <row r="792" ht="13.5" customHeight="1" s="362">
      <c r="H792" s="223" t="inlineStr">
        <is>
          <t>설비</t>
        </is>
      </c>
      <c r="I792" s="223" t="inlineStr">
        <is>
          <t>010104020203  3층 NPW배관공사</t>
        </is>
      </c>
    </row>
    <row r="793" ht="13.5" customHeight="1" s="362">
      <c r="H793" s="223" t="inlineStr">
        <is>
          <t>설비</t>
        </is>
      </c>
      <c r="I793" s="223" t="inlineStr">
        <is>
          <t>010104020204  4층 NPW배관공사</t>
        </is>
      </c>
    </row>
    <row r="794" ht="13.5" customHeight="1" s="362">
      <c r="H794" s="223" t="inlineStr">
        <is>
          <t>설비</t>
        </is>
      </c>
      <c r="I794" s="223" t="inlineStr">
        <is>
          <t>010104020301  1층 REW배관공사</t>
        </is>
      </c>
    </row>
    <row r="795" ht="13.5" customHeight="1" s="362">
      <c r="H795" s="223" t="inlineStr">
        <is>
          <t>설비</t>
        </is>
      </c>
      <c r="I795" s="223" t="inlineStr">
        <is>
          <t>010104020302  2층 REW배관공사</t>
        </is>
      </c>
    </row>
    <row r="796" ht="13.5" customHeight="1" s="362">
      <c r="H796" s="223" t="inlineStr">
        <is>
          <t>설비</t>
        </is>
      </c>
      <c r="I796" s="223" t="inlineStr">
        <is>
          <t>010104020303  3층 REW배관공사</t>
        </is>
      </c>
    </row>
    <row r="797" ht="13.5" customHeight="1" s="362">
      <c r="H797" s="223" t="inlineStr">
        <is>
          <t>설비</t>
        </is>
      </c>
      <c r="I797" s="223" t="inlineStr">
        <is>
          <t>010104020304  4층 REW배관공사</t>
        </is>
      </c>
    </row>
    <row r="798" ht="13.5" customHeight="1" s="362">
      <c r="H798" s="223" t="inlineStr">
        <is>
          <t>설비</t>
        </is>
      </c>
      <c r="I798" s="223" t="inlineStr">
        <is>
          <t>010104020401  1층 IW배관공사</t>
        </is>
      </c>
    </row>
    <row r="799" ht="13.5" customHeight="1" s="362">
      <c r="H799" s="223" t="inlineStr">
        <is>
          <t>설비</t>
        </is>
      </c>
      <c r="I799" s="223" t="inlineStr">
        <is>
          <t>010104020402  2층 IW배관공사</t>
        </is>
      </c>
    </row>
    <row r="800" ht="13.5" customHeight="1" s="362">
      <c r="H800" s="223" t="inlineStr">
        <is>
          <t>설비</t>
        </is>
      </c>
      <c r="I800" s="223" t="inlineStr">
        <is>
          <t>010104020403  3층 IW배관공사</t>
        </is>
      </c>
    </row>
    <row r="801" ht="13.5" customHeight="1" s="362">
      <c r="H801" s="223" t="inlineStr">
        <is>
          <t>설비</t>
        </is>
      </c>
      <c r="I801" s="223" t="inlineStr">
        <is>
          <t>010104020404  4층 IW배관공사</t>
        </is>
      </c>
    </row>
    <row r="802" ht="13.5" customHeight="1" s="362">
      <c r="H802" s="223" t="inlineStr">
        <is>
          <t>설비</t>
        </is>
      </c>
      <c r="I802" s="223" t="inlineStr">
        <is>
          <t>010104020501  1층 UPW배관공사</t>
        </is>
      </c>
    </row>
    <row r="803" ht="13.5" customHeight="1" s="362">
      <c r="H803" s="223" t="inlineStr">
        <is>
          <t>설비</t>
        </is>
      </c>
      <c r="I803" s="223" t="inlineStr">
        <is>
          <t>010104020502  2층 UPW배관공사</t>
        </is>
      </c>
    </row>
    <row r="804" ht="13.5" customHeight="1" s="362">
      <c r="H804" s="223" t="inlineStr">
        <is>
          <t>설비</t>
        </is>
      </c>
      <c r="I804" s="223" t="inlineStr">
        <is>
          <t>010105010101  B1F PD배관공사</t>
        </is>
      </c>
    </row>
    <row r="805" ht="13.5" customHeight="1" s="362">
      <c r="H805" s="223" t="inlineStr">
        <is>
          <t>설비</t>
        </is>
      </c>
      <c r="I805" s="223" t="inlineStr">
        <is>
          <t>010105020101  B1F 일반배기덕트철거공사</t>
        </is>
      </c>
    </row>
    <row r="806" ht="13.5" customHeight="1" s="362">
      <c r="H806" s="223" t="inlineStr">
        <is>
          <t>설비</t>
        </is>
      </c>
      <c r="I806" s="223" t="inlineStr">
        <is>
          <t>010105020201  B1F PD배관철거공사</t>
        </is>
      </c>
    </row>
    <row r="807" ht="13.5" customHeight="1" s="362">
      <c r="H807" s="223" t="inlineStr">
        <is>
          <t>설비</t>
        </is>
      </c>
      <c r="I807" s="223" t="inlineStr">
        <is>
          <t>0102020101  3F 냉수배관공사</t>
        </is>
      </c>
    </row>
    <row r="808" ht="13.5" customHeight="1" s="362">
      <c r="H808" s="223" t="inlineStr">
        <is>
          <t>설비</t>
        </is>
      </c>
      <c r="I808" s="223" t="inlineStr">
        <is>
          <t>0102020201  3F PCW배관공사</t>
        </is>
      </c>
    </row>
    <row r="809" ht="13.5" customHeight="1" s="362">
      <c r="H809" s="223" t="inlineStr">
        <is>
          <t>설비</t>
        </is>
      </c>
      <c r="I809" s="223" t="inlineStr">
        <is>
          <t>0102020301  3F 드레인배관공사</t>
        </is>
      </c>
    </row>
    <row r="810" ht="13.5" customHeight="1" s="362">
      <c r="H810" s="223" t="inlineStr">
        <is>
          <t>설비</t>
        </is>
      </c>
      <c r="I810" s="223" t="inlineStr">
        <is>
          <t>0102020401  3F CTW배관공사</t>
        </is>
      </c>
    </row>
    <row r="811" ht="13.5" customHeight="1" s="362">
      <c r="H811" s="223" t="inlineStr">
        <is>
          <t>설비</t>
        </is>
      </c>
      <c r="I811" s="223" t="inlineStr">
        <is>
          <t>0102020501  3F ROW배관공사</t>
        </is>
      </c>
    </row>
    <row r="812" ht="13.5" customHeight="1" s="362">
      <c r="H812" s="223" t="inlineStr">
        <is>
          <t>설비</t>
        </is>
      </c>
      <c r="I812" s="223" t="inlineStr">
        <is>
          <t>0102020601  3F WALK WAY 설치공사</t>
        </is>
      </c>
    </row>
    <row r="813" ht="13.5" customHeight="1" s="362">
      <c r="H813" s="223" t="inlineStr">
        <is>
          <t>설비</t>
        </is>
      </c>
      <c r="I813" s="223" t="inlineStr">
        <is>
          <t>0102030101  5F 냉수배관공사</t>
        </is>
      </c>
    </row>
    <row r="814" ht="13.5" customHeight="1" s="362">
      <c r="H814" s="223" t="inlineStr">
        <is>
          <t>설비</t>
        </is>
      </c>
      <c r="I814" s="223" t="inlineStr">
        <is>
          <t>0102030201  5F PCW배관공사</t>
        </is>
      </c>
    </row>
    <row r="815" ht="13.5" customHeight="1" s="362">
      <c r="H815" s="223" t="inlineStr">
        <is>
          <t>설비</t>
        </is>
      </c>
      <c r="I815" s="223" t="inlineStr">
        <is>
          <t>0102030301  5F 드레인배관공사</t>
        </is>
      </c>
    </row>
    <row r="816" ht="13.5" customHeight="1" s="362">
      <c r="H816" s="223" t="inlineStr">
        <is>
          <t>설비</t>
        </is>
      </c>
      <c r="I816" s="223" t="inlineStr">
        <is>
          <t>0102030401  5F CTW배관공사</t>
        </is>
      </c>
    </row>
    <row r="817" ht="13.5" customHeight="1" s="362">
      <c r="H817" s="223" t="inlineStr">
        <is>
          <t>설비</t>
        </is>
      </c>
      <c r="I817" s="223" t="inlineStr">
        <is>
          <t>0102030501  5F ROW배관공사</t>
        </is>
      </c>
    </row>
    <row r="818" ht="13.5" customHeight="1" s="362">
      <c r="H818" s="223" t="inlineStr">
        <is>
          <t>설비</t>
        </is>
      </c>
      <c r="I818" s="223" t="inlineStr">
        <is>
          <t>0102030601  5F WALK WAY 설치공사</t>
        </is>
      </c>
    </row>
    <row r="819" ht="13.5" customHeight="1" s="362">
      <c r="H819" s="223" t="inlineStr">
        <is>
          <t>설비</t>
        </is>
      </c>
      <c r="I819" s="223" t="inlineStr">
        <is>
          <t>010301  HVAC PIPING VIBRATION</t>
        </is>
      </c>
    </row>
    <row r="820" ht="13.5" customHeight="1" s="362">
      <c r="H820" s="223" t="inlineStr">
        <is>
          <t>설비</t>
        </is>
      </c>
      <c r="I820" s="223" t="inlineStr">
        <is>
          <t>010302  HVAC DUCT VIBRATION</t>
        </is>
      </c>
    </row>
    <row r="821" ht="13.5" customHeight="1" s="362">
      <c r="H821" s="223" t="inlineStr">
        <is>
          <t>설비</t>
        </is>
      </c>
      <c r="I821" s="223" t="inlineStr">
        <is>
          <t>010501  ROOF 동파방지열선</t>
        </is>
      </c>
    </row>
    <row r="822" ht="13.5" customHeight="1" s="362">
      <c r="H822" s="223" t="inlineStr">
        <is>
          <t>설비</t>
        </is>
      </c>
      <c r="I822" s="223" t="inlineStr">
        <is>
          <t>010601  HVAC-3 EHP 설치 공사</t>
        </is>
      </c>
    </row>
    <row r="823" ht="13.5" customHeight="1" s="362">
      <c r="H823" s="223" t="inlineStr">
        <is>
          <t>설비</t>
        </is>
      </c>
      <c r="I823" s="223" t="inlineStr">
        <is>
          <t>010602  HVAC-4 EHP 설치 공사</t>
        </is>
      </c>
    </row>
    <row r="824" ht="13.5" customHeight="1" s="362">
      <c r="H824" s="223" t="inlineStr">
        <is>
          <t>설비</t>
        </is>
      </c>
      <c r="I824" s="223" t="inlineStr">
        <is>
          <t>010701  2F ACID+ALKALI</t>
        </is>
      </c>
    </row>
    <row r="825" ht="13.5" customHeight="1" s="362">
      <c r="H825" s="223" t="inlineStr">
        <is>
          <t>설비</t>
        </is>
      </c>
      <c r="I825" s="223" t="inlineStr">
        <is>
          <t>010702  3F ACID+ALKALI</t>
        </is>
      </c>
    </row>
    <row r="826" ht="13.5" customHeight="1" s="362">
      <c r="H826" s="223" t="inlineStr">
        <is>
          <t>설비</t>
        </is>
      </c>
      <c r="I826" s="223" t="inlineStr">
        <is>
          <t>010703  4F ACID+ALKALI</t>
        </is>
      </c>
    </row>
    <row r="827" ht="13.5" customHeight="1" s="362">
      <c r="H827" s="223" t="inlineStr">
        <is>
          <t>설비</t>
        </is>
      </c>
      <c r="I827" s="223" t="inlineStr">
        <is>
          <t>0108  사이포닉 우배수 배관공사</t>
        </is>
      </c>
    </row>
    <row r="828" ht="13.5" customHeight="1" s="362">
      <c r="H828" s="223" t="inlineStr">
        <is>
          <t>설비</t>
        </is>
      </c>
      <c r="I828" s="223" t="inlineStr">
        <is>
          <t>0109  PIPE EXPANSION JOINT 공사</t>
        </is>
      </c>
    </row>
    <row r="829" ht="13.5" customHeight="1" s="362">
      <c r="H829" s="223" t="inlineStr">
        <is>
          <t>설비</t>
        </is>
      </c>
      <c r="I829" s="223" t="inlineStr">
        <is>
          <t>0107020101  B2F CW배관공사</t>
        </is>
      </c>
    </row>
    <row r="830" ht="13.5" customHeight="1" s="362">
      <c r="H830" s="223" t="inlineStr">
        <is>
          <t>설비</t>
        </is>
      </c>
      <c r="I830" s="223" t="inlineStr">
        <is>
          <t>0107020102  B1F CW배관공사</t>
        </is>
      </c>
    </row>
    <row r="831" ht="13.5" customHeight="1" s="362">
      <c r="H831" s="223" t="inlineStr">
        <is>
          <t>설비</t>
        </is>
      </c>
      <c r="I831" s="223" t="inlineStr">
        <is>
          <t>0107020201  B2F NPW배관공사</t>
        </is>
      </c>
    </row>
    <row r="832" ht="13.5" customHeight="1" s="362">
      <c r="H832" s="223" t="inlineStr">
        <is>
          <t>설비</t>
        </is>
      </c>
      <c r="I832" s="223" t="inlineStr">
        <is>
          <t>0107020202  B1F NPW배관공사</t>
        </is>
      </c>
    </row>
    <row r="833" ht="13.5" customHeight="1" s="362">
      <c r="H833" s="223" t="inlineStr">
        <is>
          <t>설비</t>
        </is>
      </c>
      <c r="I833" s="223" t="inlineStr">
        <is>
          <t>0107020301  B2F REW배관공사</t>
        </is>
      </c>
    </row>
    <row r="834" ht="13.5" customHeight="1" s="362">
      <c r="H834" s="223" t="inlineStr">
        <is>
          <t>설비</t>
        </is>
      </c>
      <c r="I834" s="223" t="inlineStr">
        <is>
          <t>0107020302  B1F REW배관공사</t>
        </is>
      </c>
    </row>
    <row r="835" ht="13.5" customHeight="1" s="362">
      <c r="H835" s="223" t="inlineStr">
        <is>
          <t>설비</t>
        </is>
      </c>
      <c r="I835" s="223" t="inlineStr">
        <is>
          <t>0107020303  1F REW배관공사</t>
        </is>
      </c>
    </row>
    <row r="836" ht="13.5" customHeight="1" s="362">
      <c r="H836" s="223" t="inlineStr">
        <is>
          <t>설비</t>
        </is>
      </c>
      <c r="I836" s="223" t="inlineStr">
        <is>
          <t>0107020401  B2F IW배관공사</t>
        </is>
      </c>
    </row>
    <row r="837" ht="13.5" customHeight="1" s="362">
      <c r="H837" s="223" t="inlineStr">
        <is>
          <t>설비</t>
        </is>
      </c>
      <c r="I837" s="223" t="inlineStr">
        <is>
          <t>0107020402  B1F IW배관공사</t>
        </is>
      </c>
    </row>
    <row r="838" ht="13.5" customHeight="1" s="362">
      <c r="H838" s="223" t="inlineStr">
        <is>
          <t>설비</t>
        </is>
      </c>
      <c r="I838" s="223" t="inlineStr">
        <is>
          <t>0107020501  B2F UPW배관공사</t>
        </is>
      </c>
    </row>
    <row r="839" ht="13.5" customHeight="1" s="362">
      <c r="H839" s="223" t="inlineStr">
        <is>
          <t>설비</t>
        </is>
      </c>
      <c r="I839" s="223" t="inlineStr">
        <is>
          <t>0107020502  B1F UPW배관공사</t>
        </is>
      </c>
    </row>
    <row r="840" ht="13.5" customHeight="1" s="362">
      <c r="H840" s="223" t="inlineStr">
        <is>
          <t>설비</t>
        </is>
      </c>
      <c r="I840" s="223" t="inlineStr">
        <is>
          <t>0107020601  B2F 드레인배관공사</t>
        </is>
      </c>
    </row>
    <row r="841" ht="13.5" customHeight="1" s="362">
      <c r="H841" s="223" t="inlineStr">
        <is>
          <t>설비</t>
        </is>
      </c>
      <c r="I841" s="223" t="inlineStr">
        <is>
          <t>0108010101  PIT층 CW배관공사</t>
        </is>
      </c>
    </row>
    <row r="842" ht="13.5" customHeight="1" s="362">
      <c r="H842" s="223" t="inlineStr">
        <is>
          <t>설비</t>
        </is>
      </c>
      <c r="I842" s="223" t="inlineStr">
        <is>
          <t>0108010201  PIT층 NPW배관공사</t>
        </is>
      </c>
    </row>
    <row r="843" ht="13.5" customHeight="1" s="362">
      <c r="H843" s="223" t="inlineStr">
        <is>
          <t>설비</t>
        </is>
      </c>
      <c r="I843" s="223" t="inlineStr">
        <is>
          <t>0108010301  PIT층 REW배관공사</t>
        </is>
      </c>
    </row>
    <row r="844" ht="13.5" customHeight="1" s="362">
      <c r="H844" s="223" t="inlineStr">
        <is>
          <t>설비</t>
        </is>
      </c>
      <c r="I844" s="223" t="inlineStr">
        <is>
          <t>0108010401  PIT층 IW배관공사</t>
        </is>
      </c>
    </row>
    <row r="845" ht="13.5" customHeight="1" s="362">
      <c r="H845" s="223" t="inlineStr">
        <is>
          <t>설비</t>
        </is>
      </c>
      <c r="I845" s="223" t="inlineStr">
        <is>
          <t>0108010501  PIT층 UPW배관공사</t>
        </is>
      </c>
    </row>
    <row r="846" ht="13.5" customHeight="1" s="362">
      <c r="H846" s="223" t="inlineStr">
        <is>
          <t>소방</t>
        </is>
      </c>
      <c r="I846" s="223" t="inlineStr">
        <is>
          <t>공통업무</t>
        </is>
      </c>
    </row>
    <row r="847" ht="13.5" customHeight="1" s="362">
      <c r="H847" s="223" t="inlineStr">
        <is>
          <t>소방</t>
        </is>
      </c>
      <c r="I847" s="223" t="inlineStr">
        <is>
          <t>010101  소화장비설치공사</t>
        </is>
      </c>
    </row>
    <row r="848" ht="13.5" customHeight="1" s="362">
      <c r="H848" s="223" t="inlineStr">
        <is>
          <t>소방</t>
        </is>
      </c>
      <c r="I848" s="223" t="inlineStr">
        <is>
          <t>01010201  옥외소화배관공사</t>
        </is>
      </c>
    </row>
    <row r="849" ht="13.5" customHeight="1" s="362">
      <c r="H849" s="223" t="inlineStr">
        <is>
          <t>소방</t>
        </is>
      </c>
      <c r="I849" s="223" t="inlineStr">
        <is>
          <t>01010202 상수도소화배관공사</t>
        </is>
      </c>
    </row>
    <row r="850" ht="13.5" customHeight="1" s="362">
      <c r="H850" s="223" t="inlineStr">
        <is>
          <t>소방</t>
        </is>
      </c>
      <c r="I850" s="223" t="inlineStr">
        <is>
          <t>01010203 FW 배관공사</t>
        </is>
      </c>
    </row>
    <row r="851" ht="13.5" customHeight="1" s="362">
      <c r="H851" s="223" t="inlineStr">
        <is>
          <t>소방</t>
        </is>
      </c>
      <c r="I851" s="223" t="inlineStr">
        <is>
          <t>01010301  소화기구설치공사</t>
        </is>
      </c>
    </row>
    <row r="852" ht="13.5" customHeight="1" s="362">
      <c r="H852" s="223" t="inlineStr">
        <is>
          <t>소방</t>
        </is>
      </c>
      <c r="I852" s="223" t="inlineStr">
        <is>
          <t>01010302  옥내소화배관공사</t>
        </is>
      </c>
    </row>
    <row r="853" ht="13.5" customHeight="1" s="362">
      <c r="H853" s="223" t="inlineStr">
        <is>
          <t>소방</t>
        </is>
      </c>
      <c r="I853" s="223" t="inlineStr">
        <is>
          <t>01010303  스프링클러배관공사</t>
        </is>
      </c>
    </row>
    <row r="854" ht="13.5" customHeight="1" s="362">
      <c r="H854" s="223" t="inlineStr">
        <is>
          <t>소방</t>
        </is>
      </c>
      <c r="I854" s="223" t="inlineStr">
        <is>
          <t>01010304  살수장애스프링클러배관공사</t>
        </is>
      </c>
    </row>
    <row r="855" ht="13.5" customHeight="1" s="362">
      <c r="H855" s="223" t="inlineStr">
        <is>
          <t>소방</t>
        </is>
      </c>
      <c r="I855" s="223" t="inlineStr">
        <is>
          <t>01010305  드레인배관설치공사</t>
        </is>
      </c>
    </row>
    <row r="856" ht="13.5" customHeight="1" s="362">
      <c r="H856" s="223" t="inlineStr">
        <is>
          <t>소방</t>
        </is>
      </c>
      <c r="I856" s="223" t="inlineStr">
        <is>
          <t>0101030105  제연덕트설치공사</t>
        </is>
      </c>
    </row>
    <row r="857" ht="13.5" customHeight="1" s="362">
      <c r="H857" s="223" t="inlineStr">
        <is>
          <t>소방</t>
        </is>
      </c>
      <c r="I857" s="223" t="inlineStr">
        <is>
          <t>01010401  소화펌프실배관공사</t>
        </is>
      </c>
    </row>
    <row r="858" ht="13.5" customHeight="1" s="362">
      <c r="H858" s="223" t="inlineStr">
        <is>
          <t>소방</t>
        </is>
      </c>
      <c r="I858" s="223" t="inlineStr">
        <is>
          <t>01010402  소화기구설치공사</t>
        </is>
      </c>
    </row>
    <row r="859" ht="13.5" customHeight="1" s="362">
      <c r="H859" s="223" t="inlineStr">
        <is>
          <t>소방</t>
        </is>
      </c>
      <c r="I859" s="223" t="inlineStr">
        <is>
          <t>01010403  옥내소화배관공사</t>
        </is>
      </c>
    </row>
    <row r="860" ht="13.5" customHeight="1" s="362">
      <c r="H860" s="223" t="inlineStr">
        <is>
          <t>소방</t>
        </is>
      </c>
      <c r="I860" s="223" t="inlineStr">
        <is>
          <t>01010404  스프링클러배관공사</t>
        </is>
      </c>
    </row>
    <row r="861" ht="13.5" customHeight="1" s="362">
      <c r="H861" s="223" t="inlineStr">
        <is>
          <t>소방</t>
        </is>
      </c>
      <c r="I861" s="223" t="inlineStr">
        <is>
          <t>01010405  살수장애스프링클러배관공사</t>
        </is>
      </c>
    </row>
    <row r="862" ht="13.5" customHeight="1" s="362">
      <c r="H862" s="223" t="inlineStr">
        <is>
          <t>소방</t>
        </is>
      </c>
      <c r="I862" s="223" t="inlineStr">
        <is>
          <t>01010406  드레인배관설치공사</t>
        </is>
      </c>
    </row>
    <row r="863" ht="13.5" customHeight="1" s="362">
      <c r="H863" s="223" t="inlineStr">
        <is>
          <t>소방</t>
        </is>
      </c>
      <c r="I863" s="223" t="inlineStr">
        <is>
          <t>01010407  제연덕트설치공사</t>
        </is>
      </c>
    </row>
    <row r="864" ht="13.5" customHeight="1" s="362">
      <c r="H864" s="223" t="inlineStr">
        <is>
          <t>소방</t>
        </is>
      </c>
      <c r="I864" s="223" t="inlineStr">
        <is>
          <t>01010408  MOV설치공사</t>
        </is>
      </c>
    </row>
    <row r="865" ht="13.5" customHeight="1" s="362">
      <c r="H865" s="223" t="inlineStr">
        <is>
          <t>소방</t>
        </is>
      </c>
      <c r="I865" s="223" t="inlineStr">
        <is>
          <t>01010501  소화기구설치공사</t>
        </is>
      </c>
    </row>
    <row r="866" ht="13.5" customHeight="1" s="362">
      <c r="H866" s="223" t="inlineStr">
        <is>
          <t>소방</t>
        </is>
      </c>
      <c r="I866" s="223" t="inlineStr">
        <is>
          <t>01010502  옥내소화배관공사</t>
        </is>
      </c>
    </row>
    <row r="867" ht="13.5" customHeight="1" s="362">
      <c r="H867" s="223" t="inlineStr">
        <is>
          <t>소방</t>
        </is>
      </c>
      <c r="I867" s="223" t="inlineStr">
        <is>
          <t>01010503  스프링클러배관공사 **</t>
        </is>
      </c>
    </row>
    <row r="868" ht="13.5" customHeight="1" s="362">
      <c r="H868" s="223" t="inlineStr">
        <is>
          <t>소방</t>
        </is>
      </c>
      <c r="I868" s="223" t="inlineStr">
        <is>
          <t>01010504  살수장애스프링클러배관공사</t>
        </is>
      </c>
    </row>
    <row r="869" ht="13.5" customHeight="1" s="362">
      <c r="H869" s="223" t="inlineStr">
        <is>
          <t>소방</t>
        </is>
      </c>
      <c r="I869" s="223" t="inlineStr">
        <is>
          <t>01010505  드레인배관설치공사</t>
        </is>
      </c>
    </row>
    <row r="870" ht="13.5" customHeight="1" s="362">
      <c r="H870" s="223" t="inlineStr">
        <is>
          <t>소방</t>
        </is>
      </c>
      <c r="I870" s="223" t="inlineStr">
        <is>
          <t>01010506  제연덕트설치공사</t>
        </is>
      </c>
    </row>
    <row r="871" ht="13.5" customHeight="1" s="362">
      <c r="H871" s="223" t="inlineStr">
        <is>
          <t>소방</t>
        </is>
      </c>
      <c r="I871" s="223" t="inlineStr">
        <is>
          <t>01010507  MOV설치공사</t>
        </is>
      </c>
    </row>
    <row r="872" ht="13.5" customHeight="1" s="362">
      <c r="H872" s="223" t="inlineStr">
        <is>
          <t>소방</t>
        </is>
      </c>
      <c r="I872" s="223" t="inlineStr">
        <is>
          <t>01010601  소화기구설치공사</t>
        </is>
      </c>
    </row>
    <row r="873" ht="13.5" customHeight="1" s="362">
      <c r="H873" s="223" t="inlineStr">
        <is>
          <t>소방</t>
        </is>
      </c>
      <c r="I873" s="223" t="inlineStr">
        <is>
          <t>01010602  옥내소화배관공사</t>
        </is>
      </c>
    </row>
    <row r="874" ht="13.5" customHeight="1" s="362">
      <c r="H874" s="223" t="inlineStr">
        <is>
          <t>소방</t>
        </is>
      </c>
      <c r="I874" s="223" t="inlineStr">
        <is>
          <t>01010603  스프링클러배관공사 **</t>
        </is>
      </c>
    </row>
    <row r="875" ht="13.5" customHeight="1" s="362">
      <c r="H875" s="223" t="inlineStr">
        <is>
          <t>소방</t>
        </is>
      </c>
      <c r="I875" s="223" t="inlineStr">
        <is>
          <t>01010604  살수장애스프링클러배관공사</t>
        </is>
      </c>
    </row>
    <row r="876" ht="13.5" customHeight="1" s="362">
      <c r="H876" s="223" t="inlineStr">
        <is>
          <t>소방</t>
        </is>
      </c>
      <c r="I876" s="223" t="inlineStr">
        <is>
          <t>01010605  드레인배관설치공사</t>
        </is>
      </c>
    </row>
    <row r="877" ht="13.5" customHeight="1" s="362">
      <c r="H877" s="223" t="inlineStr">
        <is>
          <t>소방</t>
        </is>
      </c>
      <c r="I877" s="223" t="inlineStr">
        <is>
          <t>01010606  제연덕트설치공사</t>
        </is>
      </c>
    </row>
    <row r="878" ht="13.5" customHeight="1" s="362">
      <c r="H878" s="223" t="inlineStr">
        <is>
          <t>소방</t>
        </is>
      </c>
      <c r="I878" s="223" t="inlineStr">
        <is>
          <t>01010607  MOV설치공사</t>
        </is>
      </c>
    </row>
    <row r="879" ht="13.5" customHeight="1" s="362">
      <c r="H879" s="223" t="inlineStr">
        <is>
          <t>소방</t>
        </is>
      </c>
      <c r="I879" s="223" t="inlineStr">
        <is>
          <t>01010701  소화기구설치공사</t>
        </is>
      </c>
    </row>
    <row r="880" ht="13.5" customHeight="1" s="362">
      <c r="H880" s="223" t="inlineStr">
        <is>
          <t>소방</t>
        </is>
      </c>
      <c r="I880" s="223" t="inlineStr">
        <is>
          <t>01010702  옥내소화배관공사</t>
        </is>
      </c>
    </row>
    <row r="881" ht="13.5" customHeight="1" s="362">
      <c r="H881" s="223" t="inlineStr">
        <is>
          <t>소방</t>
        </is>
      </c>
      <c r="I881" s="223" t="inlineStr">
        <is>
          <t>01010703  스프링클러배관공사 **</t>
        </is>
      </c>
    </row>
    <row r="882" ht="13.5" customHeight="1" s="362">
      <c r="H882" s="223" t="inlineStr">
        <is>
          <t>소방</t>
        </is>
      </c>
      <c r="I882" s="223" t="inlineStr">
        <is>
          <t>01010704  살수장애스프링클러배관공사</t>
        </is>
      </c>
    </row>
    <row r="883" ht="13.5" customHeight="1" s="362">
      <c r="H883" s="223" t="inlineStr">
        <is>
          <t>소방</t>
        </is>
      </c>
      <c r="I883" s="223" t="inlineStr">
        <is>
          <t>01010705  드레인배관설치공사</t>
        </is>
      </c>
    </row>
    <row r="884" ht="13.5" customHeight="1" s="362">
      <c r="H884" s="223" t="inlineStr">
        <is>
          <t>소방</t>
        </is>
      </c>
      <c r="I884" s="223" t="inlineStr">
        <is>
          <t>01010707  MOV설치공사</t>
        </is>
      </c>
    </row>
    <row r="885" ht="13.5" customHeight="1" s="362">
      <c r="H885" s="223" t="inlineStr">
        <is>
          <t>소방</t>
        </is>
      </c>
      <c r="I885" s="223" t="inlineStr">
        <is>
          <t>01010801  소화기구설치공사</t>
        </is>
      </c>
    </row>
    <row r="886" ht="13.5" customHeight="1" s="362">
      <c r="H886" s="223" t="inlineStr">
        <is>
          <t>소방</t>
        </is>
      </c>
      <c r="I886" s="223" t="inlineStr">
        <is>
          <t>01010802  옥내소화배관공사</t>
        </is>
      </c>
    </row>
    <row r="887" ht="13.5" customHeight="1" s="362">
      <c r="H887" s="223" t="inlineStr">
        <is>
          <t>소방</t>
        </is>
      </c>
      <c r="I887" s="223" t="inlineStr">
        <is>
          <t>01010803  스프링클러배관공사</t>
        </is>
      </c>
    </row>
    <row r="888" ht="13.5" customHeight="1" s="362">
      <c r="H888" s="223" t="inlineStr">
        <is>
          <t>소방</t>
        </is>
      </c>
      <c r="I888" s="223" t="inlineStr">
        <is>
          <t>01010804  살수장애스프링클러배관공사</t>
        </is>
      </c>
    </row>
    <row r="889" ht="13.5" customHeight="1" s="362">
      <c r="H889" s="223" t="inlineStr">
        <is>
          <t>소방</t>
        </is>
      </c>
      <c r="I889" s="223" t="inlineStr">
        <is>
          <t>01010805  드레인배관설치공사</t>
        </is>
      </c>
    </row>
    <row r="890" ht="13.5" customHeight="1" s="362">
      <c r="H890" s="223" t="inlineStr">
        <is>
          <t>소방</t>
        </is>
      </c>
      <c r="I890" s="223" t="inlineStr">
        <is>
          <t>01010806  제연덕트설치공사</t>
        </is>
      </c>
    </row>
    <row r="891" ht="13.5" customHeight="1" s="362">
      <c r="H891" s="223" t="inlineStr">
        <is>
          <t>소방</t>
        </is>
      </c>
      <c r="I891" s="223" t="inlineStr">
        <is>
          <t>01010901  소화기구설치공사</t>
        </is>
      </c>
    </row>
    <row r="892" ht="13.5" customHeight="1" s="362">
      <c r="H892" s="223" t="inlineStr">
        <is>
          <t>소방</t>
        </is>
      </c>
      <c r="I892" s="223" t="inlineStr">
        <is>
          <t>01010902  옥내소화배관공사</t>
        </is>
      </c>
    </row>
    <row r="893" ht="13.5" customHeight="1" s="362">
      <c r="H893" s="223" t="inlineStr">
        <is>
          <t>소방</t>
        </is>
      </c>
      <c r="I893" s="223" t="inlineStr">
        <is>
          <t>01010903  스프링클러배관공사</t>
        </is>
      </c>
    </row>
    <row r="894" ht="13.5" customHeight="1" s="362">
      <c r="H894" s="223" t="inlineStr">
        <is>
          <t>소방</t>
        </is>
      </c>
      <c r="I894" s="223" t="inlineStr">
        <is>
          <t>01010904  살수장애스프링클러배관공사</t>
        </is>
      </c>
    </row>
    <row r="895" ht="13.5" customHeight="1" s="362">
      <c r="H895" s="223" t="inlineStr">
        <is>
          <t>소방</t>
        </is>
      </c>
      <c r="I895" s="223" t="inlineStr">
        <is>
          <t>01010905  드레인배관설치공사</t>
        </is>
      </c>
    </row>
    <row r="896" ht="13.5" customHeight="1" s="362">
      <c r="H896" s="223" t="inlineStr">
        <is>
          <t>소방</t>
        </is>
      </c>
      <c r="I896" s="223" t="inlineStr">
        <is>
          <t>01010906  제연덕트설치공사</t>
        </is>
      </c>
    </row>
    <row r="897" ht="13.5" customHeight="1" s="362">
      <c r="H897" s="223" t="inlineStr">
        <is>
          <t>소방</t>
        </is>
      </c>
      <c r="I897" s="223" t="inlineStr">
        <is>
          <t>01011001  소화기구설치공사</t>
        </is>
      </c>
    </row>
    <row r="898" ht="13.5" customHeight="1" s="362">
      <c r="H898" s="223" t="inlineStr">
        <is>
          <t>소방</t>
        </is>
      </c>
      <c r="I898" s="223" t="inlineStr">
        <is>
          <t>01011002  옥내소화배관공사</t>
        </is>
      </c>
    </row>
    <row r="899" ht="13.5" customHeight="1" s="362">
      <c r="H899" s="223" t="inlineStr">
        <is>
          <t>소방</t>
        </is>
      </c>
      <c r="I899" s="223" t="inlineStr">
        <is>
          <t>01011003  스프링클러배관공사</t>
        </is>
      </c>
    </row>
    <row r="900" ht="13.5" customHeight="1" s="362">
      <c r="H900" s="223" t="inlineStr">
        <is>
          <t>소방</t>
        </is>
      </c>
      <c r="I900" s="223" t="inlineStr">
        <is>
          <t>01011004  살수장애스프링클러배관공사</t>
        </is>
      </c>
    </row>
    <row r="901" ht="13.5" customHeight="1" s="362">
      <c r="H901" s="223" t="inlineStr">
        <is>
          <t>소방</t>
        </is>
      </c>
      <c r="I901" s="223" t="inlineStr">
        <is>
          <t>01011005  드레인배관설치공사</t>
        </is>
      </c>
    </row>
    <row r="902" ht="13.5" customHeight="1" s="362">
      <c r="H902" s="223" t="inlineStr">
        <is>
          <t>소방</t>
        </is>
      </c>
      <c r="I902" s="223" t="inlineStr">
        <is>
          <t>01011006  제연덕트설치공사</t>
        </is>
      </c>
    </row>
    <row r="903" ht="13.5" customHeight="1" s="362">
      <c r="H903" s="223" t="inlineStr">
        <is>
          <t>소방</t>
        </is>
      </c>
      <c r="I903" s="223" t="inlineStr">
        <is>
          <t>01011101  소화기구설치공사</t>
        </is>
      </c>
    </row>
    <row r="904" ht="13.5" customHeight="1" s="362">
      <c r="H904" s="223" t="inlineStr">
        <is>
          <t>소방</t>
        </is>
      </c>
      <c r="I904" s="223" t="inlineStr">
        <is>
          <t>01011102  옥내소화배관공사</t>
        </is>
      </c>
    </row>
    <row r="905" ht="13.5" customHeight="1" s="362">
      <c r="H905" s="223" t="inlineStr">
        <is>
          <t>소방</t>
        </is>
      </c>
      <c r="I905" s="223" t="inlineStr">
        <is>
          <t>01011103  스프링클러배관공사</t>
        </is>
      </c>
    </row>
    <row r="906" ht="13.5" customHeight="1" s="362">
      <c r="H906" s="223" t="inlineStr">
        <is>
          <t>소방</t>
        </is>
      </c>
      <c r="I906" s="223" t="inlineStr">
        <is>
          <t>01011104  살수장애스프링클러배관공사</t>
        </is>
      </c>
    </row>
    <row r="907" ht="13.5" customHeight="1" s="362">
      <c r="H907" s="223" t="inlineStr">
        <is>
          <t>소방</t>
        </is>
      </c>
      <c r="I907" s="223" t="inlineStr">
        <is>
          <t>01011105  드레인배관설치공사</t>
        </is>
      </c>
    </row>
    <row r="908" ht="13.5" customHeight="1" s="362">
      <c r="H908" s="223" t="inlineStr">
        <is>
          <t>소방</t>
        </is>
      </c>
      <c r="I908" s="223" t="inlineStr">
        <is>
          <t>01011106  제연덕트설치공사</t>
        </is>
      </c>
    </row>
    <row r="909" ht="13.5" customHeight="1" s="362">
      <c r="H909" s="223" t="inlineStr">
        <is>
          <t>소방</t>
        </is>
      </c>
      <c r="I909" s="223" t="inlineStr">
        <is>
          <t>01011201  소화기구설치공사</t>
        </is>
      </c>
    </row>
    <row r="910" ht="13.5" customHeight="1" s="362">
      <c r="H910" s="223" t="inlineStr">
        <is>
          <t>소방</t>
        </is>
      </c>
      <c r="I910" s="223" t="inlineStr">
        <is>
          <t>01011202  옥내소화배관공사</t>
        </is>
      </c>
    </row>
    <row r="911" ht="13.5" customHeight="1" s="362">
      <c r="H911" s="223" t="inlineStr">
        <is>
          <t>소방</t>
        </is>
      </c>
      <c r="I911" s="223" t="inlineStr">
        <is>
          <t>01011203  스프링클러배관공사</t>
        </is>
      </c>
    </row>
    <row r="912" ht="13.5" customHeight="1" s="362">
      <c r="H912" s="223" t="inlineStr">
        <is>
          <t>소방</t>
        </is>
      </c>
      <c r="I912" s="223" t="inlineStr">
        <is>
          <t>01011204  살수장애스프링클러배관공사</t>
        </is>
      </c>
    </row>
    <row r="913" ht="13.5" customHeight="1" s="362">
      <c r="H913" s="223" t="inlineStr">
        <is>
          <t>소방</t>
        </is>
      </c>
      <c r="I913" s="223" t="inlineStr">
        <is>
          <t>01011205  물분무배관공사</t>
        </is>
      </c>
    </row>
    <row r="914" ht="13.5" customHeight="1" s="362">
      <c r="H914" s="223" t="inlineStr">
        <is>
          <t>소방</t>
        </is>
      </c>
      <c r="I914" s="223" t="inlineStr">
        <is>
          <t>01011206  드레인배관설치공사</t>
        </is>
      </c>
    </row>
    <row r="915" ht="13.5" customHeight="1" s="362">
      <c r="H915" s="223" t="inlineStr">
        <is>
          <t>소방</t>
        </is>
      </c>
      <c r="I915" s="223" t="inlineStr">
        <is>
          <t>01011207  IN DUCT</t>
        </is>
      </c>
    </row>
    <row r="916" ht="13.5" customHeight="1" s="362">
      <c r="H916" s="223" t="inlineStr">
        <is>
          <t>소방</t>
        </is>
      </c>
      <c r="I916" s="223" t="inlineStr">
        <is>
          <t>01011208  제연덕트설치공사</t>
        </is>
      </c>
    </row>
    <row r="917" ht="13.5" customHeight="1" s="362">
      <c r="H917" s="223" t="inlineStr">
        <is>
          <t>소방</t>
        </is>
      </c>
      <c r="I917" s="223" t="inlineStr">
        <is>
          <t>01011209  MOV설치공사</t>
        </is>
      </c>
    </row>
    <row r="918" ht="13.5" customHeight="1" s="362">
      <c r="H918" s="223" t="inlineStr">
        <is>
          <t>소방</t>
        </is>
      </c>
      <c r="I918" s="223" t="inlineStr">
        <is>
          <t>01011301  소화기구설치공사</t>
        </is>
      </c>
    </row>
    <row r="919" ht="13.5" customHeight="1" s="362">
      <c r="H919" s="223" t="inlineStr">
        <is>
          <t>소방</t>
        </is>
      </c>
      <c r="I919" s="223" t="inlineStr">
        <is>
          <t>01011302  옥내소화배관공사</t>
        </is>
      </c>
    </row>
    <row r="920" ht="13.5" customHeight="1" s="362">
      <c r="H920" s="223" t="inlineStr">
        <is>
          <t>소방</t>
        </is>
      </c>
      <c r="I920" s="223" t="inlineStr">
        <is>
          <t>01011303  스프링클러배관공사</t>
        </is>
      </c>
    </row>
    <row r="921" ht="13.5" customHeight="1" s="362">
      <c r="H921" s="223" t="inlineStr">
        <is>
          <t>소방</t>
        </is>
      </c>
      <c r="I921" s="223" t="inlineStr">
        <is>
          <t>01011304  살수장애스프링클러배관공사</t>
        </is>
      </c>
    </row>
    <row r="922" ht="13.5" customHeight="1" s="362">
      <c r="H922" s="223" t="inlineStr">
        <is>
          <t>소방</t>
        </is>
      </c>
      <c r="I922" s="223" t="inlineStr">
        <is>
          <t>01011305  드레인배관설치공사</t>
        </is>
      </c>
    </row>
    <row r="923" ht="13.5" customHeight="1" s="362">
      <c r="H923" s="223" t="inlineStr">
        <is>
          <t>소방</t>
        </is>
      </c>
      <c r="I923" s="223" t="inlineStr">
        <is>
          <t>01011306  제연덕트설치공사</t>
        </is>
      </c>
    </row>
    <row r="924" ht="13.5" customHeight="1" s="362">
      <c r="H924" s="223" t="inlineStr">
        <is>
          <t>소방</t>
        </is>
      </c>
      <c r="I924" s="223" t="inlineStr">
        <is>
          <t>01011401  소화기구설치공사</t>
        </is>
      </c>
    </row>
    <row r="925" ht="13.5" customHeight="1" s="362">
      <c r="H925" s="223" t="inlineStr">
        <is>
          <t>소방</t>
        </is>
      </c>
      <c r="I925" s="223" t="inlineStr">
        <is>
          <t>01011402  옥내소화배관공사</t>
        </is>
      </c>
    </row>
    <row r="926" ht="13.5" customHeight="1" s="362">
      <c r="H926" s="223" t="inlineStr">
        <is>
          <t>소방</t>
        </is>
      </c>
      <c r="I926" s="223" t="inlineStr">
        <is>
          <t>01011404  제연덕트설치공사</t>
        </is>
      </c>
    </row>
    <row r="927" ht="13.5" customHeight="1" s="362">
      <c r="H927" s="223" t="inlineStr">
        <is>
          <t>소방</t>
        </is>
      </c>
      <c r="I927" s="223" t="inlineStr">
        <is>
          <t>01011501  소화가스공사 (모듈러)</t>
        </is>
      </c>
    </row>
    <row r="928" ht="13.5" customHeight="1" s="362">
      <c r="H928" s="223" t="inlineStr">
        <is>
          <t>소방</t>
        </is>
      </c>
      <c r="I928" s="223" t="inlineStr">
        <is>
          <t>01011502  소화가스공사 (집합관A,B)</t>
        </is>
      </c>
    </row>
    <row r="929" ht="13.5" customHeight="1" s="362">
      <c r="H929" s="223" t="inlineStr">
        <is>
          <t>소방</t>
        </is>
      </c>
      <c r="I929" s="223" t="inlineStr">
        <is>
          <t>01011503  소화가스공사 (집합관L)</t>
        </is>
      </c>
    </row>
    <row r="930" ht="13.5" customHeight="1" s="362">
      <c r="H930" s="223" t="inlineStr">
        <is>
          <t>소방</t>
        </is>
      </c>
      <c r="I930" s="223" t="inlineStr">
        <is>
          <t>01011504  소화가스공사 (집합관R)</t>
        </is>
      </c>
    </row>
    <row r="931" ht="13.5" customHeight="1" s="362">
      <c r="H931" s="223" t="inlineStr">
        <is>
          <t>소방</t>
        </is>
      </c>
      <c r="I931" s="223" t="inlineStr">
        <is>
          <t>01011601  소화열선공사 (1F F03)</t>
        </is>
      </c>
    </row>
    <row r="932" ht="13.5" customHeight="1" s="362">
      <c r="H932" s="223" t="inlineStr">
        <is>
          <t>소방</t>
        </is>
      </c>
      <c r="I932" s="223" t="inlineStr">
        <is>
          <t>01011602  소화열선공사 (1F F04)</t>
        </is>
      </c>
    </row>
    <row r="933" ht="13.5" customHeight="1" s="362">
      <c r="H933" s="223" t="inlineStr">
        <is>
          <t>소방</t>
        </is>
      </c>
      <c r="I933" s="223" t="inlineStr">
        <is>
          <t>01011603  소화열선공사 (3F F04)</t>
        </is>
      </c>
    </row>
    <row r="934" ht="13.5" customHeight="1" s="362">
      <c r="H934" s="223" t="inlineStr">
        <is>
          <t>소방</t>
        </is>
      </c>
      <c r="I934" s="223" t="inlineStr">
        <is>
          <t>01011604  소화열선공사 (ROOF F03)</t>
        </is>
      </c>
    </row>
    <row r="935" ht="13.5" customHeight="1" s="362">
      <c r="H935" s="223" t="inlineStr">
        <is>
          <t>소방</t>
        </is>
      </c>
      <c r="I935" s="223" t="inlineStr">
        <is>
          <t>01011605  소화열선공사 (ROOF F04)</t>
        </is>
      </c>
    </row>
    <row r="936" ht="13.5" customHeight="1" s="362">
      <c r="H936" s="223" t="inlineStr">
        <is>
          <t>소방</t>
        </is>
      </c>
      <c r="I936" s="223" t="inlineStr">
        <is>
          <t>01011606  소화열선공사 (ROOF F05)</t>
        </is>
      </c>
    </row>
    <row r="937" ht="13.5" customHeight="1" s="362">
      <c r="H937" s="223" t="inlineStr">
        <is>
          <t>소방</t>
        </is>
      </c>
      <c r="I937" s="223" t="inlineStr">
        <is>
          <t>01011607  소화열선공사 (ROOFTOP F03)</t>
        </is>
      </c>
    </row>
    <row r="938" ht="13.5" customHeight="1" s="362">
      <c r="H938" s="223" t="inlineStr">
        <is>
          <t>소방</t>
        </is>
      </c>
      <c r="I938" s="223" t="inlineStr">
        <is>
          <t>01011608  소화열선공사 (ROOFTOP F04)</t>
        </is>
      </c>
    </row>
    <row r="939" ht="13.5" customHeight="1" s="362">
      <c r="H939" s="223" t="inlineStr">
        <is>
          <t>소방</t>
        </is>
      </c>
      <c r="I939" s="223" t="inlineStr">
        <is>
          <t>010117  소화내진공사</t>
        </is>
      </c>
    </row>
    <row r="940" ht="13.5" customHeight="1" s="362">
      <c r="H940" s="223" t="inlineStr">
        <is>
          <t>소방</t>
        </is>
      </c>
      <c r="I940" s="223" t="inlineStr">
        <is>
          <t>010118  가변풍량제어시스템(부속실용)</t>
        </is>
      </c>
    </row>
    <row r="941" ht="13.5" customHeight="1" s="362">
      <c r="H941" s="223" t="inlineStr">
        <is>
          <t>소방</t>
        </is>
      </c>
      <c r="I941" s="223" t="inlineStr">
        <is>
          <t>010201  제연 T.A.B</t>
        </is>
      </c>
    </row>
    <row r="942" ht="13.5" customHeight="1" s="362">
      <c r="H942" s="223" t="inlineStr">
        <is>
          <t>소방</t>
        </is>
      </c>
      <c r="I942" s="223" t="inlineStr">
        <is>
          <t>010202  도어팬테스트</t>
        </is>
      </c>
    </row>
    <row r="943" ht="13.5" customHeight="1" s="362">
      <c r="H943" s="223" t="inlineStr">
        <is>
          <t>소방</t>
        </is>
      </c>
      <c r="I943" s="223" t="inlineStr">
        <is>
          <t>010203  성능위주설계 심의보고서</t>
        </is>
      </c>
    </row>
    <row r="944" ht="13.5" customHeight="1" s="362">
      <c r="H944" s="223" t="inlineStr">
        <is>
          <t>소방</t>
        </is>
      </c>
      <c r="I944" s="223" t="inlineStr">
        <is>
          <t>01010301 소화펌프실배관공사</t>
        </is>
      </c>
    </row>
    <row r="945" ht="13.5" customHeight="1" s="362">
      <c r="H945" s="223" t="inlineStr">
        <is>
          <t>소방</t>
        </is>
      </c>
      <c r="I945" s="223" t="inlineStr">
        <is>
          <t>01010302  소화기구설치공사</t>
        </is>
      </c>
    </row>
    <row r="946" ht="13.5" customHeight="1" s="362">
      <c r="H946" s="223" t="inlineStr">
        <is>
          <t>소방</t>
        </is>
      </c>
      <c r="I946" s="223" t="inlineStr">
        <is>
          <t>01010303  옥내소화배관공사</t>
        </is>
      </c>
    </row>
    <row r="947" ht="13.5" customHeight="1" s="362">
      <c r="H947" s="223" t="inlineStr">
        <is>
          <t>소방</t>
        </is>
      </c>
      <c r="I947" s="223" t="inlineStr">
        <is>
          <t>01010304  스프링클러배관공사</t>
        </is>
      </c>
    </row>
    <row r="948" ht="13.5" customHeight="1" s="362">
      <c r="H948" s="223" t="inlineStr">
        <is>
          <t>소방</t>
        </is>
      </c>
      <c r="I948" s="223" t="inlineStr">
        <is>
          <t>01010305  살수장애스프링클러배관공사</t>
        </is>
      </c>
    </row>
    <row r="949" ht="13.5" customHeight="1" s="362">
      <c r="H949" s="223" t="inlineStr">
        <is>
          <t>소방</t>
        </is>
      </c>
      <c r="I949" s="223" t="inlineStr">
        <is>
          <t>01010306  드레인배관설치공사</t>
        </is>
      </c>
    </row>
    <row r="950" ht="13.5" customHeight="1" s="362">
      <c r="H950" s="223" t="inlineStr">
        <is>
          <t>소방</t>
        </is>
      </c>
      <c r="I950" s="223" t="inlineStr">
        <is>
          <t>01010401  소화기구설치공사</t>
        </is>
      </c>
    </row>
    <row r="951" ht="13.5" customHeight="1" s="362">
      <c r="H951" s="223" t="inlineStr">
        <is>
          <t>소방</t>
        </is>
      </c>
      <c r="I951" s="223" t="inlineStr">
        <is>
          <t>01010402  옥내소화배관공사</t>
        </is>
      </c>
    </row>
    <row r="952" ht="13.5" customHeight="1" s="362">
      <c r="H952" s="223" t="inlineStr">
        <is>
          <t>소방</t>
        </is>
      </c>
      <c r="I952" s="223" t="inlineStr">
        <is>
          <t>'01010403  스프링클러배관공사</t>
        </is>
      </c>
    </row>
    <row r="953" ht="13.5" customHeight="1" s="362">
      <c r="H953" s="223" t="inlineStr">
        <is>
          <t>소방</t>
        </is>
      </c>
      <c r="I953" s="223" t="inlineStr">
        <is>
          <t>01010404  살수장애스프링클러배관공사</t>
        </is>
      </c>
    </row>
    <row r="954" ht="13.5" customHeight="1" s="362">
      <c r="H954" s="223" t="inlineStr">
        <is>
          <t>소방</t>
        </is>
      </c>
      <c r="I954" s="223" t="inlineStr">
        <is>
          <t>'01010502  옥내소화배관공사</t>
        </is>
      </c>
    </row>
    <row r="955" ht="13.5" customHeight="1" s="362">
      <c r="H955" s="223" t="inlineStr">
        <is>
          <t>소방</t>
        </is>
      </c>
      <c r="I955" s="223" t="inlineStr">
        <is>
          <t>01010503  스프링클러배관공사</t>
        </is>
      </c>
    </row>
    <row r="956" ht="13.5" customHeight="1" s="362">
      <c r="H956" s="223" t="inlineStr">
        <is>
          <t>소방</t>
        </is>
      </c>
      <c r="I956" s="223" t="inlineStr">
        <is>
          <t>01010505  물분무배관공사</t>
        </is>
      </c>
    </row>
    <row r="957" ht="13.5" customHeight="1" s="362">
      <c r="H957" s="223" t="inlineStr">
        <is>
          <t>소방</t>
        </is>
      </c>
      <c r="I957" s="223" t="inlineStr">
        <is>
          <t>'01010506  드레인배관설치공사</t>
        </is>
      </c>
    </row>
    <row r="958" ht="13.5" customHeight="1" s="362">
      <c r="H958" s="223" t="inlineStr">
        <is>
          <t>소방</t>
        </is>
      </c>
      <c r="I958" s="223" t="inlineStr">
        <is>
          <t>01010507  제연덕트설치공사</t>
        </is>
      </c>
    </row>
    <row r="959" ht="13.5" customHeight="1" s="362">
      <c r="H959" s="223" t="inlineStr">
        <is>
          <t>소방</t>
        </is>
      </c>
      <c r="I959" s="223" t="inlineStr">
        <is>
          <t>'01010508  MOV설치공사</t>
        </is>
      </c>
    </row>
    <row r="960" ht="13.5" customHeight="1" s="362">
      <c r="H960" s="223" t="inlineStr">
        <is>
          <t>소방</t>
        </is>
      </c>
      <c r="I960" s="223" t="inlineStr">
        <is>
          <t>'01010602  옥내소화배관공사</t>
        </is>
      </c>
    </row>
    <row r="961" ht="13.5" customHeight="1" s="362">
      <c r="H961" s="223" t="inlineStr">
        <is>
          <t>소방</t>
        </is>
      </c>
      <c r="I961" s="223" t="inlineStr">
        <is>
          <t>01010603  스프링클러배관공사</t>
        </is>
      </c>
    </row>
    <row r="962" ht="13.5" customHeight="1" s="362">
      <c r="H962" s="223" t="inlineStr">
        <is>
          <t>소방</t>
        </is>
      </c>
      <c r="I962" s="223" t="inlineStr">
        <is>
          <t>'01010703  스프링클러배관공사</t>
        </is>
      </c>
    </row>
    <row r="963" ht="13.5" customHeight="1" s="362">
      <c r="H963" s="223" t="inlineStr">
        <is>
          <t>소방</t>
        </is>
      </c>
      <c r="I963" s="223" t="inlineStr">
        <is>
          <t>01010706  제연덕트설치공사</t>
        </is>
      </c>
    </row>
    <row r="964" ht="13.5" customHeight="1" s="362">
      <c r="H964" s="223" t="inlineStr">
        <is>
          <t>소방</t>
        </is>
      </c>
      <c r="I964" s="223" t="inlineStr">
        <is>
          <t>'01011201  소화기구설치공사</t>
        </is>
      </c>
    </row>
    <row r="965" ht="13.5" customHeight="1" s="362">
      <c r="H965" s="223" t="inlineStr">
        <is>
          <t>소방</t>
        </is>
      </c>
      <c r="I965" s="223" t="inlineStr">
        <is>
          <t>01011502  소화가스공사 (집합관)</t>
        </is>
      </c>
    </row>
    <row r="966" ht="13.5" customHeight="1" s="362">
      <c r="H966" s="223" t="inlineStr">
        <is>
          <t>소방</t>
        </is>
      </c>
      <c r="I966" s="223" t="inlineStr">
        <is>
          <t>01011601  소화열선공사 (2F)</t>
        </is>
      </c>
    </row>
    <row r="967" ht="13.5" customHeight="1" s="362">
      <c r="H967" s="223" t="inlineStr">
        <is>
          <t>소방</t>
        </is>
      </c>
      <c r="I967" s="223" t="inlineStr">
        <is>
          <t>01011602  소화열선공사 (3F)</t>
        </is>
      </c>
    </row>
    <row r="968" ht="13.5" customHeight="1" s="362">
      <c r="H968" s="223" t="inlineStr">
        <is>
          <t>소방</t>
        </is>
      </c>
      <c r="I968" s="223" t="inlineStr">
        <is>
          <t>01011603  소화열선공사 (4F)</t>
        </is>
      </c>
    </row>
    <row r="969" ht="13.5" customHeight="1" s="362">
      <c r="H969" s="223" t="inlineStr">
        <is>
          <t>소방</t>
        </is>
      </c>
      <c r="I969" s="223" t="inlineStr">
        <is>
          <t>01011604  소화열선공사 (5-6F)</t>
        </is>
      </c>
    </row>
    <row r="970" ht="13.5" customHeight="1" s="362">
      <c r="H970" s="223" t="inlineStr">
        <is>
          <t>소방</t>
        </is>
      </c>
      <c r="I970" s="223" t="inlineStr">
        <is>
          <t>01011605  소화열선공사 (7F)</t>
        </is>
      </c>
    </row>
    <row r="971" ht="13.5" customHeight="1" s="362">
      <c r="H971" s="223" t="inlineStr">
        <is>
          <t>소방</t>
        </is>
      </c>
      <c r="I971" s="223" t="inlineStr">
        <is>
          <t>01011606  소화열선공사 (8F)</t>
        </is>
      </c>
    </row>
    <row r="972" ht="13.5" customHeight="1" s="362">
      <c r="H972" s="223" t="inlineStr">
        <is>
          <t>소방</t>
        </is>
      </c>
      <c r="I972" s="223" t="inlineStr">
        <is>
          <t>01011607  소화열선공사 (9F)</t>
        </is>
      </c>
    </row>
    <row r="973" ht="13.5" customHeight="1" s="362">
      <c r="H973" s="223" t="inlineStr">
        <is>
          <t>UT</t>
        </is>
      </c>
      <c r="I973" s="223" t="inlineStr">
        <is>
          <t>공통업무</t>
        </is>
      </c>
    </row>
    <row r="974" ht="13.5" customHeight="1" s="362">
      <c r="H974" s="223" t="inlineStr">
        <is>
          <t>UT</t>
        </is>
      </c>
      <c r="I974" s="223" t="inlineStr">
        <is>
          <t>A1-1. CDA STS 304 AP</t>
        </is>
      </c>
    </row>
    <row r="975" ht="13.5" customHeight="1" s="362">
      <c r="H975" s="223" t="inlineStr">
        <is>
          <t>UT</t>
        </is>
      </c>
      <c r="I975" s="223" t="inlineStr">
        <is>
          <t>A1-2. GN2 STS 304 AP</t>
        </is>
      </c>
    </row>
    <row r="976" ht="13.5" customHeight="1" s="362">
      <c r="H976" s="223" t="inlineStr">
        <is>
          <t>UT</t>
        </is>
      </c>
      <c r="I976" s="223" t="inlineStr">
        <is>
          <t>A1-3. GN2 STS 316L BA</t>
        </is>
      </c>
    </row>
    <row r="977" ht="13.5" customHeight="1" s="362">
      <c r="H977" s="223" t="inlineStr">
        <is>
          <t>UT</t>
        </is>
      </c>
      <c r="I977" s="223" t="inlineStr">
        <is>
          <t>A1-4. PAr, PHe, PO2, PCO2, PH2, PN2 STS 316L EP</t>
        </is>
      </c>
    </row>
    <row r="978" ht="13.5" customHeight="1" s="362">
      <c r="H978" s="223" t="inlineStr">
        <is>
          <t>UT</t>
        </is>
      </c>
      <c r="I978" s="223" t="inlineStr">
        <is>
          <t>A1-5. PVAC STS 304 5S</t>
        </is>
      </c>
    </row>
    <row r="979" ht="13.5" customHeight="1" s="362">
      <c r="H979" s="223" t="inlineStr">
        <is>
          <t>UT</t>
        </is>
      </c>
      <c r="I979" s="223" t="inlineStr">
        <is>
          <t>A1-6. BULK GAS PURGE STS 304 5S</t>
        </is>
      </c>
    </row>
    <row r="980" ht="13.5" customHeight="1" s="362">
      <c r="H980" s="223" t="inlineStr">
        <is>
          <t>UT</t>
        </is>
      </c>
      <c r="I980" s="223" t="inlineStr">
        <is>
          <t>A1-7. GN2(용접용) STS 304 AP</t>
        </is>
      </c>
    </row>
    <row r="981" ht="13.5" customHeight="1" s="362">
      <c r="H981" s="223" t="inlineStr">
        <is>
          <t>UT</t>
        </is>
      </c>
      <c r="I981" s="223" t="inlineStr">
        <is>
          <t>A1-8-1. H2 VMB Hook- up</t>
        </is>
      </c>
    </row>
    <row r="982" ht="13.5" customHeight="1" s="362">
      <c r="H982" s="223" t="inlineStr">
        <is>
          <t>UT</t>
        </is>
      </c>
      <c r="I982" s="223" t="inlineStr">
        <is>
          <t>A1-8-2. Mixer RM 공급 H2 Hook- up</t>
        </is>
      </c>
    </row>
    <row r="983" ht="13.5" customHeight="1" s="362">
      <c r="H983" s="223" t="inlineStr">
        <is>
          <t>UT</t>
        </is>
      </c>
      <c r="I983" s="223" t="inlineStr">
        <is>
          <t>A1-9. 고압 CN2</t>
        </is>
      </c>
    </row>
    <row r="984" ht="13.5" customHeight="1" s="362">
      <c r="H984" s="223" t="inlineStr">
        <is>
          <t>UT</t>
        </is>
      </c>
      <c r="I984" s="223" t="inlineStr">
        <is>
          <t>A1-10. 고압CO2 VENT</t>
        </is>
      </c>
    </row>
    <row r="985" ht="13.5" customHeight="1" s="362">
      <c r="H985" s="223" t="inlineStr">
        <is>
          <t>UT</t>
        </is>
      </c>
      <c r="I985" s="223" t="inlineStr">
        <is>
          <t>A1-11-1. GO2, GCO2 STS 304 AP</t>
        </is>
      </c>
    </row>
    <row r="986" ht="13.5" customHeight="1" s="362">
      <c r="H986" s="223" t="inlineStr">
        <is>
          <t>UT</t>
        </is>
      </c>
      <c r="I986" s="223" t="inlineStr">
        <is>
          <t>A7-1-1. Process Gas Line</t>
        </is>
      </c>
    </row>
    <row r="987" ht="13.5" customHeight="1" s="362">
      <c r="H987" s="223" t="inlineStr">
        <is>
          <t>UT</t>
        </is>
      </c>
      <c r="I987" s="223" t="inlineStr">
        <is>
          <t>A7-1-2. Vent Line</t>
        </is>
      </c>
    </row>
    <row r="988" ht="13.5" customHeight="1" s="362">
      <c r="H988" s="223" t="inlineStr">
        <is>
          <t>UT</t>
        </is>
      </c>
      <c r="I988" s="223" t="inlineStr">
        <is>
          <t>A7-1-3. PGS Hook up</t>
        </is>
      </c>
    </row>
    <row r="989" ht="13.5" customHeight="1" s="362">
      <c r="H989" s="223" t="inlineStr">
        <is>
          <t>UT</t>
        </is>
      </c>
      <c r="I989" s="223" t="inlineStr">
        <is>
          <t>A8-1. SUS304 BA PIPING FOR ALMS LINE</t>
        </is>
      </c>
    </row>
    <row r="990" ht="13.5" customHeight="1" s="362">
      <c r="H990" s="223" t="inlineStr">
        <is>
          <t>UT</t>
        </is>
      </c>
      <c r="I990" s="223" t="inlineStr">
        <is>
          <t>A8-2. ALMS System</t>
        </is>
      </c>
    </row>
    <row r="991" ht="13.5" customHeight="1" s="362">
      <c r="H991" s="223" t="inlineStr">
        <is>
          <t>UT</t>
        </is>
      </c>
      <c r="I991" s="223" t="inlineStr">
        <is>
          <t>A9-1. CDA STS 304 AP</t>
        </is>
      </c>
    </row>
    <row r="992" ht="13.5" customHeight="1" s="362">
      <c r="H992" s="223" t="inlineStr">
        <is>
          <t>UT</t>
        </is>
      </c>
      <c r="I992" s="223" t="inlineStr">
        <is>
          <t>A9-2. GN2 STS 304 AP</t>
        </is>
      </c>
    </row>
    <row r="993" ht="13.5" customHeight="1" s="362">
      <c r="H993" s="223" t="inlineStr">
        <is>
          <t>UT</t>
        </is>
      </c>
      <c r="I993" s="223" t="inlineStr">
        <is>
          <t>A9-3. GN2 STS 316L BA</t>
        </is>
      </c>
    </row>
    <row r="994" ht="13.5" customHeight="1" s="362">
      <c r="H994" s="223" t="inlineStr">
        <is>
          <t>UT</t>
        </is>
      </c>
      <c r="I994" s="223" t="inlineStr">
        <is>
          <t>A9-4. PAr, PHe, PO2, PCO2, PH2, PN2 STS 316L EP</t>
        </is>
      </c>
    </row>
    <row r="995" ht="13.5" customHeight="1" s="362">
      <c r="H995" s="223" t="inlineStr">
        <is>
          <t>UT</t>
        </is>
      </c>
      <c r="I995" s="223" t="inlineStr">
        <is>
          <t>A9-5. PVAC STS 304 5S</t>
        </is>
      </c>
    </row>
    <row r="996" ht="13.5" customHeight="1" s="362">
      <c r="H996" s="223" t="inlineStr">
        <is>
          <t>UT</t>
        </is>
      </c>
      <c r="I996" s="223" t="inlineStr">
        <is>
          <t>B1-1. Bulk Gas STS304 5S</t>
        </is>
      </c>
    </row>
    <row r="997" ht="13.5" customHeight="1" s="362">
      <c r="H997" s="223" t="inlineStr">
        <is>
          <t>UT</t>
        </is>
      </c>
      <c r="I997" s="223" t="inlineStr">
        <is>
          <t>B1-2. Bulk Gas STS304 AP</t>
        </is>
      </c>
    </row>
    <row r="998" ht="13.5" customHeight="1" s="362">
      <c r="H998" s="223" t="inlineStr">
        <is>
          <t>UT</t>
        </is>
      </c>
      <c r="I998" s="223" t="inlineStr">
        <is>
          <t>B1-3. Bulk Gas STS316L EP</t>
        </is>
      </c>
    </row>
    <row r="999" ht="13.5" customHeight="1" s="362">
      <c r="H999" s="223" t="inlineStr">
        <is>
          <t>UT</t>
        </is>
      </c>
      <c r="I999" s="223" t="inlineStr">
        <is>
          <t>B1-4. Bulk Gas STS316L BA</t>
        </is>
      </c>
    </row>
    <row r="1000" ht="13.5" customHeight="1" s="362">
      <c r="H1000" s="223" t="inlineStr">
        <is>
          <t>UT</t>
        </is>
      </c>
      <c r="I1000" s="223" t="inlineStr">
        <is>
          <t>B1-5. PN2 PCV 차음재 설치 공사</t>
        </is>
      </c>
    </row>
    <row r="1001" ht="13.5" customHeight="1" s="362">
      <c r="H1001" s="223" t="inlineStr">
        <is>
          <t>UT</t>
        </is>
      </c>
      <c r="I1001" s="223" t="inlineStr">
        <is>
          <t>B1-6. HEADER 설치 공사</t>
        </is>
      </c>
    </row>
    <row r="1002" ht="13.5" customHeight="1" s="362">
      <c r="H1002" s="223" t="inlineStr">
        <is>
          <t>UT</t>
        </is>
      </c>
      <c r="I1002" s="223" t="inlineStr">
        <is>
          <t>A1-1. CDA STS 304 AP (기존건물)</t>
        </is>
      </c>
    </row>
    <row r="1003" ht="13.5" customHeight="1" s="362">
      <c r="H1003" s="223" t="inlineStr">
        <is>
          <t>UT</t>
        </is>
      </c>
      <c r="I1003" s="223" t="inlineStr">
        <is>
          <t>A1-2. GN2 STS 304 AP (기존건물)</t>
        </is>
      </c>
    </row>
    <row r="1004" ht="13.5" customHeight="1" s="362">
      <c r="H1004" s="223" t="inlineStr">
        <is>
          <t>UT</t>
        </is>
      </c>
      <c r="I1004" s="223" t="inlineStr">
        <is>
          <t>A1-3. GN2 STS 316L BA (기존건물)</t>
        </is>
      </c>
    </row>
    <row r="1005" ht="13.5" customHeight="1" s="362">
      <c r="H1005" s="223" t="inlineStr">
        <is>
          <t>UT</t>
        </is>
      </c>
      <c r="I1005" s="223" t="inlineStr">
        <is>
          <t>A1-4. PAr, PHe, PO2, PCO2, PH2, PN2 STS 316L EP (기존건물)</t>
        </is>
      </c>
    </row>
    <row r="1006" ht="13.5" customHeight="1" s="362">
      <c r="H1006" s="223" t="inlineStr">
        <is>
          <t>UT</t>
        </is>
      </c>
      <c r="I1006" s="223" t="inlineStr">
        <is>
          <t>A1-5. PVAC STS 304 5S (기존건물)</t>
        </is>
      </c>
    </row>
    <row r="1007" ht="13.5" customHeight="1" s="362">
      <c r="H1007" s="223" t="inlineStr">
        <is>
          <t>UT</t>
        </is>
      </c>
      <c r="I1007" s="223" t="inlineStr">
        <is>
          <t>A1-6. HVAC STS 304 5S (VENT LINE) (기존건물)</t>
        </is>
      </c>
    </row>
    <row r="1008" ht="13.5" customHeight="1" s="362">
      <c r="H1008" s="223" t="inlineStr">
        <is>
          <t>UT</t>
        </is>
      </c>
      <c r="I1008" s="223" t="inlineStr">
        <is>
          <t>A1-6. STS 304 5S (Bulk Gas Purge 전용) (기존건물)</t>
        </is>
      </c>
    </row>
    <row r="1009" ht="13.5" customHeight="1" s="362">
      <c r="H1009" s="223" t="inlineStr">
        <is>
          <t>UT</t>
        </is>
      </c>
      <c r="I1009" s="223" t="inlineStr">
        <is>
          <t>A1-7. GN2(용접용) STS 304 AP (기존건물)</t>
        </is>
      </c>
    </row>
    <row r="1010" ht="13.5" customHeight="1" s="362">
      <c r="H1010" s="223" t="inlineStr">
        <is>
          <t>UT</t>
        </is>
      </c>
      <c r="I1010" s="223" t="inlineStr">
        <is>
          <t>A1-8. P-VAC VENT (기존건물)</t>
        </is>
      </c>
    </row>
    <row r="1011" ht="13.5" customHeight="1" s="362">
      <c r="H1011" s="223" t="inlineStr">
        <is>
          <t>UT</t>
        </is>
      </c>
      <c r="I1011" s="223" t="inlineStr">
        <is>
          <t>A1-9-1. GO2, GCO2 STS 304 AP (기존건물)</t>
        </is>
      </c>
    </row>
    <row r="1012" ht="13.5" customHeight="1" s="362">
      <c r="H1012" s="223" t="inlineStr">
        <is>
          <t>UT</t>
        </is>
      </c>
      <c r="I1012" s="223" t="inlineStr">
        <is>
          <t>A1-10. VENT STS304 5S (기존건물)</t>
        </is>
      </c>
    </row>
    <row r="1013" ht="13.5" customHeight="1" s="362">
      <c r="H1013" s="223" t="inlineStr">
        <is>
          <t>UT</t>
        </is>
      </c>
      <c r="I1013" s="223" t="inlineStr">
        <is>
          <t>A7-1-1. Process Gas Line (기존건물)</t>
        </is>
      </c>
    </row>
    <row r="1014" ht="13.5" customHeight="1" s="362">
      <c r="H1014" s="223" t="inlineStr">
        <is>
          <t>UT</t>
        </is>
      </c>
      <c r="I1014" s="223" t="inlineStr">
        <is>
          <t>A8-1. SUS304 BA PIPING FOR ALMS LINE (기존건물)</t>
        </is>
      </c>
    </row>
    <row r="1015" ht="13.5" customHeight="1" s="362">
      <c r="H1015" s="223" t="inlineStr">
        <is>
          <t>UT</t>
        </is>
      </c>
      <c r="I1015" s="223" t="inlineStr">
        <is>
          <t>A8-2. ALMS System (기존건물)</t>
        </is>
      </c>
    </row>
    <row r="1016" ht="13.5" customHeight="1" s="362">
      <c r="H1016" s="223" t="inlineStr">
        <is>
          <t>UT</t>
        </is>
      </c>
      <c r="I1016" s="223" t="inlineStr">
        <is>
          <t>A9-1. CDA STS 304 AP (기존건물)</t>
        </is>
      </c>
    </row>
    <row r="1017" ht="13.5" customHeight="1" s="362">
      <c r="H1017" s="223" t="inlineStr">
        <is>
          <t>UT</t>
        </is>
      </c>
      <c r="I1017" s="223" t="inlineStr">
        <is>
          <t>A9-2. GN2 STS 304 AP (기존건물)</t>
        </is>
      </c>
    </row>
    <row r="1018" ht="13.5" customHeight="1" s="362">
      <c r="H1018" s="223" t="inlineStr">
        <is>
          <t>UT</t>
        </is>
      </c>
      <c r="I1018" s="223" t="inlineStr">
        <is>
          <t>A9-3. GN2 STS 316L BA (기존건물)</t>
        </is>
      </c>
    </row>
    <row r="1019" ht="13.5" customHeight="1" s="362">
      <c r="H1019" s="223" t="inlineStr">
        <is>
          <t>UT</t>
        </is>
      </c>
      <c r="I1019" s="223" t="inlineStr">
        <is>
          <t>A9-4. PAr, PHe, PO2, PCO2, PH2, PN2 STS 316L EP (기존건물)</t>
        </is>
      </c>
    </row>
    <row r="1020" ht="13.5" customHeight="1" s="362">
      <c r="H1020" s="223" t="inlineStr">
        <is>
          <t>UT</t>
        </is>
      </c>
      <c r="I1020" s="223" t="inlineStr">
        <is>
          <t>A9-5. PVAC STS 304 5S (기존건물)</t>
        </is>
      </c>
    </row>
    <row r="1021" ht="13.5" customHeight="1" s="362">
      <c r="H1021" s="223" t="inlineStr">
        <is>
          <t>UT</t>
        </is>
      </c>
      <c r="I1021" s="223" t="inlineStr">
        <is>
          <t>A1-1. CDA STS 304 AP (기존공동구)</t>
        </is>
      </c>
    </row>
    <row r="1022" ht="13.5" customHeight="1" s="362">
      <c r="H1022" s="223" t="inlineStr">
        <is>
          <t>UT</t>
        </is>
      </c>
      <c r="I1022" s="223" t="inlineStr">
        <is>
          <t>A3-1. PVDF PIPING FOR UPW LINE</t>
        </is>
      </c>
    </row>
    <row r="1023" ht="13.5" customHeight="1" s="362">
      <c r="H1023" s="223" t="inlineStr">
        <is>
          <t>UT</t>
        </is>
      </c>
      <c r="I1023" s="223" t="inlineStr">
        <is>
          <t>A3-2. UPW가설 LINE</t>
        </is>
      </c>
    </row>
    <row r="1024" ht="13.5" customHeight="1" s="362">
      <c r="H1024" s="223" t="inlineStr">
        <is>
          <t>UT</t>
        </is>
      </c>
      <c r="I1024" s="223" t="inlineStr">
        <is>
          <t>A4-1. 무기계 Chemical PFA+Clear PVC</t>
        </is>
      </c>
    </row>
    <row r="1025" ht="13.5" customHeight="1" s="362">
      <c r="H1025" s="223" t="inlineStr">
        <is>
          <t>UT</t>
        </is>
      </c>
      <c r="I1025" s="223" t="inlineStr">
        <is>
          <t>A4-2. SLURRY Chemical PFA+Clear PVC</t>
        </is>
      </c>
    </row>
    <row r="1026" ht="13.5" customHeight="1" s="362">
      <c r="H1026" s="223" t="inlineStr">
        <is>
          <t>UT</t>
        </is>
      </c>
      <c r="I1026" s="223" t="inlineStr">
        <is>
          <t>A4-3. 유기계 Chemical STS316L EP RA10</t>
        </is>
      </c>
    </row>
    <row r="1027" ht="13.5" customHeight="1" s="362">
      <c r="H1027" s="223" t="inlineStr">
        <is>
          <t>UT</t>
        </is>
      </c>
      <c r="I1027" s="223" t="inlineStr">
        <is>
          <t>A4-4. Chemical CIB, VMB Hook-Up</t>
        </is>
      </c>
    </row>
    <row r="1028" ht="13.5" customHeight="1" s="362">
      <c r="H1028" s="223" t="inlineStr">
        <is>
          <t>UT</t>
        </is>
      </c>
      <c r="I1028" s="223" t="inlineStr">
        <is>
          <t>A4-5. NaOH STS 304 SCH 10S</t>
        </is>
      </c>
    </row>
    <row r="1029" ht="13.5" customHeight="1" s="362">
      <c r="H1029" s="223" t="inlineStr">
        <is>
          <t>UT</t>
        </is>
      </c>
      <c r="I1029" s="223" t="inlineStr">
        <is>
          <t>A4-6. De-Nox용 ECO-DN20-6 PFA+Clear PVC</t>
        </is>
      </c>
    </row>
    <row r="1030" ht="13.5" customHeight="1" s="362">
      <c r="H1030" s="223" t="inlineStr">
        <is>
          <t>UT</t>
        </is>
      </c>
      <c r="I1030" s="223" t="inlineStr">
        <is>
          <t>A4-7. 유기 이중관_EUV PFA+STS304 5S</t>
        </is>
      </c>
    </row>
    <row r="1031" ht="13.5" customHeight="1" s="362">
      <c r="H1031" s="223" t="inlineStr">
        <is>
          <t>UT</t>
        </is>
      </c>
      <c r="I1031" s="223" t="inlineStr">
        <is>
          <t>A4-8. SC-1 CIB(과압방지 Drain)_PFA+Clear PVC</t>
        </is>
      </c>
    </row>
    <row r="1032" ht="13.5" customHeight="1" s="362">
      <c r="H1032" s="223" t="inlineStr">
        <is>
          <t>UT</t>
        </is>
      </c>
      <c r="I1032" s="223" t="inlineStr">
        <is>
          <t>A4-9. NaOH STS 304 SCH 10S</t>
        </is>
      </c>
    </row>
    <row r="1033" ht="13.5" customHeight="1" s="362">
      <c r="H1033" s="223" t="inlineStr">
        <is>
          <t>UT</t>
        </is>
      </c>
      <c r="I1033" s="223" t="inlineStr">
        <is>
          <t>A5-1. H2SO4, H3PO4, CuSO4 STS+TEFLON COATING</t>
        </is>
      </c>
    </row>
    <row r="1034" ht="13.5" customHeight="1" s="362">
      <c r="H1034" s="223" t="inlineStr">
        <is>
          <t>UT</t>
        </is>
      </c>
      <c r="I1034" s="223" t="inlineStr">
        <is>
          <t>A5-2. INPRIA STS+TEFLON COATING</t>
        </is>
      </c>
    </row>
    <row r="1035" ht="13.5" customHeight="1" s="362">
      <c r="H1035" s="223" t="inlineStr">
        <is>
          <t>UT</t>
        </is>
      </c>
      <c r="I1035" s="282" t="inlineStr">
        <is>
          <t>A2-1. STS304 10S PIPING FOR 13℃ PCW</t>
        </is>
      </c>
    </row>
    <row r="1036" ht="13.5" customHeight="1" s="362">
      <c r="H1036" s="223" t="inlineStr">
        <is>
          <t>UT</t>
        </is>
      </c>
      <c r="I1036" s="282" t="inlineStr">
        <is>
          <t>A2-2. STS304 10S PIPING FOR 20℃ PCW</t>
        </is>
      </c>
    </row>
    <row r="1037" ht="13.5" customHeight="1" s="362">
      <c r="H1037" s="223" t="inlineStr">
        <is>
          <t>UT</t>
        </is>
      </c>
      <c r="I1037" s="282" t="inlineStr">
        <is>
          <t>A2-3. STS304 10S PIPING FOR NPW</t>
        </is>
      </c>
    </row>
    <row r="1038" ht="13.5" customHeight="1" s="362">
      <c r="H1038" s="223" t="inlineStr">
        <is>
          <t>UT</t>
        </is>
      </c>
      <c r="I1038" s="282" t="inlineStr">
        <is>
          <t>A2-4. STS304 10S PIPING FOR RO</t>
        </is>
      </c>
    </row>
    <row r="1039" ht="13.5" customHeight="1" s="362">
      <c r="H1039" s="223" t="inlineStr">
        <is>
          <t>UT</t>
        </is>
      </c>
      <c r="I1039" s="223" t="inlineStr">
        <is>
          <t>A6-1. PE PIPING FOR WASTE WATER LINE</t>
        </is>
      </c>
    </row>
    <row r="1040" ht="13.5" customHeight="1" s="362">
      <c r="H1040" s="223" t="inlineStr">
        <is>
          <t>UT</t>
        </is>
      </c>
      <c r="I1040" s="223" t="inlineStr">
        <is>
          <t>A6-2. STS304 5S PIPING FOR WASTE WATER LINE</t>
        </is>
      </c>
    </row>
    <row r="1041" ht="13.5" customHeight="1" s="362">
      <c r="H1041" s="223" t="inlineStr">
        <is>
          <t>UT</t>
        </is>
      </c>
      <c r="I1041" s="223" t="inlineStr">
        <is>
          <t>A6-3-1. Body Eye Shower Hook-Up(Booth)_MR</t>
        </is>
      </c>
    </row>
    <row r="1042" ht="13.5" customHeight="1" s="362">
      <c r="H1042" s="223" t="inlineStr">
        <is>
          <t>UT</t>
        </is>
      </c>
      <c r="I1042" s="223" t="inlineStr">
        <is>
          <t>A6-3-2. Body Eye Shower Hook-Up(Pump)_MR</t>
        </is>
      </c>
    </row>
    <row r="1043" ht="13.5" customHeight="1" s="362">
      <c r="H1043" s="223" t="inlineStr">
        <is>
          <t>UT</t>
        </is>
      </c>
      <c r="I1043" s="223" t="inlineStr">
        <is>
          <t>A6-3-3. Body Eye Shower Hook-Up(Booth)_C/R 2F, 3F, 부속룸</t>
        </is>
      </c>
    </row>
    <row r="1044" ht="13.5" customHeight="1" s="362">
      <c r="H1044" s="223" t="inlineStr">
        <is>
          <t>UT</t>
        </is>
      </c>
      <c r="I1044" s="223" t="inlineStr">
        <is>
          <t>A6-3-4. Body Eye Shower Hook-Up(Pump)_C/R 1F, CMP 2F</t>
        </is>
      </c>
    </row>
    <row r="1045" ht="13.5" customHeight="1" s="362">
      <c r="H1045" s="223" t="inlineStr">
        <is>
          <t>UT</t>
        </is>
      </c>
      <c r="I1045" s="223" t="inlineStr">
        <is>
          <t>A6-4. WW-ACID STS+TEFLON COATING</t>
        </is>
      </c>
    </row>
    <row r="1046" ht="13.5" customHeight="1" s="362">
      <c r="H1046" s="223" t="inlineStr">
        <is>
          <t>UT</t>
        </is>
      </c>
      <c r="I1046" s="223" t="inlineStr">
        <is>
          <t>A6-5. PE PIPING FOR 우수 RETURN LINE</t>
        </is>
      </c>
    </row>
    <row r="1047" ht="13.5" customHeight="1" s="362">
      <c r="H1047" s="223" t="inlineStr">
        <is>
          <t>UT</t>
        </is>
      </c>
      <c r="I1047" s="223" t="inlineStr">
        <is>
          <t>A6-1. PE PIPING FOR WASTE WATER LINE (기존건물)</t>
        </is>
      </c>
    </row>
    <row r="1048" ht="13.5" customHeight="1" s="362">
      <c r="H1048" s="223" t="inlineStr">
        <is>
          <t>UT</t>
        </is>
      </c>
      <c r="I1048" s="223" t="inlineStr">
        <is>
          <t>A6-2. STS304 10S PIPING FOR WASTE WATER LINE (기존건물)</t>
        </is>
      </c>
    </row>
    <row r="1049" ht="13.5" customHeight="1" s="362">
      <c r="H1049" s="223" t="inlineStr">
        <is>
          <t>UT</t>
        </is>
      </c>
      <c r="I1049" s="223" t="inlineStr">
        <is>
          <t>A10-1. WASTE WATER PE LINE 선공사</t>
        </is>
      </c>
    </row>
    <row r="1050" ht="13.5" customHeight="1" s="362">
      <c r="H1050" s="223" t="inlineStr">
        <is>
          <t>UT</t>
        </is>
      </c>
      <c r="I1050" s="223" t="inlineStr">
        <is>
          <t>A10-2. WASTE WATER STS LINE 선공사</t>
        </is>
      </c>
    </row>
    <row r="1051" ht="13.5" customHeight="1" s="362">
      <c r="H1051" s="223" t="inlineStr">
        <is>
          <t>UT</t>
        </is>
      </c>
      <c r="I1051" s="223" t="inlineStr">
        <is>
          <t>A10-1. WASTE WATER STS LINE 선공사 (기존건물)</t>
        </is>
      </c>
    </row>
  </sheetData>
  <autoFilter ref="A2:I2"/>
  <pageMargins left="0.75" right="0.75" top="1" bottom="1" header="0.5" footer="0.5"/>
  <pageSetup orientation="portrait" paperSize="9" horizontalDpi="300" verticalDpi="300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A16"/>
  <sheetViews>
    <sheetView zoomScaleNormal="100" workbookViewId="0">
      <selection activeCell="P22" sqref="P22"/>
    </sheetView>
  </sheetViews>
  <sheetFormatPr baseColWidth="8" defaultRowHeight="16.5"/>
  <sheetData>
    <row r="1" ht="24.95" customHeight="1" s="362">
      <c r="A1" s="217" t="inlineStr">
        <is>
          <t>작업일보 양식의 작성 방법을 안내드립니다.</t>
        </is>
      </c>
    </row>
    <row r="2" ht="24.95" customHeight="1" s="362">
      <c r="A2" s="218" t="inlineStr">
        <is>
          <t>1. 6.출력일보sheet에 작업자명, 작업자 직종을 작성하고, LINE 명(WBS 소공종 기준), 작업위치_코드는 목록으로 선택가능하게 만들었습니다.</t>
        </is>
      </c>
    </row>
    <row r="3" ht="24.95" customHeight="1" s="362">
      <c r="A3" s="218" t="inlineStr">
        <is>
          <t>2. 작업위치_코드 목록은 4.물량 sheet의 Scope행과 대표물량_작업내용 행을 작성하면, 작업위치_코드명을 만들어지도록 했습니다.</t>
        </is>
      </c>
    </row>
    <row r="4" ht="24.95" customHeight="1" s="362">
      <c r="A4" s="219" t="inlineStr">
        <is>
          <t>물론, 작업위치_코드명은 left명령어를 사용했으며, 글자수를 조정하면 됩니다.</t>
        </is>
      </c>
    </row>
    <row r="5" ht="24.95" customHeight="1" s="362">
      <c r="A5" s="218" t="inlineStr">
        <is>
          <t>3. 작업위치_코드는 해당 공사를 선택하고, 금일 작업 사항을 작성하면 됩니다.</t>
        </is>
      </c>
    </row>
    <row r="6" ht="24.95" customHeight="1" s="362">
      <c r="A6" s="218" t="inlineStr">
        <is>
          <t>4. 조출, 주간, 연장, 야간, 철야는 해당 근무시간을 숫자로 “1”을 입력하면 됩니다.</t>
        </is>
      </c>
    </row>
    <row r="7" ht="24.95" customHeight="1" s="362">
      <c r="A7" s="218" t="inlineStr">
        <is>
          <t>5. 1. 출력인원 현황sheet는 기존에 작성하던 데로 작성하면 됩니다.</t>
        </is>
      </c>
    </row>
    <row r="8" ht="24.95" customHeight="1" s="362">
      <c r="A8" s="218" t="inlineStr">
        <is>
          <t>6. 2. 직종별 인원현황 sheet작성은 금일투입은 6.출력일보 sheet 작성하면 작성이 되도록 했습니다. 전일 누계만 수동으로 입력바랍니다.</t>
        </is>
      </c>
    </row>
    <row r="9" ht="24.95" customHeight="1" s="362">
      <c r="A9" s="218" t="inlineStr">
        <is>
          <t>7. 3. 장비현황 sheet는 기존과 동일하게 작성하면 됩니다.</t>
        </is>
      </c>
    </row>
    <row r="10" ht="24.95" customHeight="1" s="362">
      <c r="A10" s="218" t="inlineStr">
        <is>
          <t>8. 4. 물량 sheet 도 기존과 동일하게 작성하면 되며, “H열” 작업위치_코드가 열이 추가되었습니다. LINE명(WBS 소공종 기준) 추가</t>
        </is>
      </c>
    </row>
    <row r="11" ht="24.95" customHeight="1" s="362">
      <c r="A11" s="218" t="inlineStr">
        <is>
          <t>9. 5. 작업전경 사진대지는 기존에 사진대지와 동일하게 작성하되, 사진을 작업구간의 전경사진으로 요청드립니다.</t>
        </is>
      </c>
    </row>
    <row r="12" ht="24.95" customHeight="1" s="362">
      <c r="A12" s="219" t="inlineStr">
        <is>
          <t>(작업환경을 확인하기 위함_비계작업, T/L작업, 협소, 기타 간섭사항 등 현장 작업 조건 확인용)</t>
        </is>
      </c>
    </row>
    <row r="13">
      <c r="A13" s="220" t="inlineStr">
        <is>
          <t>10. 작업일보와 별개로 TBM일지 작성 시 내용 추가 요청</t>
        </is>
      </c>
    </row>
    <row r="14">
      <c r="A14" s="220" t="inlineStr">
        <is>
          <t xml:space="preserve">    - 작업팀별로 실제로 가지고 있는 도면 (제작도) No. 작성</t>
        </is>
      </c>
    </row>
    <row r="15">
      <c r="A15" s="220" t="inlineStr">
        <is>
          <t xml:space="preserve">    - 직종/이름 작성</t>
        </is>
      </c>
    </row>
    <row r="16">
      <c r="A16" s="220" t="inlineStr">
        <is>
          <t xml:space="preserve">    - 작업내용 작성</t>
        </is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7">
    <outlinePr summaryBelow="1" summaryRight="1"/>
    <pageSetUpPr/>
  </sheetPr>
  <dimension ref="B2:T71"/>
  <sheetViews>
    <sheetView zoomScale="70" zoomScaleNormal="70"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B2" sqref="B2"/>
    </sheetView>
  </sheetViews>
  <sheetFormatPr baseColWidth="8" defaultRowHeight="15"/>
  <cols>
    <col width="9" customWidth="1" style="36" min="1" max="1"/>
    <col width="8.625" customWidth="1" style="36" min="2" max="2"/>
    <col width="9" customWidth="1" style="36" min="3" max="3"/>
    <col width="15.125" bestFit="1" customWidth="1" style="36" min="4" max="4"/>
    <col width="9" customWidth="1" style="36" min="5" max="6"/>
    <col width="8.625" customWidth="1" style="36" min="7" max="7"/>
    <col width="13.125" customWidth="1" style="36" min="8" max="8"/>
    <col width="7" bestFit="1" customWidth="1" style="36" min="9" max="9"/>
    <col width="9" customWidth="1" style="36" min="10" max="10"/>
    <col width="21.625" bestFit="1" customWidth="1" style="36" min="11" max="11"/>
    <col width="9" customWidth="1" style="36" min="12" max="12"/>
    <col width="8.625" customWidth="1" style="36" min="13" max="14"/>
    <col width="17.75" customWidth="1" style="36" min="15" max="15"/>
    <col width="8.625" customWidth="1" style="36" min="16" max="16"/>
    <col width="15.5" bestFit="1" customWidth="1" style="36" min="17" max="17"/>
    <col width="8.625" customWidth="1" style="36" min="18" max="18"/>
    <col width="22.625" customWidth="1" style="36" min="19" max="19"/>
    <col width="9" customWidth="1" style="36" min="20" max="16384"/>
  </cols>
  <sheetData>
    <row r="2" ht="16.5" customHeight="1" s="362">
      <c r="B2" s="36" t="inlineStr">
        <is>
          <t>▶ Discipline</t>
        </is>
      </c>
      <c r="G2" s="68" t="inlineStr">
        <is>
          <t>▶ Discipline 직종</t>
        </is>
      </c>
      <c r="H2" s="69" t="n"/>
      <c r="I2" s="69" t="n"/>
      <c r="J2" s="69" t="n"/>
      <c r="K2" s="69" t="n"/>
      <c r="M2" s="68" t="inlineStr">
        <is>
          <t>▶ Discipline 장비</t>
        </is>
      </c>
      <c r="N2" s="69" t="n"/>
      <c r="O2" s="69" t="n"/>
      <c r="P2" s="69" t="n"/>
      <c r="Q2" s="69" t="n"/>
      <c r="R2" s="69" t="n"/>
      <c r="S2" s="69" t="n"/>
    </row>
    <row r="3" ht="47.25" customHeight="1" s="362">
      <c r="B3" s="35" t="inlineStr">
        <is>
          <t>순번</t>
        </is>
      </c>
      <c r="C3" s="63" t="inlineStr">
        <is>
          <t>Code</t>
        </is>
      </c>
      <c r="D3" s="64" t="inlineStr">
        <is>
          <t>Code 명(한글)</t>
        </is>
      </c>
      <c r="G3" s="41" t="inlineStr">
        <is>
          <t>순번</t>
        </is>
      </c>
      <c r="H3" s="52" t="inlineStr">
        <is>
          <t>관리자, 근로자
Code</t>
        </is>
      </c>
      <c r="I3" s="53" t="inlineStr">
        <is>
          <t>구분</t>
        </is>
      </c>
      <c r="J3" s="52" t="inlineStr">
        <is>
          <t>기능공
Code</t>
        </is>
      </c>
      <c r="K3" s="53" t="inlineStr">
        <is>
          <t>Code 명(한글)</t>
        </is>
      </c>
      <c r="M3" s="41" t="inlineStr">
        <is>
          <t>순번</t>
        </is>
      </c>
      <c r="N3" s="52" t="inlineStr">
        <is>
          <t>대분류 
Code</t>
        </is>
      </c>
      <c r="O3" s="53" t="inlineStr">
        <is>
          <t>대분류</t>
        </is>
      </c>
      <c r="P3" s="52" t="inlineStr">
        <is>
          <t>중분류
 code</t>
        </is>
      </c>
      <c r="Q3" s="53" t="inlineStr">
        <is>
          <t>중분류</t>
        </is>
      </c>
      <c r="R3" s="52" t="inlineStr">
        <is>
          <t>규격
 Code</t>
        </is>
      </c>
      <c r="S3" s="53" t="inlineStr">
        <is>
          <t>규격</t>
        </is>
      </c>
      <c r="T3" s="70" t="inlineStr">
        <is>
          <t>비고</t>
        </is>
      </c>
    </row>
    <row r="4" ht="15.75" customHeight="1" s="362">
      <c r="B4" s="60" t="n">
        <v>1</v>
      </c>
      <c r="C4" s="61" t="inlineStr">
        <is>
          <t>TE</t>
        </is>
      </c>
      <c r="D4" s="62" t="inlineStr">
        <is>
          <t>공통가설</t>
        </is>
      </c>
      <c r="G4" s="49" t="n">
        <v>1</v>
      </c>
      <c r="H4" s="50" t="inlineStr">
        <is>
          <t>Mm01</t>
        </is>
      </c>
      <c r="I4" s="51" t="inlineStr">
        <is>
          <t>관리자</t>
        </is>
      </c>
      <c r="J4" s="50" t="inlineStr">
        <is>
          <t>sk01</t>
        </is>
      </c>
      <c r="K4" s="65" t="inlineStr">
        <is>
          <t>BP소장</t>
        </is>
      </c>
      <c r="M4" s="49" t="n">
        <v>1</v>
      </c>
      <c r="N4" s="50" t="inlineStr">
        <is>
          <t>EX</t>
        </is>
      </c>
      <c r="O4" s="65" t="inlineStr">
        <is>
          <t>굴삭운반기계류</t>
        </is>
      </c>
      <c r="P4" s="50" t="inlineStr">
        <is>
          <t>BH</t>
        </is>
      </c>
      <c r="Q4" s="65" t="inlineStr">
        <is>
          <t>Back Hoe</t>
        </is>
      </c>
      <c r="R4" s="50" t="inlineStr">
        <is>
          <t>01</t>
        </is>
      </c>
      <c r="S4" s="65" t="inlineStr">
        <is>
          <t>2㎥ 미만</t>
        </is>
      </c>
      <c r="T4" s="49" t="n"/>
    </row>
    <row r="5" ht="15.75" customHeight="1" s="362">
      <c r="B5" s="58" t="n">
        <v>2</v>
      </c>
      <c r="C5" s="54" t="inlineStr">
        <is>
          <t>AR</t>
        </is>
      </c>
      <c r="D5" s="55" t="inlineStr">
        <is>
          <t>건축</t>
        </is>
      </c>
      <c r="G5" s="47" t="n">
        <v>2</v>
      </c>
      <c r="H5" s="42" t="inlineStr">
        <is>
          <t>Mm02</t>
        </is>
      </c>
      <c r="I5" s="43" t="inlineStr">
        <is>
          <t>관리자</t>
        </is>
      </c>
      <c r="J5" s="42" t="inlineStr">
        <is>
          <t>sk02</t>
        </is>
      </c>
      <c r="K5" s="66" t="inlineStr">
        <is>
          <t>공사관리자</t>
        </is>
      </c>
      <c r="M5" s="47" t="n">
        <v>2</v>
      </c>
      <c r="N5" s="42" t="inlineStr">
        <is>
          <t>EX</t>
        </is>
      </c>
      <c r="O5" s="66" t="inlineStr">
        <is>
          <t>굴삭운반기계류</t>
        </is>
      </c>
      <c r="P5" s="42" t="inlineStr">
        <is>
          <t>BH</t>
        </is>
      </c>
      <c r="Q5" s="66" t="inlineStr">
        <is>
          <t>Back Hoe</t>
        </is>
      </c>
      <c r="R5" s="42" t="inlineStr">
        <is>
          <t>02</t>
        </is>
      </c>
      <c r="S5" s="66" t="inlineStr">
        <is>
          <t xml:space="preserve">2㎥ 이상~5㎥ 미만 </t>
        </is>
      </c>
      <c r="T5" s="47" t="n"/>
    </row>
    <row r="6" ht="15.75" customHeight="1" s="362">
      <c r="B6" s="58" t="n">
        <v>3</v>
      </c>
      <c r="C6" s="54" t="inlineStr">
        <is>
          <t>CI</t>
        </is>
      </c>
      <c r="D6" s="55" t="inlineStr">
        <is>
          <t>토목</t>
        </is>
      </c>
      <c r="G6" s="47" t="n">
        <v>3</v>
      </c>
      <c r="H6" s="42" t="inlineStr">
        <is>
          <t>Mm03</t>
        </is>
      </c>
      <c r="I6" s="43" t="inlineStr">
        <is>
          <t>관리자</t>
        </is>
      </c>
      <c r="J6" s="42" t="inlineStr">
        <is>
          <t>sk03</t>
        </is>
      </c>
      <c r="K6" s="66" t="inlineStr">
        <is>
          <t>안전관리자</t>
        </is>
      </c>
      <c r="M6" s="47" t="n">
        <v>3</v>
      </c>
      <c r="N6" s="42" t="inlineStr">
        <is>
          <t>EX</t>
        </is>
      </c>
      <c r="O6" s="66" t="inlineStr">
        <is>
          <t>굴삭운반기계류</t>
        </is>
      </c>
      <c r="P6" s="42" t="inlineStr">
        <is>
          <t>BH</t>
        </is>
      </c>
      <c r="Q6" s="66" t="inlineStr">
        <is>
          <t>Back Hoe</t>
        </is>
      </c>
      <c r="R6" s="42" t="inlineStr">
        <is>
          <t>03</t>
        </is>
      </c>
      <c r="S6" s="66" t="inlineStr">
        <is>
          <t xml:space="preserve">5㎥ 이상 ~ 10㎥ 미만 </t>
        </is>
      </c>
      <c r="T6" s="47" t="n"/>
    </row>
    <row r="7" ht="15.75" customHeight="1" s="362">
      <c r="B7" s="58" t="n">
        <v>4</v>
      </c>
      <c r="C7" s="54" t="inlineStr">
        <is>
          <t>ME</t>
        </is>
      </c>
      <c r="D7" s="55" t="inlineStr">
        <is>
          <t>설비</t>
        </is>
      </c>
      <c r="G7" s="47" t="n">
        <v>4</v>
      </c>
      <c r="H7" s="42" t="inlineStr">
        <is>
          <t>Mm04</t>
        </is>
      </c>
      <c r="I7" s="43" t="inlineStr">
        <is>
          <t>관리자</t>
        </is>
      </c>
      <c r="J7" s="42" t="inlineStr">
        <is>
          <t>sk04</t>
        </is>
      </c>
      <c r="K7" s="66" t="inlineStr">
        <is>
          <t>품질관리자</t>
        </is>
      </c>
      <c r="M7" s="47" t="n">
        <v>4</v>
      </c>
      <c r="N7" s="42" t="inlineStr">
        <is>
          <t>EX</t>
        </is>
      </c>
      <c r="O7" s="66" t="inlineStr">
        <is>
          <t>굴삭운반기계류</t>
        </is>
      </c>
      <c r="P7" s="42" t="inlineStr">
        <is>
          <t>BH</t>
        </is>
      </c>
      <c r="Q7" s="66" t="inlineStr">
        <is>
          <t>Back Hoe</t>
        </is>
      </c>
      <c r="R7" s="42" t="inlineStr">
        <is>
          <t>04</t>
        </is>
      </c>
      <c r="S7" s="66" t="inlineStr">
        <is>
          <t>10㎥ 이상 ~ 20㎥ 미만</t>
        </is>
      </c>
      <c r="T7" s="47" t="n"/>
    </row>
    <row r="8" ht="15.75" customHeight="1" s="362">
      <c r="B8" s="58" t="n">
        <v>5</v>
      </c>
      <c r="C8" s="54" t="inlineStr">
        <is>
          <t>UT</t>
        </is>
      </c>
      <c r="D8" s="55" t="inlineStr">
        <is>
          <t>UT</t>
        </is>
      </c>
      <c r="G8" s="47" t="n">
        <v>5</v>
      </c>
      <c r="H8" s="42" t="inlineStr">
        <is>
          <t>Mm05</t>
        </is>
      </c>
      <c r="I8" s="43" t="inlineStr">
        <is>
          <t>관리자</t>
        </is>
      </c>
      <c r="J8" s="42" t="inlineStr">
        <is>
          <t>sk05</t>
        </is>
      </c>
      <c r="K8" s="66" t="inlineStr">
        <is>
          <t>일반관리자</t>
        </is>
      </c>
      <c r="M8" s="47" t="n">
        <v>5</v>
      </c>
      <c r="N8" s="42" t="inlineStr">
        <is>
          <t>EX</t>
        </is>
      </c>
      <c r="O8" s="66" t="inlineStr">
        <is>
          <t>굴삭운반기계류</t>
        </is>
      </c>
      <c r="P8" s="42" t="inlineStr">
        <is>
          <t>GS</t>
        </is>
      </c>
      <c r="Q8" s="66" t="inlineStr">
        <is>
          <t>굴삭기</t>
        </is>
      </c>
      <c r="R8" s="42" t="inlineStr">
        <is>
          <t>05</t>
        </is>
      </c>
      <c r="S8" s="66" t="inlineStr">
        <is>
          <t>U.H.D</t>
        </is>
      </c>
      <c r="T8" s="47" t="n"/>
    </row>
    <row r="9" ht="15.75" customHeight="1" s="362">
      <c r="B9" s="58" t="n">
        <v>6</v>
      </c>
      <c r="C9" s="54" t="inlineStr">
        <is>
          <t>EL</t>
        </is>
      </c>
      <c r="D9" s="55" t="inlineStr">
        <is>
          <t>전기</t>
        </is>
      </c>
      <c r="G9" s="47" t="n">
        <v>6</v>
      </c>
      <c r="H9" s="42" t="inlineStr">
        <is>
          <t>Wk01</t>
        </is>
      </c>
      <c r="I9" s="43" t="inlineStr">
        <is>
          <t>근로자</t>
        </is>
      </c>
      <c r="J9" s="42" t="inlineStr">
        <is>
          <t>sk06</t>
        </is>
      </c>
      <c r="K9" s="66" t="inlineStr">
        <is>
          <t>Shop설계</t>
        </is>
      </c>
      <c r="M9" s="47" t="n">
        <v>6</v>
      </c>
      <c r="N9" s="42" t="inlineStr">
        <is>
          <t>EX</t>
        </is>
      </c>
      <c r="O9" s="66" t="inlineStr">
        <is>
          <t>굴삭운반기계류</t>
        </is>
      </c>
      <c r="P9" s="42" t="inlineStr">
        <is>
          <t>GS</t>
        </is>
      </c>
      <c r="Q9" s="66" t="inlineStr">
        <is>
          <t>굴삭기</t>
        </is>
      </c>
      <c r="R9" s="42" t="inlineStr">
        <is>
          <t>06</t>
        </is>
      </c>
      <c r="S9" s="66" t="inlineStr">
        <is>
          <t>0.2LC 이하</t>
        </is>
      </c>
      <c r="T9" s="47" t="n"/>
    </row>
    <row r="10" ht="15.75" customHeight="1" s="362">
      <c r="B10" s="58" t="n">
        <v>7</v>
      </c>
      <c r="C10" s="54" t="inlineStr">
        <is>
          <t>IN</t>
        </is>
      </c>
      <c r="D10" s="55" t="inlineStr">
        <is>
          <t>제어</t>
        </is>
      </c>
      <c r="G10" s="47" t="n">
        <v>7</v>
      </c>
      <c r="H10" s="42" t="inlineStr">
        <is>
          <t>Wk02</t>
        </is>
      </c>
      <c r="I10" s="43" t="inlineStr">
        <is>
          <t>근로자</t>
        </is>
      </c>
      <c r="J10" s="42" t="inlineStr">
        <is>
          <t>sk07</t>
        </is>
      </c>
      <c r="K10" s="66" t="inlineStr">
        <is>
          <t>H/C 장비기사</t>
        </is>
      </c>
      <c r="M10" s="47" t="n">
        <v>7</v>
      </c>
      <c r="N10" s="42" t="inlineStr">
        <is>
          <t>EX</t>
        </is>
      </c>
      <c r="O10" s="66" t="inlineStr">
        <is>
          <t>굴삭운반기계류</t>
        </is>
      </c>
      <c r="P10" s="42" t="inlineStr">
        <is>
          <t>GS</t>
        </is>
      </c>
      <c r="Q10" s="66" t="inlineStr">
        <is>
          <t>굴삭기</t>
        </is>
      </c>
      <c r="R10" s="42" t="inlineStr">
        <is>
          <t>07</t>
        </is>
      </c>
      <c r="S10" s="66" t="inlineStr">
        <is>
          <t>3LC</t>
        </is>
      </c>
      <c r="T10" s="47" t="n"/>
    </row>
    <row r="11" ht="15.75" customHeight="1" s="362">
      <c r="B11" s="58" t="n">
        <v>8</v>
      </c>
      <c r="C11" s="54" t="inlineStr">
        <is>
          <t>FF</t>
        </is>
      </c>
      <c r="D11" s="55" t="inlineStr">
        <is>
          <t>소방</t>
        </is>
      </c>
      <c r="G11" s="47" t="n">
        <v>8</v>
      </c>
      <c r="H11" s="42" t="inlineStr">
        <is>
          <t>Wk03</t>
        </is>
      </c>
      <c r="I11" s="43" t="inlineStr">
        <is>
          <t>근로자</t>
        </is>
      </c>
      <c r="J11" s="42" t="inlineStr">
        <is>
          <t>sk08</t>
        </is>
      </c>
      <c r="K11" s="66" t="inlineStr">
        <is>
          <t>T/C 장비기사</t>
        </is>
      </c>
      <c r="M11" s="47" t="n">
        <v>8</v>
      </c>
      <c r="N11" s="42" t="inlineStr">
        <is>
          <t>EX</t>
        </is>
      </c>
      <c r="O11" s="66" t="inlineStr">
        <is>
          <t>굴삭운반기계류</t>
        </is>
      </c>
      <c r="P11" s="42" t="inlineStr">
        <is>
          <t>GS</t>
        </is>
      </c>
      <c r="Q11" s="66" t="inlineStr">
        <is>
          <t>굴삭기</t>
        </is>
      </c>
      <c r="R11" s="42" t="inlineStr">
        <is>
          <t>08</t>
        </is>
      </c>
      <c r="S11" s="66" t="inlineStr">
        <is>
          <t>6LC</t>
        </is>
      </c>
      <c r="T11" s="47" t="n"/>
    </row>
    <row r="12" ht="15.75" customHeight="1" s="362">
      <c r="B12" s="59" t="n">
        <v>9</v>
      </c>
      <c r="C12" s="56" t="inlineStr">
        <is>
          <t>SA</t>
        </is>
      </c>
      <c r="D12" s="57" t="inlineStr">
        <is>
          <t>안전</t>
        </is>
      </c>
      <c r="G12" s="47" t="n">
        <v>9</v>
      </c>
      <c r="H12" s="42" t="inlineStr">
        <is>
          <t>Wk04</t>
        </is>
      </c>
      <c r="I12" s="43" t="inlineStr">
        <is>
          <t>근로자</t>
        </is>
      </c>
      <c r="J12" s="42" t="inlineStr">
        <is>
          <t>sk09</t>
        </is>
      </c>
      <c r="K12" s="66" t="inlineStr">
        <is>
          <t>T/C 정비기사</t>
        </is>
      </c>
      <c r="M12" s="47" t="n">
        <v>9</v>
      </c>
      <c r="N12" s="42" t="inlineStr">
        <is>
          <t>EX</t>
        </is>
      </c>
      <c r="O12" s="66" t="inlineStr">
        <is>
          <t>굴삭운반기계류</t>
        </is>
      </c>
      <c r="P12" s="42" t="inlineStr">
        <is>
          <t>GS</t>
        </is>
      </c>
      <c r="Q12" s="66" t="inlineStr">
        <is>
          <t>굴삭기</t>
        </is>
      </c>
      <c r="R12" s="42" t="inlineStr">
        <is>
          <t>09</t>
        </is>
      </c>
      <c r="S12" s="66" t="inlineStr">
        <is>
          <t>8LC</t>
        </is>
      </c>
      <c r="T12" s="47" t="n"/>
    </row>
    <row r="13">
      <c r="G13" s="47" t="n">
        <v>10</v>
      </c>
      <c r="H13" s="44" t="inlineStr">
        <is>
          <t>Wk05</t>
        </is>
      </c>
      <c r="I13" s="43" t="inlineStr">
        <is>
          <t>근로자</t>
        </is>
      </c>
      <c r="J13" s="44" t="inlineStr">
        <is>
          <t>sk10</t>
        </is>
      </c>
      <c r="K13" s="66" t="inlineStr">
        <is>
          <t>스카이 장비기사</t>
        </is>
      </c>
      <c r="M13" s="47" t="n">
        <v>10</v>
      </c>
      <c r="N13" s="44" t="inlineStr">
        <is>
          <t>SK</t>
        </is>
      </c>
      <c r="O13" s="66" t="inlineStr">
        <is>
          <t>고소작업장치류</t>
        </is>
      </c>
      <c r="P13" s="44" t="inlineStr">
        <is>
          <t>SW</t>
        </is>
      </c>
      <c r="Q13" s="66" t="inlineStr">
        <is>
          <t>고소작업대</t>
        </is>
      </c>
      <c r="R13" s="44" t="inlineStr">
        <is>
          <t>10</t>
        </is>
      </c>
      <c r="S13" s="66" t="inlineStr">
        <is>
          <t>굴절형 15M 이하</t>
        </is>
      </c>
      <c r="T13" s="47" t="n"/>
    </row>
    <row r="14">
      <c r="G14" s="47" t="n">
        <v>11</v>
      </c>
      <c r="H14" s="44" t="inlineStr">
        <is>
          <t>Wk06</t>
        </is>
      </c>
      <c r="I14" s="43" t="inlineStr">
        <is>
          <t>근로자</t>
        </is>
      </c>
      <c r="J14" s="44" t="inlineStr">
        <is>
          <t>sk11</t>
        </is>
      </c>
      <c r="K14" s="66" t="inlineStr">
        <is>
          <t>지게차 장비기사</t>
        </is>
      </c>
      <c r="M14" s="47" t="n">
        <v>11</v>
      </c>
      <c r="N14" s="44" t="inlineStr">
        <is>
          <t>SK</t>
        </is>
      </c>
      <c r="O14" s="66" t="inlineStr">
        <is>
          <t>고소작업장치류</t>
        </is>
      </c>
      <c r="P14" s="44" t="inlineStr">
        <is>
          <t>SW</t>
        </is>
      </c>
      <c r="Q14" s="66" t="inlineStr">
        <is>
          <t>고소작업대</t>
        </is>
      </c>
      <c r="R14" s="44" t="inlineStr">
        <is>
          <t>11</t>
        </is>
      </c>
      <c r="S14" s="66" t="inlineStr">
        <is>
          <t>굴절형 15M 이상</t>
        </is>
      </c>
      <c r="T14" s="47" t="n"/>
    </row>
    <row r="15">
      <c r="G15" s="47" t="n">
        <v>12</v>
      </c>
      <c r="H15" s="44" t="inlineStr">
        <is>
          <t>Wk07</t>
        </is>
      </c>
      <c r="I15" s="43" t="inlineStr">
        <is>
          <t>근로자</t>
        </is>
      </c>
      <c r="J15" s="44" t="inlineStr">
        <is>
          <t>sk12</t>
        </is>
      </c>
      <c r="K15" s="66" t="inlineStr">
        <is>
          <t>펌프카 장비기사</t>
        </is>
      </c>
      <c r="M15" s="47" t="n">
        <v>12</v>
      </c>
      <c r="N15" s="44" t="inlineStr">
        <is>
          <t>SK</t>
        </is>
      </c>
      <c r="O15" s="66" t="inlineStr">
        <is>
          <t>고소작업장치류</t>
        </is>
      </c>
      <c r="P15" s="44" t="inlineStr">
        <is>
          <t>SW</t>
        </is>
      </c>
      <c r="Q15" s="66" t="inlineStr">
        <is>
          <t>고소작업대</t>
        </is>
      </c>
      <c r="R15" s="44" t="inlineStr">
        <is>
          <t>12</t>
        </is>
      </c>
      <c r="S15" s="66" t="inlineStr">
        <is>
          <t>수직형 7M 이하</t>
        </is>
      </c>
      <c r="T15" s="47" t="n"/>
    </row>
    <row r="16">
      <c r="G16" s="47" t="n">
        <v>13</v>
      </c>
      <c r="H16" s="44" t="inlineStr">
        <is>
          <t>Wk08</t>
        </is>
      </c>
      <c r="I16" s="43" t="inlineStr">
        <is>
          <t>근로자</t>
        </is>
      </c>
      <c r="J16" s="44" t="inlineStr">
        <is>
          <t>sk13</t>
        </is>
      </c>
      <c r="K16" s="66" t="inlineStr">
        <is>
          <t>기타 장비기사</t>
        </is>
      </c>
      <c r="M16" s="47" t="n">
        <v>13</v>
      </c>
      <c r="N16" s="44" t="inlineStr">
        <is>
          <t>SK</t>
        </is>
      </c>
      <c r="O16" s="66" t="inlineStr">
        <is>
          <t>고소작업장치류</t>
        </is>
      </c>
      <c r="P16" s="44" t="inlineStr">
        <is>
          <t>SW</t>
        </is>
      </c>
      <c r="Q16" s="66" t="inlineStr">
        <is>
          <t>고소작업대</t>
        </is>
      </c>
      <c r="R16" s="44" t="inlineStr">
        <is>
          <t>13</t>
        </is>
      </c>
      <c r="S16" s="66" t="inlineStr">
        <is>
          <t>수직형 7M ~ 12M</t>
        </is>
      </c>
      <c r="T16" s="47" t="n"/>
    </row>
    <row r="17">
      <c r="G17" s="47" t="n">
        <v>14</v>
      </c>
      <c r="H17" s="44" t="inlineStr">
        <is>
          <t>Wk09</t>
        </is>
      </c>
      <c r="I17" s="43" t="inlineStr">
        <is>
          <t>근로자</t>
        </is>
      </c>
      <c r="J17" s="44" t="inlineStr">
        <is>
          <t>sk14</t>
        </is>
      </c>
      <c r="K17" s="66" t="inlineStr">
        <is>
          <t>PC조립공</t>
        </is>
      </c>
      <c r="M17" s="47" t="n">
        <v>14</v>
      </c>
      <c r="N17" s="44" t="inlineStr">
        <is>
          <t>SK</t>
        </is>
      </c>
      <c r="O17" s="66" t="inlineStr">
        <is>
          <t>고소작업장치류</t>
        </is>
      </c>
      <c r="P17" s="44" t="inlineStr">
        <is>
          <t>SW</t>
        </is>
      </c>
      <c r="Q17" s="66" t="inlineStr">
        <is>
          <t>고소작업대</t>
        </is>
      </c>
      <c r="R17" s="44" t="inlineStr">
        <is>
          <t>14</t>
        </is>
      </c>
      <c r="S17" s="66" t="inlineStr">
        <is>
          <t>수직형 12M이상</t>
        </is>
      </c>
      <c r="T17" s="47" t="n"/>
    </row>
    <row r="18">
      <c r="G18" s="47" t="n">
        <v>15</v>
      </c>
      <c r="H18" s="44" t="inlineStr">
        <is>
          <t>Wk10</t>
        </is>
      </c>
      <c r="I18" s="43" t="inlineStr">
        <is>
          <t>근로자</t>
        </is>
      </c>
      <c r="J18" s="44" t="inlineStr">
        <is>
          <t>sk15</t>
        </is>
      </c>
      <c r="K18" s="66" t="inlineStr">
        <is>
          <t>PC후속공</t>
        </is>
      </c>
      <c r="M18" s="47" t="n">
        <v>15</v>
      </c>
      <c r="N18" s="44" t="inlineStr">
        <is>
          <t>CL</t>
        </is>
      </c>
      <c r="O18" s="66" t="inlineStr">
        <is>
          <t>크레인류</t>
        </is>
      </c>
      <c r="P18" s="44" t="inlineStr">
        <is>
          <t>CA</t>
        </is>
      </c>
      <c r="Q18" s="66" t="inlineStr">
        <is>
          <t>Crane</t>
        </is>
      </c>
      <c r="R18" s="44" t="inlineStr">
        <is>
          <t>15</t>
        </is>
      </c>
      <c r="S18" s="66" t="inlineStr">
        <is>
          <t>30 Ton 이하</t>
        </is>
      </c>
      <c r="T18" s="47" t="n"/>
    </row>
    <row r="19">
      <c r="G19" s="47" t="n">
        <v>16</v>
      </c>
      <c r="H19" s="44" t="inlineStr">
        <is>
          <t>Wk11</t>
        </is>
      </c>
      <c r="I19" s="43" t="inlineStr">
        <is>
          <t>근로자</t>
        </is>
      </c>
      <c r="J19" s="44" t="inlineStr">
        <is>
          <t>sk16</t>
        </is>
      </c>
      <c r="K19" s="66" t="inlineStr">
        <is>
          <t>가설펜스</t>
        </is>
      </c>
      <c r="M19" s="47" t="n">
        <v>16</v>
      </c>
      <c r="N19" s="44" t="inlineStr">
        <is>
          <t>CL</t>
        </is>
      </c>
      <c r="O19" s="66" t="inlineStr">
        <is>
          <t>크레인류</t>
        </is>
      </c>
      <c r="P19" s="44" t="inlineStr">
        <is>
          <t>CA</t>
        </is>
      </c>
      <c r="Q19" s="66" t="inlineStr">
        <is>
          <t>Crane</t>
        </is>
      </c>
      <c r="R19" s="44" t="inlineStr">
        <is>
          <t>16</t>
        </is>
      </c>
      <c r="S19" s="66" t="inlineStr">
        <is>
          <t>30 Ton &gt; 70 Ton</t>
        </is>
      </c>
      <c r="T19" s="47" t="n"/>
    </row>
    <row r="20">
      <c r="G20" s="47" t="n">
        <v>17</v>
      </c>
      <c r="H20" s="44" t="inlineStr">
        <is>
          <t>Wk12</t>
        </is>
      </c>
      <c r="I20" s="43" t="inlineStr">
        <is>
          <t>근로자</t>
        </is>
      </c>
      <c r="J20" s="44" t="inlineStr">
        <is>
          <t>sk17</t>
        </is>
      </c>
      <c r="K20" s="66" t="inlineStr">
        <is>
          <t>견출공</t>
        </is>
      </c>
      <c r="M20" s="47" t="n">
        <v>17</v>
      </c>
      <c r="N20" s="44" t="inlineStr">
        <is>
          <t>CL</t>
        </is>
      </c>
      <c r="O20" s="66" t="inlineStr">
        <is>
          <t>크레인류</t>
        </is>
      </c>
      <c r="P20" s="44" t="inlineStr">
        <is>
          <t>CA</t>
        </is>
      </c>
      <c r="Q20" s="66" t="inlineStr">
        <is>
          <t>Crane</t>
        </is>
      </c>
      <c r="R20" s="44" t="inlineStr">
        <is>
          <t>17</t>
        </is>
      </c>
      <c r="S20" s="66" t="inlineStr">
        <is>
          <t>70 Ton &gt; 100 Ton</t>
        </is>
      </c>
      <c r="T20" s="47" t="n"/>
    </row>
    <row r="21">
      <c r="G21" s="47" t="n">
        <v>18</v>
      </c>
      <c r="H21" s="44" t="inlineStr">
        <is>
          <t>Wk13</t>
        </is>
      </c>
      <c r="I21" s="43" t="inlineStr">
        <is>
          <t>근로자</t>
        </is>
      </c>
      <c r="J21" s="44" t="inlineStr">
        <is>
          <t>sk18</t>
        </is>
      </c>
      <c r="K21" s="66" t="inlineStr">
        <is>
          <t>계장공</t>
        </is>
      </c>
      <c r="M21" s="47" t="n">
        <v>18</v>
      </c>
      <c r="N21" s="44" t="inlineStr">
        <is>
          <t>CL</t>
        </is>
      </c>
      <c r="O21" s="66" t="inlineStr">
        <is>
          <t>크레인류</t>
        </is>
      </c>
      <c r="P21" s="44" t="inlineStr">
        <is>
          <t>CA</t>
        </is>
      </c>
      <c r="Q21" s="66" t="inlineStr">
        <is>
          <t>Crane</t>
        </is>
      </c>
      <c r="R21" s="44" t="inlineStr">
        <is>
          <t>18</t>
        </is>
      </c>
      <c r="S21" s="66" t="inlineStr">
        <is>
          <t>100 Ton &gt; 200 Ton</t>
        </is>
      </c>
      <c r="T21" s="47" t="n"/>
    </row>
    <row r="22">
      <c r="G22" s="47" t="n">
        <v>19</v>
      </c>
      <c r="H22" s="44" t="inlineStr">
        <is>
          <t>Wk14</t>
        </is>
      </c>
      <c r="I22" s="43" t="inlineStr">
        <is>
          <t>근로자</t>
        </is>
      </c>
      <c r="J22" s="44" t="inlineStr">
        <is>
          <t>sk19</t>
        </is>
      </c>
      <c r="K22" s="66" t="inlineStr">
        <is>
          <t>관로공</t>
        </is>
      </c>
      <c r="M22" s="47" t="n">
        <v>19</v>
      </c>
      <c r="N22" s="44" t="inlineStr">
        <is>
          <t>CL</t>
        </is>
      </c>
      <c r="O22" s="66" t="inlineStr">
        <is>
          <t>크레인류</t>
        </is>
      </c>
      <c r="P22" s="44" t="inlineStr">
        <is>
          <t>CA</t>
        </is>
      </c>
      <c r="Q22" s="66" t="inlineStr">
        <is>
          <t>Crane</t>
        </is>
      </c>
      <c r="R22" s="44" t="inlineStr">
        <is>
          <t>19</t>
        </is>
      </c>
      <c r="S22" s="66" t="inlineStr">
        <is>
          <t>200 Ton &gt; 300 Ton</t>
        </is>
      </c>
      <c r="T22" s="47" t="n"/>
    </row>
    <row r="23">
      <c r="G23" s="47" t="n">
        <v>20</v>
      </c>
      <c r="H23" s="44" t="inlineStr">
        <is>
          <t>Wk15</t>
        </is>
      </c>
      <c r="I23" s="43" t="inlineStr">
        <is>
          <t>근로자</t>
        </is>
      </c>
      <c r="J23" s="44" t="inlineStr">
        <is>
          <t>sk20</t>
        </is>
      </c>
      <c r="K23" s="66" t="inlineStr">
        <is>
          <t>교통통제</t>
        </is>
      </c>
      <c r="M23" s="47" t="n">
        <v>20</v>
      </c>
      <c r="N23" s="44" t="inlineStr">
        <is>
          <t>CL</t>
        </is>
      </c>
      <c r="O23" s="66" t="inlineStr">
        <is>
          <t>크레인류</t>
        </is>
      </c>
      <c r="P23" s="44" t="inlineStr">
        <is>
          <t>CA</t>
        </is>
      </c>
      <c r="Q23" s="66" t="inlineStr">
        <is>
          <t>Crane</t>
        </is>
      </c>
      <c r="R23" s="44" t="inlineStr">
        <is>
          <t>20</t>
        </is>
      </c>
      <c r="S23" s="66" t="inlineStr">
        <is>
          <t>300 Ton 초과</t>
        </is>
      </c>
      <c r="T23" s="47" t="n"/>
    </row>
    <row r="24">
      <c r="G24" s="47" t="n">
        <v>21</v>
      </c>
      <c r="H24" s="44" t="inlineStr">
        <is>
          <t>Wk16</t>
        </is>
      </c>
      <c r="I24" s="43" t="inlineStr">
        <is>
          <t>근로자</t>
        </is>
      </c>
      <c r="J24" s="44" t="inlineStr">
        <is>
          <t>sk21</t>
        </is>
      </c>
      <c r="K24" s="66" t="inlineStr">
        <is>
          <t>기계 납품 설치</t>
        </is>
      </c>
      <c r="M24" s="47" t="n">
        <v>21</v>
      </c>
      <c r="N24" s="44" t="inlineStr">
        <is>
          <t>CL</t>
        </is>
      </c>
      <c r="O24" s="66" t="inlineStr">
        <is>
          <t>크레인류</t>
        </is>
      </c>
      <c r="P24" s="44" t="inlineStr">
        <is>
          <t>TC</t>
        </is>
      </c>
      <c r="Q24" s="66" t="inlineStr">
        <is>
          <t>Tower Crane</t>
        </is>
      </c>
      <c r="R24" s="44" t="inlineStr">
        <is>
          <t>21</t>
        </is>
      </c>
      <c r="S24" s="66" t="inlineStr">
        <is>
          <t>Tower Crane</t>
        </is>
      </c>
      <c r="T24" s="47" t="n"/>
    </row>
    <row r="25">
      <c r="G25" s="47" t="n">
        <v>22</v>
      </c>
      <c r="H25" s="44" t="inlineStr">
        <is>
          <t>Wk17</t>
        </is>
      </c>
      <c r="I25" s="43" t="inlineStr">
        <is>
          <t>근로자</t>
        </is>
      </c>
      <c r="J25" s="44" t="inlineStr">
        <is>
          <t>sk22</t>
        </is>
      </c>
      <c r="K25" s="66" t="inlineStr">
        <is>
          <t>덕트공</t>
        </is>
      </c>
      <c r="M25" s="47" t="n">
        <v>22</v>
      </c>
      <c r="N25" s="44" t="inlineStr">
        <is>
          <t>TM</t>
        </is>
      </c>
      <c r="O25" s="66" t="inlineStr">
        <is>
          <t>운반기계류</t>
        </is>
      </c>
      <c r="P25" s="44" t="inlineStr">
        <is>
          <t>FL</t>
        </is>
      </c>
      <c r="Q25" s="66" t="inlineStr">
        <is>
          <t>지게차</t>
        </is>
      </c>
      <c r="R25" s="44" t="inlineStr">
        <is>
          <t>22</t>
        </is>
      </c>
      <c r="S25" s="66" t="n"/>
      <c r="T25" s="47" t="n"/>
    </row>
    <row r="26">
      <c r="G26" s="47" t="n">
        <v>23</v>
      </c>
      <c r="H26" s="44" t="inlineStr">
        <is>
          <t>Wk18</t>
        </is>
      </c>
      <c r="I26" s="43" t="inlineStr">
        <is>
          <t>근로자</t>
        </is>
      </c>
      <c r="J26" s="44" t="inlineStr">
        <is>
          <t>sk23</t>
        </is>
      </c>
      <c r="K26" s="66" t="inlineStr">
        <is>
          <t>데크공</t>
        </is>
      </c>
      <c r="M26" s="47" t="n">
        <v>23</v>
      </c>
      <c r="N26" s="44" t="inlineStr">
        <is>
          <t>TM</t>
        </is>
      </c>
      <c r="O26" s="66" t="inlineStr">
        <is>
          <t>운반기계류</t>
        </is>
      </c>
      <c r="P26" s="44" t="inlineStr">
        <is>
          <t>FR</t>
        </is>
      </c>
      <c r="Q26" s="66" t="inlineStr">
        <is>
          <t>전동지게차</t>
        </is>
      </c>
      <c r="R26" s="44" t="inlineStr">
        <is>
          <t>23</t>
        </is>
      </c>
      <c r="S26" s="66" t="n"/>
      <c r="T26" s="47" t="n"/>
    </row>
    <row r="27">
      <c r="G27" s="47" t="n">
        <v>24</v>
      </c>
      <c r="H27" s="44" t="inlineStr">
        <is>
          <t>Wk19</t>
        </is>
      </c>
      <c r="I27" s="43" t="inlineStr">
        <is>
          <t>근로자</t>
        </is>
      </c>
      <c r="J27" s="44" t="inlineStr">
        <is>
          <t>sk24</t>
        </is>
      </c>
      <c r="K27" s="66" t="inlineStr">
        <is>
          <t>도장공</t>
        </is>
      </c>
      <c r="M27" s="47" t="n">
        <v>24</v>
      </c>
      <c r="N27" s="44" t="inlineStr">
        <is>
          <t>TM</t>
        </is>
      </c>
      <c r="O27" s="66" t="inlineStr">
        <is>
          <t>운반기계류</t>
        </is>
      </c>
      <c r="P27" s="44" t="inlineStr">
        <is>
          <t>CA</t>
        </is>
      </c>
      <c r="Q27" s="66" t="inlineStr">
        <is>
          <t>집게차</t>
        </is>
      </c>
      <c r="R27" s="44" t="inlineStr">
        <is>
          <t>24</t>
        </is>
      </c>
      <c r="S27" s="66" t="n"/>
      <c r="T27" s="47" t="n"/>
    </row>
    <row r="28">
      <c r="G28" s="47" t="n">
        <v>25</v>
      </c>
      <c r="H28" s="44" t="inlineStr">
        <is>
          <t>Wk20</t>
        </is>
      </c>
      <c r="I28" s="43" t="inlineStr">
        <is>
          <t>근로자</t>
        </is>
      </c>
      <c r="J28" s="44" t="inlineStr">
        <is>
          <t>sk25</t>
        </is>
      </c>
      <c r="K28" s="66" t="inlineStr">
        <is>
          <t>미장공</t>
        </is>
      </c>
      <c r="M28" s="47" t="n">
        <v>25</v>
      </c>
      <c r="N28" s="44" t="inlineStr">
        <is>
          <t>TM</t>
        </is>
      </c>
      <c r="O28" s="66" t="inlineStr">
        <is>
          <t>운반기계류</t>
        </is>
      </c>
      <c r="P28" s="44" t="inlineStr">
        <is>
          <t>CA</t>
        </is>
      </c>
      <c r="Q28" s="66" t="inlineStr">
        <is>
          <t>집게차</t>
        </is>
      </c>
      <c r="R28" s="44" t="inlineStr">
        <is>
          <t>25</t>
        </is>
      </c>
      <c r="S28" s="66" t="inlineStr">
        <is>
          <t>35㎥</t>
        </is>
      </c>
      <c r="T28" s="47" t="n"/>
    </row>
    <row r="29">
      <c r="G29" s="47" t="n">
        <v>26</v>
      </c>
      <c r="H29" s="44" t="inlineStr">
        <is>
          <t>Wk21</t>
        </is>
      </c>
      <c r="I29" s="43" t="inlineStr">
        <is>
          <t>근로자</t>
        </is>
      </c>
      <c r="J29" s="44" t="inlineStr">
        <is>
          <t>sk26</t>
        </is>
      </c>
      <c r="K29" s="66" t="inlineStr">
        <is>
          <t>방수공</t>
        </is>
      </c>
      <c r="M29" s="47" t="n">
        <v>26</v>
      </c>
      <c r="N29" s="44" t="inlineStr">
        <is>
          <t>TM</t>
        </is>
      </c>
      <c r="O29" s="66" t="inlineStr">
        <is>
          <t>운반기계류</t>
        </is>
      </c>
      <c r="P29" s="44" t="inlineStr">
        <is>
          <t>DT</t>
        </is>
      </c>
      <c r="Q29" s="66" t="inlineStr">
        <is>
          <t>덤프트럭</t>
        </is>
      </c>
      <c r="R29" s="44" t="inlineStr">
        <is>
          <t>26</t>
        </is>
      </c>
      <c r="S29" s="66" t="inlineStr">
        <is>
          <t>15 Ton</t>
        </is>
      </c>
      <c r="T29" s="47" t="n"/>
    </row>
    <row r="30">
      <c r="G30" s="47" t="n">
        <v>27</v>
      </c>
      <c r="H30" s="44" t="inlineStr">
        <is>
          <t>Wk22</t>
        </is>
      </c>
      <c r="I30" s="43" t="inlineStr">
        <is>
          <t>근로자</t>
        </is>
      </c>
      <c r="J30" s="44" t="inlineStr">
        <is>
          <t>sk27</t>
        </is>
      </c>
      <c r="K30" s="66" t="inlineStr">
        <is>
          <t>배관공</t>
        </is>
      </c>
      <c r="M30" s="47" t="n">
        <v>27</v>
      </c>
      <c r="N30" s="44" t="inlineStr">
        <is>
          <t>TM</t>
        </is>
      </c>
      <c r="O30" s="66" t="inlineStr">
        <is>
          <t>운반기계류</t>
        </is>
      </c>
      <c r="P30" s="44" t="inlineStr">
        <is>
          <t>DT</t>
        </is>
      </c>
      <c r="Q30" s="66" t="inlineStr">
        <is>
          <t>덤프트럭</t>
        </is>
      </c>
      <c r="R30" s="44" t="inlineStr">
        <is>
          <t>27</t>
        </is>
      </c>
      <c r="S30" s="66" t="inlineStr">
        <is>
          <t>25 Ton</t>
        </is>
      </c>
      <c r="T30" s="47" t="n"/>
    </row>
    <row r="31">
      <c r="G31" s="47" t="n">
        <v>28</v>
      </c>
      <c r="H31" s="44" t="inlineStr">
        <is>
          <t>Wk23</t>
        </is>
      </c>
      <c r="I31" s="43" t="inlineStr">
        <is>
          <t>근로자</t>
        </is>
      </c>
      <c r="J31" s="44" t="inlineStr">
        <is>
          <t>sk28</t>
        </is>
      </c>
      <c r="K31" s="66" t="inlineStr">
        <is>
          <t>보온공</t>
        </is>
      </c>
      <c r="M31" s="47" t="n">
        <v>28</v>
      </c>
      <c r="N31" s="44" t="inlineStr">
        <is>
          <t>TM</t>
        </is>
      </c>
      <c r="O31" s="66" t="inlineStr">
        <is>
          <t>운반기계류</t>
        </is>
      </c>
      <c r="P31" s="44" t="inlineStr">
        <is>
          <t>AT</t>
        </is>
      </c>
      <c r="Q31" s="66" t="inlineStr">
        <is>
          <t>암롤트럭</t>
        </is>
      </c>
      <c r="R31" s="44" t="inlineStr">
        <is>
          <t>28</t>
        </is>
      </c>
      <c r="S31" s="66" t="inlineStr">
        <is>
          <t>24㎥</t>
        </is>
      </c>
      <c r="T31" s="47" t="n"/>
    </row>
    <row r="32">
      <c r="G32" s="47" t="n">
        <v>29</v>
      </c>
      <c r="H32" s="44" t="inlineStr">
        <is>
          <t>Wk24</t>
        </is>
      </c>
      <c r="I32" s="43" t="inlineStr">
        <is>
          <t>근로자</t>
        </is>
      </c>
      <c r="J32" s="44" t="inlineStr">
        <is>
          <t>sk29</t>
        </is>
      </c>
      <c r="K32" s="66" t="inlineStr">
        <is>
          <t>비계공</t>
        </is>
      </c>
      <c r="M32" s="47" t="n">
        <v>29</v>
      </c>
      <c r="N32" s="44" t="inlineStr">
        <is>
          <t>TM</t>
        </is>
      </c>
      <c r="O32" s="66" t="inlineStr">
        <is>
          <t>운반기계류</t>
        </is>
      </c>
      <c r="P32" s="44" t="inlineStr">
        <is>
          <t>AT</t>
        </is>
      </c>
      <c r="Q32" s="66" t="inlineStr">
        <is>
          <t>암롤트럭</t>
        </is>
      </c>
      <c r="R32" s="44" t="inlineStr">
        <is>
          <t>29</t>
        </is>
      </c>
      <c r="S32" s="66" t="inlineStr">
        <is>
          <t>35㎥</t>
        </is>
      </c>
      <c r="T32" s="47" t="n"/>
    </row>
    <row r="33">
      <c r="G33" s="47" t="n">
        <v>30</v>
      </c>
      <c r="H33" s="44" t="inlineStr">
        <is>
          <t>Wk25</t>
        </is>
      </c>
      <c r="I33" s="43" t="inlineStr">
        <is>
          <t>근로자</t>
        </is>
      </c>
      <c r="J33" s="44" t="inlineStr">
        <is>
          <t>sk30</t>
        </is>
      </c>
      <c r="K33" s="66" t="inlineStr">
        <is>
          <t>수장공</t>
        </is>
      </c>
      <c r="M33" s="47" t="n">
        <v>30</v>
      </c>
      <c r="N33" s="44" t="inlineStr">
        <is>
          <t>TM</t>
        </is>
      </c>
      <c r="O33" s="66" t="inlineStr">
        <is>
          <t>운반기계류</t>
        </is>
      </c>
      <c r="P33" s="44" t="inlineStr">
        <is>
          <t>AT</t>
        </is>
      </c>
      <c r="Q33" s="66" t="inlineStr">
        <is>
          <t>암롤트럭</t>
        </is>
      </c>
      <c r="R33" s="44" t="inlineStr">
        <is>
          <t>30</t>
        </is>
      </c>
      <c r="S33" s="66" t="inlineStr">
        <is>
          <t>50㎥</t>
        </is>
      </c>
      <c r="T33" s="47" t="n"/>
    </row>
    <row r="34">
      <c r="G34" s="47" t="n">
        <v>31</v>
      </c>
      <c r="H34" s="44" t="inlineStr">
        <is>
          <t>Wk26</t>
        </is>
      </c>
      <c r="I34" s="43" t="inlineStr">
        <is>
          <t>근로자</t>
        </is>
      </c>
      <c r="J34" s="44" t="inlineStr">
        <is>
          <t>sk31</t>
        </is>
      </c>
      <c r="K34" s="66" t="inlineStr">
        <is>
          <t>승강기 설치공</t>
        </is>
      </c>
      <c r="M34" s="47" t="n">
        <v>31</v>
      </c>
      <c r="N34" s="44" t="inlineStr">
        <is>
          <t>TM</t>
        </is>
      </c>
      <c r="O34" s="66" t="inlineStr">
        <is>
          <t>운반기계류</t>
        </is>
      </c>
      <c r="P34" s="44" t="inlineStr">
        <is>
          <t>HL</t>
        </is>
      </c>
      <c r="Q34" s="66" t="inlineStr">
        <is>
          <t>하이렌더</t>
        </is>
      </c>
      <c r="R34" s="44" t="inlineStr">
        <is>
          <t>31</t>
        </is>
      </c>
      <c r="S34" s="66" t="n"/>
      <c r="T34" s="47" t="n"/>
    </row>
    <row r="35">
      <c r="G35" s="47" t="n">
        <v>32</v>
      </c>
      <c r="H35" s="44" t="inlineStr">
        <is>
          <t>Wk27</t>
        </is>
      </c>
      <c r="I35" s="43" t="inlineStr">
        <is>
          <t>근로자</t>
        </is>
      </c>
      <c r="J35" s="44" t="inlineStr">
        <is>
          <t>sk32</t>
        </is>
      </c>
      <c r="K35" s="66" t="inlineStr">
        <is>
          <t>신호수</t>
        </is>
      </c>
      <c r="M35" s="47" t="n">
        <v>32</v>
      </c>
      <c r="N35" s="44" t="inlineStr">
        <is>
          <t>TM</t>
        </is>
      </c>
      <c r="O35" s="66" t="inlineStr">
        <is>
          <t>운반기계류</t>
        </is>
      </c>
      <c r="P35" s="44" t="inlineStr">
        <is>
          <t>PL</t>
        </is>
      </c>
      <c r="Q35" s="66" t="inlineStr">
        <is>
          <t>페이로더</t>
        </is>
      </c>
      <c r="R35" s="44" t="inlineStr">
        <is>
          <t>32</t>
        </is>
      </c>
      <c r="S35" s="66" t="inlineStr">
        <is>
          <t>4.2㎥</t>
        </is>
      </c>
      <c r="T35" s="47" t="n"/>
    </row>
    <row r="36">
      <c r="G36" s="47" t="n">
        <v>33</v>
      </c>
      <c r="H36" s="44" t="inlineStr">
        <is>
          <t>Wk28</t>
        </is>
      </c>
      <c r="I36" s="43" t="inlineStr">
        <is>
          <t>근로자</t>
        </is>
      </c>
      <c r="J36" s="44" t="inlineStr">
        <is>
          <t>sk33</t>
        </is>
      </c>
      <c r="K36" s="66" t="inlineStr">
        <is>
          <t>안전감시단</t>
        </is>
      </c>
      <c r="M36" s="47" t="n">
        <v>33</v>
      </c>
      <c r="N36" s="44" t="inlineStr">
        <is>
          <t>TM</t>
        </is>
      </c>
      <c r="O36" s="66" t="inlineStr">
        <is>
          <t>운반기계류</t>
        </is>
      </c>
      <c r="P36" s="44" t="inlineStr">
        <is>
          <t>SL</t>
        </is>
      </c>
      <c r="Q36" s="66" t="inlineStr">
        <is>
          <t>살수차</t>
        </is>
      </c>
      <c r="R36" s="44" t="inlineStr">
        <is>
          <t>33</t>
        </is>
      </c>
      <c r="S36" s="66" t="n"/>
      <c r="T36" s="47" t="n"/>
    </row>
    <row r="37">
      <c r="G37" s="47" t="n">
        <v>34</v>
      </c>
      <c r="H37" s="44" t="inlineStr">
        <is>
          <t>Wk29</t>
        </is>
      </c>
      <c r="I37" s="43" t="inlineStr">
        <is>
          <t>근로자</t>
        </is>
      </c>
      <c r="J37" s="44" t="inlineStr">
        <is>
          <t>sk34</t>
        </is>
      </c>
      <c r="K37" s="66" t="inlineStr">
        <is>
          <t>안전시설</t>
        </is>
      </c>
      <c r="M37" s="47" t="n">
        <v>34</v>
      </c>
      <c r="N37" s="44" t="inlineStr">
        <is>
          <t>TM</t>
        </is>
      </c>
      <c r="O37" s="66" t="inlineStr">
        <is>
          <t>운반기계류</t>
        </is>
      </c>
      <c r="P37" s="44" t="inlineStr">
        <is>
          <t>LT</t>
        </is>
      </c>
      <c r="Q37" s="66" t="inlineStr">
        <is>
          <t>사다리차</t>
        </is>
      </c>
      <c r="R37" s="44" t="inlineStr">
        <is>
          <t>34</t>
        </is>
      </c>
      <c r="S37" s="66" t="n"/>
      <c r="T37" s="47" t="n"/>
    </row>
    <row r="38">
      <c r="G38" s="47" t="n">
        <v>35</v>
      </c>
      <c r="H38" s="44" t="inlineStr">
        <is>
          <t>Wk30</t>
        </is>
      </c>
      <c r="I38" s="43" t="inlineStr">
        <is>
          <t>근로자</t>
        </is>
      </c>
      <c r="J38" s="44" t="inlineStr">
        <is>
          <t>sk35</t>
        </is>
      </c>
      <c r="K38" s="66" t="inlineStr">
        <is>
          <t>열선공</t>
        </is>
      </c>
      <c r="M38" s="47" t="n">
        <v>35</v>
      </c>
      <c r="N38" s="44" t="inlineStr">
        <is>
          <t>TM</t>
        </is>
      </c>
      <c r="O38" s="66" t="inlineStr">
        <is>
          <t>운반기계류</t>
        </is>
      </c>
      <c r="P38" s="44" t="inlineStr">
        <is>
          <t>ST</t>
        </is>
      </c>
      <c r="Q38" s="66" t="inlineStr">
        <is>
          <t>스태커</t>
        </is>
      </c>
      <c r="R38" s="44" t="inlineStr">
        <is>
          <t>35</t>
        </is>
      </c>
      <c r="S38" s="66" t="n"/>
      <c r="T38" s="47" t="n"/>
    </row>
    <row r="39">
      <c r="G39" s="47" t="n">
        <v>36</v>
      </c>
      <c r="H39" s="44" t="inlineStr">
        <is>
          <t>Wk31</t>
        </is>
      </c>
      <c r="I39" s="43" t="inlineStr">
        <is>
          <t>근로자</t>
        </is>
      </c>
      <c r="J39" s="44" t="inlineStr">
        <is>
          <t>sk36</t>
        </is>
      </c>
      <c r="K39" s="66" t="inlineStr">
        <is>
          <t>영업</t>
        </is>
      </c>
      <c r="M39" s="47" t="n">
        <v>36</v>
      </c>
      <c r="N39" s="44" t="inlineStr">
        <is>
          <t>TM</t>
        </is>
      </c>
      <c r="O39" s="66" t="inlineStr">
        <is>
          <t>운반기계류</t>
        </is>
      </c>
      <c r="P39" s="44" t="inlineStr">
        <is>
          <t>TO</t>
        </is>
      </c>
      <c r="Q39" s="66" t="inlineStr">
        <is>
          <t>탑차</t>
        </is>
      </c>
      <c r="R39" s="44" t="inlineStr">
        <is>
          <t>36</t>
        </is>
      </c>
      <c r="S39" s="66" t="inlineStr">
        <is>
          <t>5 Ton</t>
        </is>
      </c>
      <c r="T39" s="47" t="n"/>
    </row>
    <row r="40">
      <c r="G40" s="47" t="n">
        <v>37</v>
      </c>
      <c r="H40" s="44" t="inlineStr">
        <is>
          <t>Wk32</t>
        </is>
      </c>
      <c r="I40" s="43" t="inlineStr">
        <is>
          <t>근로자</t>
        </is>
      </c>
      <c r="J40" s="44" t="inlineStr">
        <is>
          <t>sk37</t>
        </is>
      </c>
      <c r="K40" s="66" t="inlineStr">
        <is>
          <t>외장공</t>
        </is>
      </c>
      <c r="M40" s="47" t="n">
        <v>37</v>
      </c>
      <c r="N40" s="44" t="inlineStr">
        <is>
          <t>TM</t>
        </is>
      </c>
      <c r="O40" s="66" t="inlineStr">
        <is>
          <t>운반기계류</t>
        </is>
      </c>
      <c r="P40" s="44" t="inlineStr">
        <is>
          <t>HP</t>
        </is>
      </c>
      <c r="Q40" s="66" t="inlineStr">
        <is>
          <t>전동 핸드 파레트</t>
        </is>
      </c>
      <c r="R40" s="44" t="inlineStr">
        <is>
          <t>37</t>
        </is>
      </c>
      <c r="S40" s="66" t="n"/>
      <c r="T40" s="47" t="n"/>
    </row>
    <row r="41">
      <c r="G41" s="47" t="n">
        <v>38</v>
      </c>
      <c r="H41" s="44" t="inlineStr">
        <is>
          <t>Wk33</t>
        </is>
      </c>
      <c r="I41" s="43" t="inlineStr">
        <is>
          <t>근로자</t>
        </is>
      </c>
      <c r="J41" s="44" t="inlineStr">
        <is>
          <t>sk38</t>
        </is>
      </c>
      <c r="K41" s="66" t="inlineStr">
        <is>
          <t>용접공</t>
        </is>
      </c>
      <c r="M41" s="47" t="n">
        <v>38</v>
      </c>
      <c r="N41" s="44" t="inlineStr">
        <is>
          <t>SP</t>
        </is>
      </c>
      <c r="O41" s="66" t="inlineStr">
        <is>
          <t>정지_다짐기계류</t>
        </is>
      </c>
      <c r="P41" s="44" t="inlineStr">
        <is>
          <t>VR</t>
        </is>
      </c>
      <c r="Q41" s="66" t="inlineStr">
        <is>
          <t>진동롤러</t>
        </is>
      </c>
      <c r="R41" s="44" t="inlineStr">
        <is>
          <t>38</t>
        </is>
      </c>
      <c r="S41" s="66" t="inlineStr">
        <is>
          <t>10톤</t>
        </is>
      </c>
      <c r="T41" s="47" t="n"/>
    </row>
    <row r="42">
      <c r="G42" s="47" t="n">
        <v>39</v>
      </c>
      <c r="H42" s="44" t="inlineStr">
        <is>
          <t>Wk34</t>
        </is>
      </c>
      <c r="I42" s="43" t="inlineStr">
        <is>
          <t>근로자</t>
        </is>
      </c>
      <c r="J42" s="44" t="inlineStr">
        <is>
          <t>sk39</t>
        </is>
      </c>
      <c r="K42" s="66" t="inlineStr">
        <is>
          <t>유도원</t>
        </is>
      </c>
      <c r="M42" s="47" t="n">
        <v>39</v>
      </c>
      <c r="N42" s="44" t="inlineStr">
        <is>
          <t>SP</t>
        </is>
      </c>
      <c r="O42" s="66" t="inlineStr">
        <is>
          <t>정지_다짐기계류</t>
        </is>
      </c>
      <c r="P42" s="44" t="inlineStr">
        <is>
          <t>RO</t>
        </is>
      </c>
      <c r="Q42" s="66" t="inlineStr">
        <is>
          <t>롤러</t>
        </is>
      </c>
      <c r="R42" s="44" t="inlineStr">
        <is>
          <t>39</t>
        </is>
      </c>
      <c r="S42" s="66" t="n"/>
      <c r="T42" s="47" t="n"/>
    </row>
    <row r="43">
      <c r="G43" s="47" t="n">
        <v>40</v>
      </c>
      <c r="H43" s="44" t="inlineStr">
        <is>
          <t>Wk35</t>
        </is>
      </c>
      <c r="I43" s="43" t="inlineStr">
        <is>
          <t>근로자</t>
        </is>
      </c>
      <c r="J43" s="44" t="inlineStr">
        <is>
          <t>sk40</t>
        </is>
      </c>
      <c r="K43" s="66" t="inlineStr">
        <is>
          <t>잡철공</t>
        </is>
      </c>
      <c r="M43" s="47" t="n">
        <v>40</v>
      </c>
      <c r="N43" s="44" t="inlineStr">
        <is>
          <t>SP</t>
        </is>
      </c>
      <c r="O43" s="66" t="inlineStr">
        <is>
          <t>정지_다짐기계류</t>
        </is>
      </c>
      <c r="P43" s="44" t="inlineStr">
        <is>
          <t>GR</t>
        </is>
      </c>
      <c r="Q43" s="66" t="inlineStr">
        <is>
          <t>그레이더</t>
        </is>
      </c>
      <c r="R43" s="44" t="inlineStr">
        <is>
          <t>40</t>
        </is>
      </c>
      <c r="S43" s="66" t="n"/>
      <c r="T43" s="47" t="n"/>
    </row>
    <row r="44">
      <c r="G44" s="47" t="n">
        <v>41</v>
      </c>
      <c r="H44" s="44" t="inlineStr">
        <is>
          <t>Wk36</t>
        </is>
      </c>
      <c r="I44" s="43" t="inlineStr">
        <is>
          <t>근로자</t>
        </is>
      </c>
      <c r="J44" s="44" t="inlineStr">
        <is>
          <t>sk41</t>
        </is>
      </c>
      <c r="K44" s="66" t="inlineStr">
        <is>
          <t>전기공</t>
        </is>
      </c>
      <c r="M44" s="47" t="n">
        <v>41</v>
      </c>
      <c r="N44" s="44" t="inlineStr">
        <is>
          <t>ST</t>
        </is>
      </c>
      <c r="O44" s="66" t="inlineStr">
        <is>
          <t>기초공사기계류</t>
        </is>
      </c>
      <c r="P44" s="44" t="inlineStr">
        <is>
          <t>HT</t>
        </is>
      </c>
      <c r="Q44" s="66" t="inlineStr">
        <is>
          <t>항타기</t>
        </is>
      </c>
      <c r="R44" s="44" t="inlineStr">
        <is>
          <t>41</t>
        </is>
      </c>
      <c r="S44" s="66" t="inlineStr">
        <is>
          <t>140ton</t>
        </is>
      </c>
      <c r="T44" s="47" t="n"/>
    </row>
    <row r="45">
      <c r="G45" s="47" t="n">
        <v>42</v>
      </c>
      <c r="H45" s="44" t="inlineStr">
        <is>
          <t>Wk37</t>
        </is>
      </c>
      <c r="I45" s="43" t="inlineStr">
        <is>
          <t>근로자</t>
        </is>
      </c>
      <c r="J45" s="44" t="inlineStr">
        <is>
          <t>sk42</t>
        </is>
      </c>
      <c r="K45" s="66" t="inlineStr">
        <is>
          <t>조적공</t>
        </is>
      </c>
      <c r="M45" s="47" t="n">
        <v>42</v>
      </c>
      <c r="N45" s="44" t="inlineStr">
        <is>
          <t>SI</t>
        </is>
      </c>
      <c r="O45" s="66" t="inlineStr">
        <is>
          <t>기타 기계류</t>
        </is>
      </c>
      <c r="P45" s="44" t="inlineStr">
        <is>
          <t>MD</t>
        </is>
      </c>
      <c r="Q45" s="66" t="inlineStr">
        <is>
          <t>무빙데크</t>
        </is>
      </c>
      <c r="R45" s="44" t="inlineStr">
        <is>
          <t>42</t>
        </is>
      </c>
      <c r="S45" s="66" t="inlineStr">
        <is>
          <t>3m*6m</t>
        </is>
      </c>
      <c r="T45" s="47" t="n"/>
    </row>
    <row r="46">
      <c r="G46" s="47" t="n">
        <v>43</v>
      </c>
      <c r="H46" s="44" t="inlineStr">
        <is>
          <t>Wk38</t>
        </is>
      </c>
      <c r="I46" s="43" t="inlineStr">
        <is>
          <t>근로자</t>
        </is>
      </c>
      <c r="J46" s="44" t="inlineStr">
        <is>
          <t>sk43</t>
        </is>
      </c>
      <c r="K46" s="66" t="inlineStr">
        <is>
          <t>철거공</t>
        </is>
      </c>
      <c r="M46" s="47" t="n">
        <v>43</v>
      </c>
      <c r="N46" s="44" t="inlineStr">
        <is>
          <t>SI</t>
        </is>
      </c>
      <c r="O46" s="66" t="inlineStr">
        <is>
          <t>기타 기계류</t>
        </is>
      </c>
      <c r="P46" s="44" t="inlineStr">
        <is>
          <t>WD</t>
        </is>
      </c>
      <c r="Q46" s="66" t="inlineStr">
        <is>
          <t>습식기</t>
        </is>
      </c>
      <c r="R46" s="44" t="inlineStr">
        <is>
          <t>43</t>
        </is>
      </c>
      <c r="S46" s="66" t="n"/>
      <c r="T46" s="47" t="n"/>
    </row>
    <row r="47">
      <c r="G47" s="47" t="n">
        <v>44</v>
      </c>
      <c r="H47" s="44" t="inlineStr">
        <is>
          <t>Wk39</t>
        </is>
      </c>
      <c r="I47" s="43" t="inlineStr">
        <is>
          <t>근로자</t>
        </is>
      </c>
      <c r="J47" s="44" t="inlineStr">
        <is>
          <t>sk44</t>
        </is>
      </c>
      <c r="K47" s="66" t="inlineStr">
        <is>
          <t>철골공</t>
        </is>
      </c>
      <c r="M47" s="47" t="n">
        <v>44</v>
      </c>
      <c r="N47" s="44" t="inlineStr">
        <is>
          <t>SI</t>
        </is>
      </c>
      <c r="O47" s="66" t="inlineStr">
        <is>
          <t>기타 기계류</t>
        </is>
      </c>
      <c r="P47" s="44" t="inlineStr">
        <is>
          <t>WP</t>
        </is>
      </c>
      <c r="Q47" s="66" t="inlineStr">
        <is>
          <t>건식기</t>
        </is>
      </c>
      <c r="R47" s="44" t="inlineStr">
        <is>
          <t>44</t>
        </is>
      </c>
      <c r="S47" s="66" t="n"/>
      <c r="T47" s="47" t="n"/>
    </row>
    <row r="48">
      <c r="G48" s="47" t="n">
        <v>45</v>
      </c>
      <c r="H48" s="44" t="inlineStr">
        <is>
          <t>Wk40</t>
        </is>
      </c>
      <c r="I48" s="43" t="inlineStr">
        <is>
          <t>근로자</t>
        </is>
      </c>
      <c r="J48" s="44" t="inlineStr">
        <is>
          <t>sk45</t>
        </is>
      </c>
      <c r="K48" s="66" t="inlineStr">
        <is>
          <t>철근공</t>
        </is>
      </c>
      <c r="M48" s="47" t="n">
        <v>45</v>
      </c>
      <c r="N48" s="44" t="inlineStr">
        <is>
          <t>SI</t>
        </is>
      </c>
      <c r="O48" s="66" t="inlineStr">
        <is>
          <t>기타기계류</t>
        </is>
      </c>
      <c r="P48" s="44" t="inlineStr">
        <is>
          <t>WM</t>
        </is>
      </c>
      <c r="Q48" s="66" t="inlineStr">
        <is>
          <t>용접기</t>
        </is>
      </c>
      <c r="R48" s="44" t="inlineStr">
        <is>
          <t>45</t>
        </is>
      </c>
      <c r="S48" s="66" t="n"/>
      <c r="T48" s="47" t="n"/>
    </row>
    <row r="49">
      <c r="G49" s="47" t="n">
        <v>46</v>
      </c>
      <c r="H49" s="44" t="inlineStr">
        <is>
          <t>Wk41</t>
        </is>
      </c>
      <c r="I49" s="43" t="inlineStr">
        <is>
          <t>근로자</t>
        </is>
      </c>
      <c r="J49" s="44" t="inlineStr">
        <is>
          <t>sk46</t>
        </is>
      </c>
      <c r="K49" s="66" t="inlineStr">
        <is>
          <t>컷팅공</t>
        </is>
      </c>
      <c r="M49" s="47" t="n">
        <v>46</v>
      </c>
      <c r="N49" s="44" t="inlineStr">
        <is>
          <t>SI</t>
        </is>
      </c>
      <c r="O49" s="66" t="inlineStr">
        <is>
          <t>기타 기계류</t>
        </is>
      </c>
      <c r="P49" s="44" t="inlineStr">
        <is>
          <t>BB</t>
        </is>
      </c>
      <c r="Q49" s="66" t="inlineStr">
        <is>
          <t>Bobcat</t>
        </is>
      </c>
      <c r="R49" s="44" t="inlineStr">
        <is>
          <t>46</t>
        </is>
      </c>
      <c r="S49" s="66" t="n"/>
      <c r="T49" s="47" t="n"/>
    </row>
    <row r="50">
      <c r="G50" s="47" t="n">
        <v>47</v>
      </c>
      <c r="H50" s="44" t="inlineStr">
        <is>
          <t>Wk42</t>
        </is>
      </c>
      <c r="I50" s="43" t="inlineStr">
        <is>
          <t>근로자</t>
        </is>
      </c>
      <c r="J50" s="44" t="inlineStr">
        <is>
          <t>sk47</t>
        </is>
      </c>
      <c r="K50" s="66" t="inlineStr">
        <is>
          <t>타설공</t>
        </is>
      </c>
      <c r="M50" s="47" t="n">
        <v>47</v>
      </c>
      <c r="N50" s="44" t="inlineStr">
        <is>
          <t>SI</t>
        </is>
      </c>
      <c r="O50" s="66" t="inlineStr">
        <is>
          <t>기타 기계류</t>
        </is>
      </c>
      <c r="P50" s="44" t="inlineStr">
        <is>
          <t>SL</t>
        </is>
      </c>
      <c r="Q50" s="66" t="inlineStr">
        <is>
          <t>살수차</t>
        </is>
      </c>
      <c r="R50" s="44" t="inlineStr">
        <is>
          <t>47</t>
        </is>
      </c>
      <c r="S50" s="66" t="n"/>
      <c r="T50" s="47" t="n"/>
    </row>
    <row r="51">
      <c r="G51" s="47" t="n">
        <v>48</v>
      </c>
      <c r="H51" s="44" t="inlineStr">
        <is>
          <t>Wk43</t>
        </is>
      </c>
      <c r="I51" s="43" t="inlineStr">
        <is>
          <t>근로자</t>
        </is>
      </c>
      <c r="J51" s="44" t="inlineStr">
        <is>
          <t>sk48</t>
        </is>
      </c>
      <c r="K51" s="66" t="inlineStr">
        <is>
          <t>타일공</t>
        </is>
      </c>
      <c r="M51" s="47" t="n">
        <v>48</v>
      </c>
      <c r="N51" s="44" t="inlineStr">
        <is>
          <t>SI</t>
        </is>
      </c>
      <c r="O51" s="66" t="inlineStr">
        <is>
          <t>기타 기계류</t>
        </is>
      </c>
      <c r="P51" s="44" t="inlineStr">
        <is>
          <t>AC</t>
        </is>
      </c>
      <c r="Q51" s="66" t="inlineStr">
        <is>
          <t>공기압축기</t>
        </is>
      </c>
      <c r="R51" s="44" t="inlineStr">
        <is>
          <t>48</t>
        </is>
      </c>
      <c r="S51" s="66" t="inlineStr">
        <is>
          <t>25.5㎥/min</t>
        </is>
      </c>
      <c r="T51" s="47" t="n"/>
    </row>
    <row r="52">
      <c r="G52" s="47" t="n">
        <v>49</v>
      </c>
      <c r="H52" s="44" t="inlineStr">
        <is>
          <t>Wk44</t>
        </is>
      </c>
      <c r="I52" s="43" t="inlineStr">
        <is>
          <t>근로자</t>
        </is>
      </c>
      <c r="J52" s="44" t="inlineStr">
        <is>
          <t>sk49</t>
        </is>
      </c>
      <c r="K52" s="66" t="inlineStr">
        <is>
          <t>토공</t>
        </is>
      </c>
      <c r="M52" s="47" t="n">
        <v>49</v>
      </c>
      <c r="N52" s="44" t="inlineStr">
        <is>
          <t>CO</t>
        </is>
      </c>
      <c r="O52" s="66" t="inlineStr">
        <is>
          <t>콘크리트 기계류</t>
        </is>
      </c>
      <c r="P52" s="44" t="inlineStr">
        <is>
          <t>PC</t>
        </is>
      </c>
      <c r="Q52" s="66" t="inlineStr">
        <is>
          <t>펌프카</t>
        </is>
      </c>
      <c r="R52" s="44" t="inlineStr">
        <is>
          <t>49</t>
        </is>
      </c>
      <c r="S52" s="66" t="inlineStr">
        <is>
          <t>35M 이하</t>
        </is>
      </c>
      <c r="T52" s="47" t="n"/>
    </row>
    <row r="53">
      <c r="G53" s="47" t="n">
        <v>50</v>
      </c>
      <c r="H53" s="44" t="inlineStr">
        <is>
          <t>Wk45</t>
        </is>
      </c>
      <c r="I53" s="43" t="inlineStr">
        <is>
          <t>근로자</t>
        </is>
      </c>
      <c r="J53" s="44" t="inlineStr">
        <is>
          <t>sk50</t>
        </is>
      </c>
      <c r="K53" s="66" t="inlineStr">
        <is>
          <t>포장공</t>
        </is>
      </c>
      <c r="M53" s="47" t="n">
        <v>50</v>
      </c>
      <c r="N53" s="44" t="inlineStr">
        <is>
          <t>CO</t>
        </is>
      </c>
      <c r="O53" s="66" t="inlineStr">
        <is>
          <t>콘크리트 기계류</t>
        </is>
      </c>
      <c r="P53" s="44" t="inlineStr">
        <is>
          <t>PC</t>
        </is>
      </c>
      <c r="Q53" s="66" t="inlineStr">
        <is>
          <t>펌프카</t>
        </is>
      </c>
      <c r="R53" s="44" t="inlineStr">
        <is>
          <t>50</t>
        </is>
      </c>
      <c r="S53" s="66" t="inlineStr">
        <is>
          <t>35 M &gt; 60M</t>
        </is>
      </c>
      <c r="T53" s="47" t="n"/>
    </row>
    <row r="54">
      <c r="G54" s="47" t="n">
        <v>51</v>
      </c>
      <c r="H54" s="44" t="inlineStr">
        <is>
          <t>Wk46</t>
        </is>
      </c>
      <c r="I54" s="43" t="inlineStr">
        <is>
          <t>근로자</t>
        </is>
      </c>
      <c r="J54" s="44" t="inlineStr">
        <is>
          <t>sk51</t>
        </is>
      </c>
      <c r="K54" s="66" t="inlineStr">
        <is>
          <t>해체공</t>
        </is>
      </c>
      <c r="M54" s="47" t="n">
        <v>51</v>
      </c>
      <c r="N54" s="44" t="inlineStr">
        <is>
          <t>CO</t>
        </is>
      </c>
      <c r="O54" s="66" t="inlineStr">
        <is>
          <t>콘크리트 기계류</t>
        </is>
      </c>
      <c r="P54" s="44" t="inlineStr">
        <is>
          <t>PC</t>
        </is>
      </c>
      <c r="Q54" s="66" t="inlineStr">
        <is>
          <t>펌프카</t>
        </is>
      </c>
      <c r="R54" s="44" t="inlineStr">
        <is>
          <t>51</t>
        </is>
      </c>
      <c r="S54" s="66" t="inlineStr">
        <is>
          <t>60 M 초과</t>
        </is>
      </c>
      <c r="T54" s="47" t="n"/>
    </row>
    <row r="55">
      <c r="G55" s="47" t="n">
        <v>52</v>
      </c>
      <c r="H55" s="44" t="inlineStr">
        <is>
          <t>Wk47</t>
        </is>
      </c>
      <c r="I55" s="43" t="inlineStr">
        <is>
          <t>근로자</t>
        </is>
      </c>
      <c r="J55" s="44" t="inlineStr">
        <is>
          <t>sk52</t>
        </is>
      </c>
      <c r="K55" s="66" t="inlineStr">
        <is>
          <t>현장경비</t>
        </is>
      </c>
      <c r="M55" s="47" t="n">
        <v>52</v>
      </c>
      <c r="N55" s="44" t="n"/>
      <c r="O55" s="66" t="inlineStr">
        <is>
          <t>Wk47</t>
        </is>
      </c>
      <c r="P55" s="44" t="n"/>
      <c r="Q55" s="66" t="inlineStr">
        <is>
          <t>근로자</t>
        </is>
      </c>
      <c r="R55" s="44" t="inlineStr">
        <is>
          <t>52</t>
        </is>
      </c>
      <c r="S55" s="66" t="inlineStr">
        <is>
          <t>sk52</t>
        </is>
      </c>
      <c r="T55" s="47" t="n"/>
    </row>
    <row r="56">
      <c r="G56" s="47" t="n">
        <v>53</v>
      </c>
      <c r="H56" s="44" t="inlineStr">
        <is>
          <t>Wk48</t>
        </is>
      </c>
      <c r="I56" s="43" t="inlineStr">
        <is>
          <t>근로자</t>
        </is>
      </c>
      <c r="J56" s="44" t="inlineStr">
        <is>
          <t>sk53</t>
        </is>
      </c>
      <c r="K56" s="66" t="inlineStr">
        <is>
          <t>형틀공</t>
        </is>
      </c>
      <c r="M56" s="47" t="n">
        <v>53</v>
      </c>
      <c r="N56" s="44" t="n"/>
      <c r="O56" s="66" t="inlineStr">
        <is>
          <t>Wk48</t>
        </is>
      </c>
      <c r="P56" s="44" t="n"/>
      <c r="Q56" s="66" t="inlineStr">
        <is>
          <t>근로자</t>
        </is>
      </c>
      <c r="R56" s="44" t="inlineStr">
        <is>
          <t>53</t>
        </is>
      </c>
      <c r="S56" s="66" t="inlineStr">
        <is>
          <t>sk53</t>
        </is>
      </c>
      <c r="T56" s="47" t="n"/>
    </row>
    <row r="57">
      <c r="G57" s="47" t="n">
        <v>54</v>
      </c>
      <c r="H57" s="44" t="inlineStr">
        <is>
          <t>Wk49</t>
        </is>
      </c>
      <c r="I57" s="43" t="inlineStr">
        <is>
          <t>근로자</t>
        </is>
      </c>
      <c r="J57" s="44" t="inlineStr">
        <is>
          <t>sk54</t>
        </is>
      </c>
      <c r="K57" s="66" t="inlineStr">
        <is>
          <t>호이스트 설치공</t>
        </is>
      </c>
      <c r="M57" s="47" t="n">
        <v>54</v>
      </c>
      <c r="N57" s="44" t="n"/>
      <c r="O57" s="66" t="inlineStr">
        <is>
          <t>Wk49</t>
        </is>
      </c>
      <c r="P57" s="44" t="n"/>
      <c r="Q57" s="66" t="inlineStr">
        <is>
          <t>근로자</t>
        </is>
      </c>
      <c r="R57" s="44" t="inlineStr">
        <is>
          <t>54</t>
        </is>
      </c>
      <c r="S57" s="66" t="inlineStr">
        <is>
          <t>sk54</t>
        </is>
      </c>
      <c r="T57" s="47" t="n"/>
    </row>
    <row r="58">
      <c r="G58" s="47" t="n">
        <v>55</v>
      </c>
      <c r="H58" s="44" t="inlineStr">
        <is>
          <t>Wk50</t>
        </is>
      </c>
      <c r="I58" s="43" t="inlineStr">
        <is>
          <t>근로자</t>
        </is>
      </c>
      <c r="J58" s="44" t="inlineStr">
        <is>
          <t>sk55</t>
        </is>
      </c>
      <c r="K58" s="66" t="inlineStr">
        <is>
          <t>화기감시자</t>
        </is>
      </c>
      <c r="M58" s="47" t="n">
        <v>55</v>
      </c>
      <c r="N58" s="44" t="n"/>
      <c r="O58" s="66" t="inlineStr">
        <is>
          <t>Wk50</t>
        </is>
      </c>
      <c r="P58" s="44" t="n"/>
      <c r="Q58" s="66" t="inlineStr">
        <is>
          <t>근로자</t>
        </is>
      </c>
      <c r="R58" s="44" t="inlineStr">
        <is>
          <t>55</t>
        </is>
      </c>
      <c r="S58" s="66" t="inlineStr">
        <is>
          <t>sk55</t>
        </is>
      </c>
      <c r="T58" s="47" t="n"/>
    </row>
    <row r="59">
      <c r="G59" s="47" t="n">
        <v>56</v>
      </c>
      <c r="H59" s="44" t="inlineStr">
        <is>
          <t>Wk51</t>
        </is>
      </c>
      <c r="I59" s="43" t="inlineStr">
        <is>
          <t>근로자</t>
        </is>
      </c>
      <c r="J59" s="44" t="inlineStr">
        <is>
          <t>sk56</t>
        </is>
      </c>
      <c r="K59" s="66" t="inlineStr">
        <is>
          <t>환경정리</t>
        </is>
      </c>
      <c r="M59" s="47" t="n">
        <v>56</v>
      </c>
      <c r="N59" s="44" t="n"/>
      <c r="O59" s="66" t="inlineStr">
        <is>
          <t>Wk51</t>
        </is>
      </c>
      <c r="P59" s="44" t="n"/>
      <c r="Q59" s="66" t="inlineStr">
        <is>
          <t>근로자</t>
        </is>
      </c>
      <c r="R59" s="44" t="inlineStr">
        <is>
          <t>56</t>
        </is>
      </c>
      <c r="S59" s="66" t="inlineStr">
        <is>
          <t>sk56</t>
        </is>
      </c>
      <c r="T59" s="47" t="n"/>
    </row>
    <row r="60">
      <c r="G60" s="47" t="n">
        <v>57</v>
      </c>
      <c r="H60" s="44" t="inlineStr">
        <is>
          <t>Wk52</t>
        </is>
      </c>
      <c r="I60" s="43" t="inlineStr">
        <is>
          <t>근로자</t>
        </is>
      </c>
      <c r="J60" s="44" t="inlineStr">
        <is>
          <t>sk57</t>
        </is>
      </c>
      <c r="K60" s="66" t="inlineStr">
        <is>
          <t>A/F Post 설치</t>
        </is>
      </c>
      <c r="M60" s="47" t="n">
        <v>57</v>
      </c>
      <c r="N60" s="44" t="n"/>
      <c r="O60" s="66" t="inlineStr">
        <is>
          <t>Wk52</t>
        </is>
      </c>
      <c r="P60" s="44" t="n"/>
      <c r="Q60" s="66" t="inlineStr">
        <is>
          <t>근로자</t>
        </is>
      </c>
      <c r="R60" s="44" t="inlineStr">
        <is>
          <t>57</t>
        </is>
      </c>
      <c r="S60" s="66" t="inlineStr">
        <is>
          <t>sk57</t>
        </is>
      </c>
      <c r="T60" s="47" t="n"/>
    </row>
    <row r="61">
      <c r="G61" s="47" t="n">
        <v>58</v>
      </c>
      <c r="H61" s="44" t="inlineStr">
        <is>
          <t>Wk53</t>
        </is>
      </c>
      <c r="I61" s="43" t="inlineStr">
        <is>
          <t>근로자</t>
        </is>
      </c>
      <c r="J61" s="44" t="inlineStr">
        <is>
          <t>sk58</t>
        </is>
      </c>
      <c r="K61" s="66" t="inlineStr">
        <is>
          <t>Access Floor</t>
        </is>
      </c>
      <c r="M61" s="47" t="n">
        <v>58</v>
      </c>
      <c r="N61" s="44" t="n"/>
      <c r="O61" s="66" t="inlineStr">
        <is>
          <t>Wk53</t>
        </is>
      </c>
      <c r="P61" s="44" t="n"/>
      <c r="Q61" s="66" t="inlineStr">
        <is>
          <t>근로자</t>
        </is>
      </c>
      <c r="R61" s="44" t="inlineStr">
        <is>
          <t>58</t>
        </is>
      </c>
      <c r="S61" s="66" t="inlineStr">
        <is>
          <t>sk58</t>
        </is>
      </c>
      <c r="T61" s="47" t="n"/>
    </row>
    <row r="62">
      <c r="G62" s="47" t="n">
        <v>59</v>
      </c>
      <c r="H62" s="44" t="inlineStr">
        <is>
          <t>Wk54</t>
        </is>
      </c>
      <c r="I62" s="43" t="inlineStr">
        <is>
          <t>근로자</t>
        </is>
      </c>
      <c r="J62" s="44" t="inlineStr">
        <is>
          <t>sk59</t>
        </is>
      </c>
      <c r="K62" s="66" t="inlineStr">
        <is>
          <t>S/C M16 Bolt 설치</t>
        </is>
      </c>
      <c r="M62" s="47" t="n">
        <v>59</v>
      </c>
      <c r="N62" s="44" t="n"/>
      <c r="O62" s="66" t="inlineStr">
        <is>
          <t>Wk54</t>
        </is>
      </c>
      <c r="P62" s="44" t="n"/>
      <c r="Q62" s="66" t="inlineStr">
        <is>
          <t>근로자</t>
        </is>
      </c>
      <c r="R62" s="44" t="inlineStr">
        <is>
          <t>59</t>
        </is>
      </c>
      <c r="S62" s="66" t="inlineStr">
        <is>
          <t>sk59</t>
        </is>
      </c>
      <c r="T62" s="47" t="n"/>
    </row>
    <row r="63">
      <c r="G63" s="47" t="n">
        <v>60</v>
      </c>
      <c r="H63" s="44" t="inlineStr">
        <is>
          <t>Wk55</t>
        </is>
      </c>
      <c r="I63" s="43" t="inlineStr">
        <is>
          <t>근로자</t>
        </is>
      </c>
      <c r="J63" s="44" t="inlineStr">
        <is>
          <t>sk60</t>
        </is>
      </c>
      <c r="K63" s="66" t="inlineStr">
        <is>
          <t>S/C SQ Pipe 설치</t>
        </is>
      </c>
      <c r="M63" s="47" t="n">
        <v>60</v>
      </c>
      <c r="N63" s="44" t="n"/>
      <c r="O63" s="66" t="inlineStr">
        <is>
          <t>Wk55</t>
        </is>
      </c>
      <c r="P63" s="44" t="n"/>
      <c r="Q63" s="66" t="inlineStr">
        <is>
          <t>근로자</t>
        </is>
      </c>
      <c r="R63" s="44" t="inlineStr">
        <is>
          <t>60</t>
        </is>
      </c>
      <c r="S63" s="66" t="inlineStr">
        <is>
          <t>sk60</t>
        </is>
      </c>
      <c r="T63" s="47" t="n"/>
    </row>
    <row r="64">
      <c r="G64" s="47" t="n">
        <v>61</v>
      </c>
      <c r="H64" s="44" t="inlineStr">
        <is>
          <t>Wk56</t>
        </is>
      </c>
      <c r="I64" s="43" t="inlineStr">
        <is>
          <t>근로자</t>
        </is>
      </c>
      <c r="J64" s="44" t="inlineStr">
        <is>
          <t>sk61</t>
        </is>
      </c>
      <c r="K64" s="66" t="inlineStr">
        <is>
          <t>S/C M8/Mould Bar
설치</t>
        </is>
      </c>
      <c r="M64" s="47" t="n">
        <v>61</v>
      </c>
      <c r="N64" s="44" t="n"/>
      <c r="O64" s="66" t="inlineStr">
        <is>
          <t>Wk56</t>
        </is>
      </c>
      <c r="P64" s="44" t="n"/>
      <c r="Q64" s="66" t="inlineStr">
        <is>
          <t>근로자</t>
        </is>
      </c>
      <c r="R64" s="44" t="inlineStr">
        <is>
          <t>61</t>
        </is>
      </c>
      <c r="S64" s="66" t="inlineStr">
        <is>
          <t>sk61</t>
        </is>
      </c>
      <c r="T64" s="47" t="n"/>
    </row>
    <row r="65">
      <c r="G65" s="47" t="n">
        <v>62</v>
      </c>
      <c r="H65" s="44" t="inlineStr">
        <is>
          <t>Wk57</t>
        </is>
      </c>
      <c r="I65" s="43" t="inlineStr">
        <is>
          <t>근로자</t>
        </is>
      </c>
      <c r="J65" s="44" t="inlineStr">
        <is>
          <t>sk62</t>
        </is>
      </c>
      <c r="K65" s="66" t="inlineStr">
        <is>
          <t>S/C Blind Panel
설치</t>
        </is>
      </c>
      <c r="M65" s="47" t="n">
        <v>62</v>
      </c>
      <c r="N65" s="44" t="n"/>
      <c r="O65" s="66" t="inlineStr">
        <is>
          <t>Wk57</t>
        </is>
      </c>
      <c r="P65" s="44" t="n"/>
      <c r="Q65" s="66" t="inlineStr">
        <is>
          <t>근로자</t>
        </is>
      </c>
      <c r="R65" s="44" t="inlineStr">
        <is>
          <t>62</t>
        </is>
      </c>
      <c r="S65" s="66" t="inlineStr">
        <is>
          <t>sk62</t>
        </is>
      </c>
      <c r="T65" s="47" t="n"/>
    </row>
    <row r="66">
      <c r="G66" s="47" t="n">
        <v>63</v>
      </c>
      <c r="H66" s="44" t="inlineStr">
        <is>
          <t>Wk58</t>
        </is>
      </c>
      <c r="I66" s="43" t="inlineStr">
        <is>
          <t>근로자</t>
        </is>
      </c>
      <c r="J66" s="44" t="inlineStr">
        <is>
          <t>sk63</t>
        </is>
      </c>
      <c r="K66" s="66" t="inlineStr">
        <is>
          <t>외부Shop</t>
        </is>
      </c>
      <c r="M66" s="47" t="n">
        <v>63</v>
      </c>
      <c r="N66" s="44" t="n"/>
      <c r="O66" s="66" t="inlineStr">
        <is>
          <t>Wk58</t>
        </is>
      </c>
      <c r="P66" s="44" t="n"/>
      <c r="Q66" s="66" t="inlineStr">
        <is>
          <t>근로자</t>
        </is>
      </c>
      <c r="R66" s="44" t="inlineStr">
        <is>
          <t>63</t>
        </is>
      </c>
      <c r="S66" s="66" t="inlineStr">
        <is>
          <t>sk63</t>
        </is>
      </c>
      <c r="T66" s="47" t="n"/>
    </row>
    <row r="67">
      <c r="G67" s="47" t="n">
        <v>64</v>
      </c>
      <c r="H67" s="44" t="inlineStr">
        <is>
          <t>Wk59</t>
        </is>
      </c>
      <c r="I67" s="43" t="inlineStr">
        <is>
          <t>근로자</t>
        </is>
      </c>
      <c r="J67" s="44" t="inlineStr">
        <is>
          <t>sk64</t>
        </is>
      </c>
      <c r="K67" s="66" t="inlineStr">
        <is>
          <t>케이블 포설</t>
        </is>
      </c>
      <c r="M67" s="47" t="n">
        <v>64</v>
      </c>
      <c r="N67" s="44" t="n"/>
      <c r="O67" s="66" t="inlineStr">
        <is>
          <t>Wk59</t>
        </is>
      </c>
      <c r="P67" s="44" t="n"/>
      <c r="Q67" s="66" t="inlineStr">
        <is>
          <t>근로자</t>
        </is>
      </c>
      <c r="R67" s="44" t="inlineStr">
        <is>
          <t>64</t>
        </is>
      </c>
      <c r="S67" s="66" t="inlineStr">
        <is>
          <t>sk64</t>
        </is>
      </c>
      <c r="T67" s="47" t="n"/>
    </row>
    <row r="68">
      <c r="G68" s="47" t="n">
        <v>65</v>
      </c>
      <c r="H68" s="44" t="inlineStr">
        <is>
          <t>Wk60</t>
        </is>
      </c>
      <c r="I68" s="43" t="inlineStr">
        <is>
          <t>근로자</t>
        </is>
      </c>
      <c r="J68" s="44" t="inlineStr">
        <is>
          <t>sk65</t>
        </is>
      </c>
      <c r="K68" s="66" t="inlineStr">
        <is>
          <t>케이블 단말</t>
        </is>
      </c>
      <c r="M68" s="47" t="n">
        <v>65</v>
      </c>
      <c r="N68" s="44" t="n"/>
      <c r="O68" s="66" t="inlineStr">
        <is>
          <t>Wk60</t>
        </is>
      </c>
      <c r="P68" s="44" t="n"/>
      <c r="Q68" s="66" t="inlineStr">
        <is>
          <t>근로자</t>
        </is>
      </c>
      <c r="R68" s="44" t="inlineStr">
        <is>
          <t>65</t>
        </is>
      </c>
      <c r="S68" s="66" t="inlineStr">
        <is>
          <t>sk65</t>
        </is>
      </c>
      <c r="T68" s="47" t="n"/>
    </row>
    <row r="69">
      <c r="G69" s="47" t="n">
        <v>66</v>
      </c>
      <c r="H69" s="44" t="inlineStr">
        <is>
          <t>Wk61</t>
        </is>
      </c>
      <c r="I69" s="43" t="inlineStr">
        <is>
          <t>근로자</t>
        </is>
      </c>
      <c r="J69" s="44" t="inlineStr">
        <is>
          <t>sk66</t>
        </is>
      </c>
      <c r="K69" s="66" t="inlineStr">
        <is>
          <t>Cable Tray 설치</t>
        </is>
      </c>
      <c r="M69" s="47" t="n">
        <v>66</v>
      </c>
      <c r="N69" s="44" t="n"/>
      <c r="O69" s="66" t="inlineStr">
        <is>
          <t>Wk61</t>
        </is>
      </c>
      <c r="P69" s="44" t="n"/>
      <c r="Q69" s="66" t="inlineStr">
        <is>
          <t>근로자</t>
        </is>
      </c>
      <c r="R69" s="44" t="inlineStr">
        <is>
          <t>66</t>
        </is>
      </c>
      <c r="S69" s="66" t="inlineStr">
        <is>
          <t>sk66</t>
        </is>
      </c>
      <c r="T69" s="47" t="n"/>
    </row>
    <row r="70">
      <c r="G70" s="47" t="n">
        <v>67</v>
      </c>
      <c r="H70" s="44" t="inlineStr">
        <is>
          <t>Wk62</t>
        </is>
      </c>
      <c r="I70" s="43" t="inlineStr">
        <is>
          <t>근로자</t>
        </is>
      </c>
      <c r="J70" s="44" t="inlineStr">
        <is>
          <t>sk67</t>
        </is>
      </c>
      <c r="K70" s="66" t="inlineStr">
        <is>
          <t>Bus Duct 설치</t>
        </is>
      </c>
      <c r="M70" s="47" t="n">
        <v>67</v>
      </c>
      <c r="N70" s="44" t="n"/>
      <c r="O70" s="66" t="inlineStr">
        <is>
          <t>Wk62</t>
        </is>
      </c>
      <c r="P70" s="44" t="n"/>
      <c r="Q70" s="66" t="inlineStr">
        <is>
          <t>근로자</t>
        </is>
      </c>
      <c r="R70" s="44" t="inlineStr">
        <is>
          <t>67</t>
        </is>
      </c>
      <c r="S70" s="66" t="inlineStr">
        <is>
          <t>sk67</t>
        </is>
      </c>
      <c r="T70" s="47" t="n"/>
    </row>
    <row r="71">
      <c r="G71" s="48" t="n">
        <v>68</v>
      </c>
      <c r="H71" s="45" t="inlineStr">
        <is>
          <t>Wk63</t>
        </is>
      </c>
      <c r="I71" s="46" t="inlineStr">
        <is>
          <t>근로자</t>
        </is>
      </c>
      <c r="J71" s="45" t="inlineStr">
        <is>
          <t>sk68</t>
        </is>
      </c>
      <c r="K71" s="67" t="inlineStr">
        <is>
          <t>경량벽체설치</t>
        </is>
      </c>
      <c r="M71" s="48" t="n">
        <v>68</v>
      </c>
      <c r="N71" s="45" t="n"/>
      <c r="O71" s="67" t="inlineStr">
        <is>
          <t>Wk63</t>
        </is>
      </c>
      <c r="P71" s="45" t="n"/>
      <c r="Q71" s="67" t="inlineStr">
        <is>
          <t>근로자</t>
        </is>
      </c>
      <c r="R71" s="45" t="inlineStr">
        <is>
          <t>68</t>
        </is>
      </c>
      <c r="S71" s="67" t="inlineStr">
        <is>
          <t>sk68</t>
        </is>
      </c>
      <c r="T71" s="48" t="n"/>
    </row>
  </sheetData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김대욱(KIM DAE WOOK)/SK hynix M15 Ph-2 WWT Project/SKecoplant</dc:creator>
  <dcterms:created xsi:type="dcterms:W3CDTF">2019-07-18T01:34:11Z</dcterms:created>
  <dcterms:modified xsi:type="dcterms:W3CDTF">2026-06-02T04:12:22Z</dcterms:modified>
  <cp:lastModifiedBy>조형준(HYUNG-JUN JO)/AI Board/SKecoplant</cp:lastModifiedBy>
  <cp:lastPrinted>2025-09-18T04:42:21Z</cp:lastPrint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0x010100B7D384C5C2781B408814E6C4A7A67BEB</vt:lpwstr>
  </property>
</Properties>
</file>