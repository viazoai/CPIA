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https://skecloud-my.sharepoint.com/personal/120723_skec_com/Documents/My Data/05_AI/03_FLP/02_Module2/docs/sample/"/>
    </mc:Choice>
  </mc:AlternateContent>
  <xr:revisionPtr revIDLastSave="0" documentId="8_{55C1C770-22AE-41E2-A375-60E031CE822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ver" sheetId="7" r:id="rId1"/>
    <sheet name="1.출력인원 현황" sheetId="1" r:id="rId2"/>
    <sheet name="2.직종별 인원현황" sheetId="2" r:id="rId3"/>
    <sheet name="3.장비현황" sheetId="5" r:id="rId4"/>
    <sheet name="4.물량" sheetId="4" r:id="rId5"/>
    <sheet name="5.사진대지" sheetId="9" r:id="rId6"/>
    <sheet name="6.출력일보" sheetId="10" r:id="rId7"/>
    <sheet name="WBS" sheetId="12" r:id="rId8"/>
    <sheet name="작성 방법" sheetId="11" r:id="rId9"/>
    <sheet name="Code" sheetId="6" state="hidden" r:id="rId10"/>
  </sheets>
  <externalReferences>
    <externalReference r:id="rId11"/>
  </externalReferences>
  <definedNames>
    <definedName name="_xlnm._FilterDatabase" localSheetId="1" hidden="1">'1.출력인원 현황'!$B$4:$I$6</definedName>
    <definedName name="_xlnm._FilterDatabase" localSheetId="2" hidden="1">'2.직종별 인원현황'!$A$5:$F$89</definedName>
    <definedName name="_xlnm._FilterDatabase" localSheetId="4" hidden="1">'4.물량'!$A$4:$S$84</definedName>
    <definedName name="_xlnm._FilterDatabase" localSheetId="9" hidden="1">Code!$M$3:$S$71</definedName>
    <definedName name="_xlnm._FilterDatabase" localSheetId="7" hidden="1">WBS!$A$2:$I$2</definedName>
    <definedName name="UT소">WBS!$F$77:$F$101</definedName>
    <definedName name="설비소">WBS!$F$3:$F$76</definedName>
    <definedName name="소방소">WBS!$F$102:$F$122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5" i="10" l="1"/>
  <c r="U85" i="10"/>
  <c r="T85" i="10"/>
  <c r="S85" i="10"/>
  <c r="R85" i="10"/>
  <c r="V84" i="10"/>
  <c r="U84" i="10"/>
  <c r="T84" i="10"/>
  <c r="S84" i="10"/>
  <c r="R84" i="10"/>
  <c r="V83" i="10"/>
  <c r="U83" i="10"/>
  <c r="T83" i="10"/>
  <c r="S83" i="10"/>
  <c r="R83" i="10"/>
  <c r="V82" i="10"/>
  <c r="U82" i="10"/>
  <c r="T82" i="10"/>
  <c r="S82" i="10"/>
  <c r="R82" i="10"/>
  <c r="V81" i="10"/>
  <c r="U81" i="10"/>
  <c r="T81" i="10"/>
  <c r="S81" i="10"/>
  <c r="R81" i="10"/>
  <c r="V80" i="10"/>
  <c r="U80" i="10"/>
  <c r="T80" i="10"/>
  <c r="S80" i="10"/>
  <c r="R80" i="10"/>
  <c r="V79" i="10"/>
  <c r="U79" i="10"/>
  <c r="T79" i="10"/>
  <c r="S79" i="10"/>
  <c r="R79" i="10"/>
  <c r="V78" i="10"/>
  <c r="U78" i="10"/>
  <c r="T78" i="10"/>
  <c r="S78" i="10"/>
  <c r="R78" i="10"/>
  <c r="V77" i="10"/>
  <c r="U77" i="10"/>
  <c r="T77" i="10"/>
  <c r="S77" i="10"/>
  <c r="R77" i="10"/>
  <c r="V76" i="10"/>
  <c r="U76" i="10"/>
  <c r="T76" i="10"/>
  <c r="S76" i="10"/>
  <c r="R76" i="10"/>
  <c r="V75" i="10"/>
  <c r="U75" i="10"/>
  <c r="T75" i="10"/>
  <c r="S75" i="10"/>
  <c r="R75" i="10"/>
  <c r="V74" i="10"/>
  <c r="U74" i="10"/>
  <c r="T74" i="10"/>
  <c r="S74" i="10"/>
  <c r="R74" i="10"/>
  <c r="V73" i="10"/>
  <c r="U73" i="10"/>
  <c r="T73" i="10"/>
  <c r="S73" i="10"/>
  <c r="R73" i="10"/>
  <c r="V72" i="10"/>
  <c r="U72" i="10"/>
  <c r="T72" i="10"/>
  <c r="S72" i="10"/>
  <c r="R72" i="10"/>
  <c r="V71" i="10"/>
  <c r="U71" i="10"/>
  <c r="T71" i="10"/>
  <c r="S71" i="10"/>
  <c r="R71" i="10"/>
  <c r="V70" i="10"/>
  <c r="U70" i="10"/>
  <c r="T70" i="10"/>
  <c r="S70" i="10"/>
  <c r="R70" i="10"/>
  <c r="V69" i="10"/>
  <c r="U69" i="10"/>
  <c r="T69" i="10"/>
  <c r="S69" i="10"/>
  <c r="R69" i="10"/>
  <c r="V68" i="10"/>
  <c r="U68" i="10"/>
  <c r="T68" i="10"/>
  <c r="S68" i="10"/>
  <c r="R68" i="10"/>
  <c r="V67" i="10"/>
  <c r="U67" i="10"/>
  <c r="T67" i="10"/>
  <c r="S67" i="10"/>
  <c r="R67" i="10"/>
  <c r="V66" i="10"/>
  <c r="U66" i="10"/>
  <c r="T66" i="10"/>
  <c r="S66" i="10"/>
  <c r="R66" i="10"/>
  <c r="V65" i="10"/>
  <c r="U65" i="10"/>
  <c r="T65" i="10"/>
  <c r="S65" i="10"/>
  <c r="R65" i="10"/>
  <c r="V64" i="10"/>
  <c r="U64" i="10"/>
  <c r="T64" i="10"/>
  <c r="S64" i="10"/>
  <c r="R64" i="10"/>
  <c r="V63" i="10"/>
  <c r="U63" i="10"/>
  <c r="T63" i="10"/>
  <c r="S63" i="10"/>
  <c r="R63" i="10"/>
  <c r="V62" i="10"/>
  <c r="U62" i="10"/>
  <c r="T62" i="10"/>
  <c r="S62" i="10"/>
  <c r="R62" i="10"/>
  <c r="V61" i="10"/>
  <c r="U61" i="10"/>
  <c r="T61" i="10"/>
  <c r="S61" i="10"/>
  <c r="R61" i="10"/>
  <c r="V60" i="10"/>
  <c r="U60" i="10"/>
  <c r="T60" i="10"/>
  <c r="S60" i="10"/>
  <c r="R60" i="10"/>
  <c r="V59" i="10"/>
  <c r="U59" i="10"/>
  <c r="T59" i="10"/>
  <c r="S59" i="10"/>
  <c r="R59" i="10"/>
  <c r="V58" i="10"/>
  <c r="U58" i="10"/>
  <c r="T58" i="10"/>
  <c r="S58" i="10"/>
  <c r="R58" i="10"/>
  <c r="V57" i="10"/>
  <c r="U57" i="10"/>
  <c r="T57" i="10"/>
  <c r="S57" i="10"/>
  <c r="R57" i="10"/>
  <c r="V56" i="10"/>
  <c r="U56" i="10"/>
  <c r="T56" i="10"/>
  <c r="S56" i="10"/>
  <c r="R56" i="10"/>
  <c r="V55" i="10"/>
  <c r="U55" i="10"/>
  <c r="T55" i="10"/>
  <c r="S55" i="10"/>
  <c r="R55" i="10"/>
  <c r="V54" i="10"/>
  <c r="U54" i="10"/>
  <c r="T54" i="10"/>
  <c r="S54" i="10"/>
  <c r="R54" i="10"/>
  <c r="V53" i="10"/>
  <c r="U53" i="10"/>
  <c r="T53" i="10"/>
  <c r="S53" i="10"/>
  <c r="R53" i="10"/>
  <c r="V52" i="10"/>
  <c r="U52" i="10"/>
  <c r="T52" i="10"/>
  <c r="S52" i="10"/>
  <c r="R52" i="10"/>
  <c r="V51" i="10"/>
  <c r="U51" i="10"/>
  <c r="T51" i="10"/>
  <c r="S51" i="10"/>
  <c r="R51" i="10"/>
  <c r="V50" i="10"/>
  <c r="U50" i="10"/>
  <c r="T50" i="10"/>
  <c r="S50" i="10"/>
  <c r="R50" i="10"/>
  <c r="V49" i="10"/>
  <c r="U49" i="10"/>
  <c r="T49" i="10"/>
  <c r="S49" i="10"/>
  <c r="R49" i="10"/>
  <c r="V48" i="10"/>
  <c r="U48" i="10"/>
  <c r="T48" i="10"/>
  <c r="S48" i="10"/>
  <c r="R48" i="10"/>
  <c r="V47" i="10"/>
  <c r="U47" i="10"/>
  <c r="T47" i="10"/>
  <c r="S47" i="10"/>
  <c r="R47" i="10"/>
  <c r="V46" i="10"/>
  <c r="U46" i="10"/>
  <c r="T46" i="10"/>
  <c r="S46" i="10"/>
  <c r="R46" i="10"/>
  <c r="V45" i="10"/>
  <c r="U45" i="10"/>
  <c r="T45" i="10"/>
  <c r="S45" i="10"/>
  <c r="R45" i="10"/>
  <c r="V44" i="10"/>
  <c r="U44" i="10"/>
  <c r="T44" i="10"/>
  <c r="S44" i="10"/>
  <c r="R44" i="10"/>
  <c r="V43" i="10"/>
  <c r="U43" i="10"/>
  <c r="T43" i="10"/>
  <c r="S43" i="10"/>
  <c r="R43" i="10"/>
  <c r="V42" i="10"/>
  <c r="U42" i="10"/>
  <c r="T42" i="10"/>
  <c r="S42" i="10"/>
  <c r="R42" i="10"/>
  <c r="V41" i="10"/>
  <c r="U41" i="10"/>
  <c r="T41" i="10"/>
  <c r="S41" i="10"/>
  <c r="R41" i="10"/>
  <c r="V40" i="10"/>
  <c r="U40" i="10"/>
  <c r="T40" i="10"/>
  <c r="S40" i="10"/>
  <c r="R40" i="10"/>
  <c r="V39" i="10"/>
  <c r="U39" i="10"/>
  <c r="T39" i="10"/>
  <c r="S39" i="10"/>
  <c r="R39" i="10"/>
  <c r="V38" i="10"/>
  <c r="U38" i="10"/>
  <c r="T38" i="10"/>
  <c r="S38" i="10"/>
  <c r="R38" i="10"/>
  <c r="V37" i="10"/>
  <c r="U37" i="10"/>
  <c r="T37" i="10"/>
  <c r="S37" i="10"/>
  <c r="R37" i="10"/>
  <c r="V36" i="10"/>
  <c r="U36" i="10"/>
  <c r="T36" i="10"/>
  <c r="S36" i="10"/>
  <c r="R36" i="10"/>
  <c r="V35" i="10"/>
  <c r="U35" i="10"/>
  <c r="T35" i="10"/>
  <c r="S35" i="10"/>
  <c r="R35" i="10"/>
  <c r="V34" i="10"/>
  <c r="U34" i="10"/>
  <c r="T34" i="10"/>
  <c r="S34" i="10"/>
  <c r="R34" i="10"/>
  <c r="V33" i="10"/>
  <c r="U33" i="10"/>
  <c r="T33" i="10"/>
  <c r="S33" i="10"/>
  <c r="R33" i="10"/>
  <c r="V32" i="10"/>
  <c r="U32" i="10"/>
  <c r="T32" i="10"/>
  <c r="S32" i="10"/>
  <c r="R32" i="10"/>
  <c r="V31" i="10"/>
  <c r="U31" i="10"/>
  <c r="T31" i="10"/>
  <c r="S31" i="10"/>
  <c r="R31" i="10"/>
  <c r="V30" i="10"/>
  <c r="U30" i="10"/>
  <c r="T30" i="10"/>
  <c r="S30" i="10"/>
  <c r="R30" i="10"/>
  <c r="V29" i="10"/>
  <c r="U29" i="10"/>
  <c r="T29" i="10"/>
  <c r="S29" i="10"/>
  <c r="R29" i="10"/>
  <c r="V28" i="10"/>
  <c r="U28" i="10"/>
  <c r="T28" i="10"/>
  <c r="S28" i="10"/>
  <c r="R28" i="10"/>
  <c r="V27" i="10"/>
  <c r="U27" i="10"/>
  <c r="T27" i="10"/>
  <c r="S27" i="10"/>
  <c r="R27" i="10"/>
  <c r="V26" i="10"/>
  <c r="U26" i="10"/>
  <c r="T26" i="10"/>
  <c r="S26" i="10"/>
  <c r="R26" i="10"/>
  <c r="V25" i="10"/>
  <c r="U25" i="10"/>
  <c r="T25" i="10"/>
  <c r="S25" i="10"/>
  <c r="R25" i="10"/>
  <c r="V24" i="10"/>
  <c r="U24" i="10"/>
  <c r="T24" i="10"/>
  <c r="S24" i="10"/>
  <c r="R24" i="10"/>
  <c r="V23" i="10"/>
  <c r="U23" i="10"/>
  <c r="T23" i="10"/>
  <c r="S23" i="10"/>
  <c r="R23" i="10"/>
  <c r="V22" i="10"/>
  <c r="U22" i="10"/>
  <c r="T22" i="10"/>
  <c r="S22" i="10"/>
  <c r="R22" i="10"/>
  <c r="V21" i="10"/>
  <c r="U21" i="10"/>
  <c r="T21" i="10"/>
  <c r="S21" i="10"/>
  <c r="R21" i="10"/>
  <c r="V20" i="10"/>
  <c r="U20" i="10"/>
  <c r="T20" i="10"/>
  <c r="S20" i="10"/>
  <c r="R20" i="10"/>
  <c r="V19" i="10"/>
  <c r="U19" i="10"/>
  <c r="T19" i="10"/>
  <c r="S19" i="10"/>
  <c r="R19" i="10"/>
  <c r="V18" i="10"/>
  <c r="U18" i="10"/>
  <c r="T18" i="10"/>
  <c r="S18" i="10"/>
  <c r="R18" i="10"/>
  <c r="V17" i="10"/>
  <c r="U17" i="10"/>
  <c r="T17" i="10"/>
  <c r="S17" i="10"/>
  <c r="R17" i="10"/>
  <c r="V16" i="10"/>
  <c r="U16" i="10"/>
  <c r="T16" i="10"/>
  <c r="S16" i="10"/>
  <c r="R16" i="10"/>
  <c r="V15" i="10"/>
  <c r="U15" i="10"/>
  <c r="T15" i="10"/>
  <c r="S15" i="10"/>
  <c r="R15" i="10"/>
  <c r="V14" i="10"/>
  <c r="U14" i="10"/>
  <c r="T14" i="10"/>
  <c r="S14" i="10"/>
  <c r="R14" i="10"/>
  <c r="V13" i="10"/>
  <c r="U13" i="10"/>
  <c r="T13" i="10"/>
  <c r="S13" i="10"/>
  <c r="R13" i="10"/>
  <c r="V12" i="10"/>
  <c r="U12" i="10"/>
  <c r="T12" i="10"/>
  <c r="S12" i="10"/>
  <c r="R12" i="10"/>
  <c r="V11" i="10"/>
  <c r="U11" i="10"/>
  <c r="T11" i="10"/>
  <c r="S11" i="10"/>
  <c r="R11" i="10"/>
  <c r="V10" i="10"/>
  <c r="U10" i="10"/>
  <c r="T10" i="10"/>
  <c r="S10" i="10"/>
  <c r="R10" i="10"/>
  <c r="V9" i="10"/>
  <c r="U9" i="10"/>
  <c r="T9" i="10"/>
  <c r="S9" i="10"/>
  <c r="R9" i="10"/>
  <c r="V8" i="10"/>
  <c r="U8" i="10"/>
  <c r="T8" i="10"/>
  <c r="S8" i="10"/>
  <c r="R8" i="10"/>
  <c r="V7" i="10"/>
  <c r="U7" i="10"/>
  <c r="T7" i="10"/>
  <c r="S7" i="10"/>
  <c r="R7" i="10"/>
  <c r="V6" i="10"/>
  <c r="U6" i="10"/>
  <c r="T6" i="10"/>
  <c r="S6" i="10"/>
  <c r="R6" i="10"/>
  <c r="V5" i="10"/>
  <c r="U5" i="10"/>
  <c r="T5" i="10"/>
  <c r="S5" i="10"/>
  <c r="R5" i="10"/>
  <c r="R3" i="10"/>
  <c r="Q85" i="10"/>
  <c r="Q84" i="10"/>
  <c r="Q83" i="10"/>
  <c r="Q82" i="10"/>
  <c r="Q81" i="10"/>
  <c r="Q80" i="10"/>
  <c r="Q79" i="10"/>
  <c r="Q78" i="10"/>
  <c r="Q77" i="10"/>
  <c r="Q76" i="10"/>
  <c r="Q75" i="10"/>
  <c r="Q74" i="10"/>
  <c r="Q73" i="10"/>
  <c r="Q72" i="10"/>
  <c r="Q71" i="10"/>
  <c r="Q70" i="10"/>
  <c r="Q69" i="10"/>
  <c r="Q68" i="10"/>
  <c r="Q67" i="10"/>
  <c r="Q66" i="10"/>
  <c r="Q65" i="10"/>
  <c r="Q64" i="10"/>
  <c r="Q63" i="10"/>
  <c r="Q62" i="10"/>
  <c r="Q61" i="10"/>
  <c r="Q60" i="10"/>
  <c r="Q59" i="10"/>
  <c r="Q58" i="10"/>
  <c r="Q57" i="10"/>
  <c r="Q56" i="10"/>
  <c r="Q55" i="10"/>
  <c r="Q54" i="10"/>
  <c r="Q53" i="10"/>
  <c r="Q52" i="10"/>
  <c r="Q51" i="10"/>
  <c r="Q50" i="10"/>
  <c r="Q49" i="10"/>
  <c r="Q48" i="10"/>
  <c r="Q47" i="10"/>
  <c r="Q46" i="10"/>
  <c r="Q45" i="10"/>
  <c r="Q44" i="10"/>
  <c r="Q43" i="10"/>
  <c r="Q42" i="10"/>
  <c r="Q41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7" i="10"/>
  <c r="Q6" i="10"/>
  <c r="Q5" i="10"/>
  <c r="W11" i="10" l="1"/>
  <c r="W35" i="10"/>
  <c r="W6" i="10"/>
  <c r="W22" i="10"/>
  <c r="W38" i="10"/>
  <c r="W19" i="10"/>
  <c r="W51" i="10"/>
  <c r="W64" i="10"/>
  <c r="W67" i="10"/>
  <c r="W54" i="10"/>
  <c r="V87" i="10"/>
  <c r="W84" i="10"/>
  <c r="W27" i="10"/>
  <c r="W43" i="10"/>
  <c r="W59" i="10"/>
  <c r="W85" i="10"/>
  <c r="W16" i="10"/>
  <c r="W32" i="10"/>
  <c r="W48" i="10"/>
  <c r="W13" i="10"/>
  <c r="W29" i="10"/>
  <c r="W45" i="10"/>
  <c r="W61" i="10"/>
  <c r="W10" i="10"/>
  <c r="W26" i="10"/>
  <c r="W42" i="10"/>
  <c r="W58" i="10"/>
  <c r="W74" i="10"/>
  <c r="W71" i="10"/>
  <c r="W7" i="10"/>
  <c r="W20" i="10"/>
  <c r="W23" i="10"/>
  <c r="W36" i="10"/>
  <c r="W39" i="10"/>
  <c r="W52" i="10"/>
  <c r="W55" i="10"/>
  <c r="W68" i="10"/>
  <c r="W17" i="10"/>
  <c r="W33" i="10"/>
  <c r="W49" i="10"/>
  <c r="W65" i="10"/>
  <c r="W81" i="10"/>
  <c r="W14" i="10"/>
  <c r="W30" i="10"/>
  <c r="W46" i="10"/>
  <c r="W62" i="10"/>
  <c r="W78" i="10"/>
  <c r="W8" i="10"/>
  <c r="W24" i="10"/>
  <c r="W40" i="10"/>
  <c r="W56" i="10"/>
  <c r="W72" i="10"/>
  <c r="R86" i="10"/>
  <c r="W21" i="10"/>
  <c r="W37" i="10"/>
  <c r="W53" i="10"/>
  <c r="W69" i="10"/>
  <c r="S86" i="10"/>
  <c r="W18" i="10"/>
  <c r="W34" i="10"/>
  <c r="W50" i="10"/>
  <c r="W66" i="10"/>
  <c r="W82" i="10"/>
  <c r="W63" i="10"/>
  <c r="W75" i="10"/>
  <c r="W79" i="10"/>
  <c r="W12" i="10"/>
  <c r="W15" i="10"/>
  <c r="W28" i="10"/>
  <c r="W31" i="10"/>
  <c r="W44" i="10"/>
  <c r="W47" i="10"/>
  <c r="W60" i="10"/>
  <c r="W76" i="10"/>
  <c r="W9" i="10"/>
  <c r="W25" i="10"/>
  <c r="W41" i="10"/>
  <c r="W57" i="10"/>
  <c r="W73" i="10"/>
  <c r="U86" i="10"/>
  <c r="V86" i="10"/>
  <c r="W5" i="10"/>
  <c r="T86" i="10" l="1"/>
  <c r="W83" i="10"/>
  <c r="W70" i="10"/>
  <c r="S87" i="10"/>
  <c r="R87" i="10"/>
  <c r="R88" i="10"/>
  <c r="U88" i="10"/>
  <c r="W77" i="10"/>
  <c r="T88" i="10"/>
  <c r="U87" i="10"/>
  <c r="T87" i="10"/>
  <c r="V88" i="10"/>
  <c r="W80" i="10"/>
  <c r="S88" i="10"/>
  <c r="W86" i="10"/>
  <c r="W87" i="10" l="1"/>
  <c r="W88" i="10"/>
  <c r="Q11" i="2" l="1"/>
  <c r="Q10" i="2"/>
  <c r="Q9" i="2"/>
  <c r="Q8" i="2"/>
  <c r="Q7" i="2"/>
  <c r="Q6" i="2"/>
  <c r="P11" i="2"/>
  <c r="P10" i="2"/>
  <c r="P9" i="2"/>
  <c r="P8" i="2"/>
  <c r="P7" i="2"/>
  <c r="P6" i="2"/>
  <c r="O11" i="2"/>
  <c r="O10" i="2"/>
  <c r="O9" i="2"/>
  <c r="O8" i="2"/>
  <c r="O7" i="2"/>
  <c r="O6" i="2"/>
  <c r="N11" i="2"/>
  <c r="N10" i="2"/>
  <c r="N9" i="2"/>
  <c r="N8" i="2"/>
  <c r="N7" i="2"/>
  <c r="N6" i="2"/>
  <c r="M10" i="2"/>
  <c r="M9" i="2"/>
  <c r="M8" i="2"/>
  <c r="M7" i="2"/>
  <c r="M6" i="2"/>
  <c r="R10" i="2" l="1"/>
  <c r="R7" i="2"/>
  <c r="R6" i="2"/>
  <c r="R9" i="2"/>
  <c r="R8" i="2"/>
  <c r="P8" i="4" l="1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7" i="4"/>
  <c r="P6" i="4"/>
  <c r="P5" i="4"/>
  <c r="I79" i="2"/>
  <c r="H79" i="2"/>
  <c r="L85" i="2" l="1"/>
  <c r="L84" i="2"/>
  <c r="L83" i="2"/>
  <c r="L82" i="2"/>
  <c r="L81" i="2"/>
  <c r="Q86" i="2" l="1"/>
  <c r="P86" i="2"/>
  <c r="O86" i="2"/>
  <c r="N86" i="2"/>
  <c r="M86" i="2"/>
  <c r="Q85" i="2"/>
  <c r="P85" i="2"/>
  <c r="O85" i="2"/>
  <c r="N85" i="2"/>
  <c r="M85" i="2"/>
  <c r="Q84" i="2"/>
  <c r="P84" i="2"/>
  <c r="O84" i="2"/>
  <c r="N84" i="2"/>
  <c r="M84" i="2"/>
  <c r="Q83" i="2"/>
  <c r="P83" i="2"/>
  <c r="O83" i="2"/>
  <c r="N83" i="2"/>
  <c r="M83" i="2"/>
  <c r="Q82" i="2"/>
  <c r="P82" i="2"/>
  <c r="O82" i="2"/>
  <c r="N82" i="2"/>
  <c r="M82" i="2"/>
  <c r="Q81" i="2"/>
  <c r="P81" i="2"/>
  <c r="O81" i="2"/>
  <c r="N81" i="2"/>
  <c r="M81" i="2"/>
  <c r="Q80" i="2"/>
  <c r="P80" i="2"/>
  <c r="O80" i="2"/>
  <c r="N80" i="2"/>
  <c r="M80" i="2"/>
  <c r="Q79" i="2"/>
  <c r="P79" i="2"/>
  <c r="O79" i="2"/>
  <c r="N79" i="2"/>
  <c r="M79" i="2"/>
  <c r="Q78" i="2"/>
  <c r="P78" i="2"/>
  <c r="O78" i="2"/>
  <c r="N78" i="2"/>
  <c r="M78" i="2"/>
  <c r="Q77" i="2"/>
  <c r="P77" i="2"/>
  <c r="O77" i="2"/>
  <c r="N77" i="2"/>
  <c r="M77" i="2"/>
  <c r="Q76" i="2"/>
  <c r="P76" i="2"/>
  <c r="O76" i="2"/>
  <c r="N76" i="2"/>
  <c r="M76" i="2"/>
  <c r="Q75" i="2"/>
  <c r="P75" i="2"/>
  <c r="O75" i="2"/>
  <c r="N75" i="2"/>
  <c r="M75" i="2"/>
  <c r="Q74" i="2"/>
  <c r="P74" i="2"/>
  <c r="O74" i="2"/>
  <c r="N74" i="2"/>
  <c r="M74" i="2"/>
  <c r="Q73" i="2"/>
  <c r="P73" i="2"/>
  <c r="O73" i="2"/>
  <c r="N73" i="2"/>
  <c r="M73" i="2"/>
  <c r="Q72" i="2"/>
  <c r="P72" i="2"/>
  <c r="O72" i="2"/>
  <c r="N72" i="2"/>
  <c r="M72" i="2"/>
  <c r="Q71" i="2"/>
  <c r="P71" i="2"/>
  <c r="O71" i="2"/>
  <c r="N71" i="2"/>
  <c r="M71" i="2"/>
  <c r="Q70" i="2"/>
  <c r="P70" i="2"/>
  <c r="O70" i="2"/>
  <c r="N70" i="2"/>
  <c r="M70" i="2"/>
  <c r="Q69" i="2"/>
  <c r="P69" i="2"/>
  <c r="O69" i="2"/>
  <c r="N69" i="2"/>
  <c r="M69" i="2"/>
  <c r="Q68" i="2"/>
  <c r="P68" i="2"/>
  <c r="O68" i="2"/>
  <c r="N68" i="2"/>
  <c r="M68" i="2"/>
  <c r="Q67" i="2"/>
  <c r="P67" i="2"/>
  <c r="O67" i="2"/>
  <c r="N67" i="2"/>
  <c r="M67" i="2"/>
  <c r="Q66" i="2"/>
  <c r="P66" i="2"/>
  <c r="O66" i="2"/>
  <c r="N66" i="2"/>
  <c r="M66" i="2"/>
  <c r="Q65" i="2"/>
  <c r="P65" i="2"/>
  <c r="O65" i="2"/>
  <c r="N65" i="2"/>
  <c r="M65" i="2"/>
  <c r="Q64" i="2"/>
  <c r="P64" i="2"/>
  <c r="O64" i="2"/>
  <c r="N64" i="2"/>
  <c r="M64" i="2"/>
  <c r="Q63" i="2"/>
  <c r="P63" i="2"/>
  <c r="O63" i="2"/>
  <c r="N63" i="2"/>
  <c r="M63" i="2"/>
  <c r="Q62" i="2"/>
  <c r="P62" i="2"/>
  <c r="O62" i="2"/>
  <c r="N62" i="2"/>
  <c r="M62" i="2"/>
  <c r="Q61" i="2"/>
  <c r="P61" i="2"/>
  <c r="O61" i="2"/>
  <c r="N61" i="2"/>
  <c r="M61" i="2"/>
  <c r="Q60" i="2"/>
  <c r="P60" i="2"/>
  <c r="O60" i="2"/>
  <c r="N60" i="2"/>
  <c r="M60" i="2"/>
  <c r="Q59" i="2"/>
  <c r="P59" i="2"/>
  <c r="O59" i="2"/>
  <c r="N59" i="2"/>
  <c r="M59" i="2"/>
  <c r="Q58" i="2"/>
  <c r="P58" i="2"/>
  <c r="O58" i="2"/>
  <c r="N58" i="2"/>
  <c r="M58" i="2"/>
  <c r="Q57" i="2"/>
  <c r="P57" i="2"/>
  <c r="O57" i="2"/>
  <c r="N57" i="2"/>
  <c r="M57" i="2"/>
  <c r="Q56" i="2"/>
  <c r="P56" i="2"/>
  <c r="O56" i="2"/>
  <c r="N56" i="2"/>
  <c r="M56" i="2"/>
  <c r="Q55" i="2"/>
  <c r="P55" i="2"/>
  <c r="O55" i="2"/>
  <c r="N55" i="2"/>
  <c r="M55" i="2"/>
  <c r="Q54" i="2"/>
  <c r="P54" i="2"/>
  <c r="O54" i="2"/>
  <c r="N54" i="2"/>
  <c r="M54" i="2"/>
  <c r="Q53" i="2"/>
  <c r="P53" i="2"/>
  <c r="O53" i="2"/>
  <c r="N53" i="2"/>
  <c r="M53" i="2"/>
  <c r="Q52" i="2"/>
  <c r="P52" i="2"/>
  <c r="O52" i="2"/>
  <c r="N52" i="2"/>
  <c r="M52" i="2"/>
  <c r="Q51" i="2"/>
  <c r="P51" i="2"/>
  <c r="O51" i="2"/>
  <c r="N51" i="2"/>
  <c r="M51" i="2"/>
  <c r="Q50" i="2"/>
  <c r="P50" i="2"/>
  <c r="O50" i="2"/>
  <c r="N50" i="2"/>
  <c r="M50" i="2"/>
  <c r="Q49" i="2"/>
  <c r="P49" i="2"/>
  <c r="O49" i="2"/>
  <c r="N49" i="2"/>
  <c r="M49" i="2"/>
  <c r="Q48" i="2"/>
  <c r="P48" i="2"/>
  <c r="O48" i="2"/>
  <c r="N48" i="2"/>
  <c r="M48" i="2"/>
  <c r="Q47" i="2"/>
  <c r="P47" i="2"/>
  <c r="O47" i="2"/>
  <c r="N47" i="2"/>
  <c r="M47" i="2"/>
  <c r="Q46" i="2"/>
  <c r="P46" i="2"/>
  <c r="O46" i="2"/>
  <c r="N46" i="2"/>
  <c r="M46" i="2"/>
  <c r="Q45" i="2"/>
  <c r="P45" i="2"/>
  <c r="O45" i="2"/>
  <c r="N45" i="2"/>
  <c r="M45" i="2"/>
  <c r="Q44" i="2"/>
  <c r="P44" i="2"/>
  <c r="O44" i="2"/>
  <c r="N44" i="2"/>
  <c r="M44" i="2"/>
  <c r="Q43" i="2"/>
  <c r="P43" i="2"/>
  <c r="O43" i="2"/>
  <c r="N43" i="2"/>
  <c r="M43" i="2"/>
  <c r="Q42" i="2"/>
  <c r="P42" i="2"/>
  <c r="O42" i="2"/>
  <c r="N42" i="2"/>
  <c r="M42" i="2"/>
  <c r="Q41" i="2"/>
  <c r="P41" i="2"/>
  <c r="O41" i="2"/>
  <c r="N41" i="2"/>
  <c r="M41" i="2"/>
  <c r="Q40" i="2"/>
  <c r="P40" i="2"/>
  <c r="O40" i="2"/>
  <c r="N40" i="2"/>
  <c r="M40" i="2"/>
  <c r="Q39" i="2"/>
  <c r="P39" i="2"/>
  <c r="O39" i="2"/>
  <c r="N39" i="2"/>
  <c r="M39" i="2"/>
  <c r="Q38" i="2"/>
  <c r="P38" i="2"/>
  <c r="O38" i="2"/>
  <c r="N38" i="2"/>
  <c r="M38" i="2"/>
  <c r="Q37" i="2"/>
  <c r="P37" i="2"/>
  <c r="O37" i="2"/>
  <c r="N37" i="2"/>
  <c r="M37" i="2"/>
  <c r="Q36" i="2"/>
  <c r="P36" i="2"/>
  <c r="O36" i="2"/>
  <c r="N36" i="2"/>
  <c r="M36" i="2"/>
  <c r="Q35" i="2"/>
  <c r="P35" i="2"/>
  <c r="O35" i="2"/>
  <c r="N35" i="2"/>
  <c r="M35" i="2"/>
  <c r="Q34" i="2"/>
  <c r="P34" i="2"/>
  <c r="O34" i="2"/>
  <c r="N34" i="2"/>
  <c r="M34" i="2"/>
  <c r="Q33" i="2"/>
  <c r="P33" i="2"/>
  <c r="O33" i="2"/>
  <c r="N33" i="2"/>
  <c r="M33" i="2"/>
  <c r="Q32" i="2"/>
  <c r="P32" i="2"/>
  <c r="O32" i="2"/>
  <c r="N32" i="2"/>
  <c r="M32" i="2"/>
  <c r="Q31" i="2"/>
  <c r="P31" i="2"/>
  <c r="O31" i="2"/>
  <c r="N31" i="2"/>
  <c r="M31" i="2"/>
  <c r="Q30" i="2"/>
  <c r="P30" i="2"/>
  <c r="O30" i="2"/>
  <c r="N30" i="2"/>
  <c r="M30" i="2"/>
  <c r="Q29" i="2"/>
  <c r="P29" i="2"/>
  <c r="O29" i="2"/>
  <c r="N29" i="2"/>
  <c r="M29" i="2"/>
  <c r="Q28" i="2"/>
  <c r="P28" i="2"/>
  <c r="O28" i="2"/>
  <c r="N28" i="2"/>
  <c r="M28" i="2"/>
  <c r="Q27" i="2"/>
  <c r="P27" i="2"/>
  <c r="O27" i="2"/>
  <c r="N27" i="2"/>
  <c r="M27" i="2"/>
  <c r="Q26" i="2"/>
  <c r="P26" i="2"/>
  <c r="O26" i="2"/>
  <c r="N26" i="2"/>
  <c r="M26" i="2"/>
  <c r="Q25" i="2"/>
  <c r="P25" i="2"/>
  <c r="O25" i="2"/>
  <c r="N25" i="2"/>
  <c r="M25" i="2"/>
  <c r="Q24" i="2"/>
  <c r="P24" i="2"/>
  <c r="O24" i="2"/>
  <c r="N24" i="2"/>
  <c r="M24" i="2"/>
  <c r="Q23" i="2"/>
  <c r="P23" i="2"/>
  <c r="O23" i="2"/>
  <c r="N23" i="2"/>
  <c r="M23" i="2"/>
  <c r="Q22" i="2"/>
  <c r="P22" i="2"/>
  <c r="O22" i="2"/>
  <c r="N22" i="2"/>
  <c r="M22" i="2"/>
  <c r="Q21" i="2"/>
  <c r="P21" i="2"/>
  <c r="O21" i="2"/>
  <c r="N21" i="2"/>
  <c r="M21" i="2"/>
  <c r="Q20" i="2"/>
  <c r="P20" i="2"/>
  <c r="O20" i="2"/>
  <c r="N20" i="2"/>
  <c r="M20" i="2"/>
  <c r="Q19" i="2"/>
  <c r="P19" i="2"/>
  <c r="O19" i="2"/>
  <c r="N19" i="2"/>
  <c r="M19" i="2"/>
  <c r="Q18" i="2"/>
  <c r="P18" i="2"/>
  <c r="O18" i="2"/>
  <c r="N18" i="2"/>
  <c r="M18" i="2"/>
  <c r="Q17" i="2"/>
  <c r="P17" i="2"/>
  <c r="O17" i="2"/>
  <c r="N17" i="2"/>
  <c r="M17" i="2"/>
  <c r="Q16" i="2"/>
  <c r="P16" i="2"/>
  <c r="O16" i="2"/>
  <c r="N16" i="2"/>
  <c r="M16" i="2"/>
  <c r="Q15" i="2"/>
  <c r="P15" i="2"/>
  <c r="O15" i="2"/>
  <c r="N15" i="2"/>
  <c r="M15" i="2"/>
  <c r="Q14" i="2"/>
  <c r="P14" i="2"/>
  <c r="O14" i="2"/>
  <c r="N14" i="2"/>
  <c r="M14" i="2"/>
  <c r="Q13" i="2"/>
  <c r="P13" i="2"/>
  <c r="O13" i="2"/>
  <c r="N13" i="2"/>
  <c r="M13" i="2"/>
  <c r="Q12" i="2"/>
  <c r="P12" i="2"/>
  <c r="O12" i="2"/>
  <c r="N12" i="2"/>
  <c r="M12" i="2"/>
  <c r="M11" i="2"/>
  <c r="R11" i="2" s="1"/>
  <c r="R35" i="2" l="1"/>
  <c r="R51" i="2"/>
  <c r="R67" i="2"/>
  <c r="R83" i="2"/>
  <c r="R77" i="2"/>
  <c r="R19" i="2"/>
  <c r="R70" i="2"/>
  <c r="R79" i="2"/>
  <c r="R27" i="2"/>
  <c r="R43" i="2"/>
  <c r="R59" i="2"/>
  <c r="R75" i="2"/>
  <c r="R80" i="2"/>
  <c r="R26" i="2"/>
  <c r="R42" i="2"/>
  <c r="R58" i="2"/>
  <c r="R74" i="2"/>
  <c r="R71" i="2"/>
  <c r="R24" i="2"/>
  <c r="R40" i="2"/>
  <c r="R56" i="2"/>
  <c r="R82" i="2"/>
  <c r="R16" i="2"/>
  <c r="R32" i="2"/>
  <c r="R48" i="2"/>
  <c r="R64" i="2"/>
  <c r="R13" i="2"/>
  <c r="R29" i="2"/>
  <c r="R45" i="2"/>
  <c r="R61" i="2"/>
  <c r="R23" i="2"/>
  <c r="R39" i="2"/>
  <c r="R55" i="2"/>
  <c r="R20" i="2"/>
  <c r="R36" i="2"/>
  <c r="R52" i="2"/>
  <c r="R68" i="2"/>
  <c r="R84" i="2"/>
  <c r="R17" i="2"/>
  <c r="R33" i="2"/>
  <c r="R49" i="2"/>
  <c r="R65" i="2"/>
  <c r="R81" i="2"/>
  <c r="R14" i="2"/>
  <c r="R30" i="2"/>
  <c r="R46" i="2"/>
  <c r="R78" i="2"/>
  <c r="R62" i="2"/>
  <c r="R21" i="2"/>
  <c r="R37" i="2"/>
  <c r="R53" i="2"/>
  <c r="R69" i="2"/>
  <c r="R72" i="2"/>
  <c r="R18" i="2"/>
  <c r="R34" i="2"/>
  <c r="R50" i="2"/>
  <c r="R66" i="2"/>
  <c r="R15" i="2"/>
  <c r="R31" i="2"/>
  <c r="R47" i="2"/>
  <c r="R12" i="2"/>
  <c r="R28" i="2"/>
  <c r="R44" i="2"/>
  <c r="R60" i="2"/>
  <c r="R76" i="2"/>
  <c r="R25" i="2"/>
  <c r="R41" i="2"/>
  <c r="R57" i="2"/>
  <c r="R63" i="2"/>
  <c r="R73" i="2"/>
  <c r="R22" i="2"/>
  <c r="R38" i="2"/>
  <c r="R54" i="2"/>
  <c r="W54" i="5" l="1"/>
  <c r="V54" i="5"/>
  <c r="U54" i="5"/>
  <c r="T54" i="5"/>
  <c r="S54" i="5"/>
  <c r="R54" i="5"/>
  <c r="W53" i="5"/>
  <c r="V53" i="5"/>
  <c r="U53" i="5"/>
  <c r="T53" i="5"/>
  <c r="S53" i="5"/>
  <c r="R53" i="5"/>
  <c r="W52" i="5"/>
  <c r="V52" i="5"/>
  <c r="U52" i="5"/>
  <c r="T52" i="5"/>
  <c r="S52" i="5"/>
  <c r="R52" i="5"/>
  <c r="W51" i="5"/>
  <c r="V51" i="5"/>
  <c r="U51" i="5"/>
  <c r="T51" i="5"/>
  <c r="S51" i="5"/>
  <c r="R51" i="5"/>
  <c r="W50" i="5"/>
  <c r="V50" i="5"/>
  <c r="U50" i="5"/>
  <c r="T50" i="5"/>
  <c r="S50" i="5"/>
  <c r="R50" i="5"/>
  <c r="W49" i="5"/>
  <c r="V49" i="5"/>
  <c r="U49" i="5"/>
  <c r="T49" i="5"/>
  <c r="S49" i="5"/>
  <c r="R49" i="5"/>
  <c r="W48" i="5"/>
  <c r="V48" i="5"/>
  <c r="U48" i="5"/>
  <c r="T48" i="5"/>
  <c r="S48" i="5"/>
  <c r="R48" i="5"/>
  <c r="W47" i="5"/>
  <c r="V47" i="5"/>
  <c r="U47" i="5"/>
  <c r="T47" i="5"/>
  <c r="S47" i="5"/>
  <c r="R47" i="5"/>
  <c r="W46" i="5"/>
  <c r="V46" i="5"/>
  <c r="U46" i="5"/>
  <c r="T46" i="5"/>
  <c r="S46" i="5"/>
  <c r="R46" i="5"/>
  <c r="W45" i="5"/>
  <c r="V45" i="5"/>
  <c r="U45" i="5"/>
  <c r="T45" i="5"/>
  <c r="S45" i="5"/>
  <c r="R45" i="5"/>
  <c r="W44" i="5"/>
  <c r="V44" i="5"/>
  <c r="U44" i="5"/>
  <c r="T44" i="5"/>
  <c r="S44" i="5"/>
  <c r="R44" i="5"/>
  <c r="W43" i="5"/>
  <c r="V43" i="5"/>
  <c r="U43" i="5"/>
  <c r="T43" i="5"/>
  <c r="S43" i="5"/>
  <c r="R43" i="5"/>
  <c r="W42" i="5"/>
  <c r="V42" i="5"/>
  <c r="U42" i="5"/>
  <c r="T42" i="5"/>
  <c r="S42" i="5"/>
  <c r="R42" i="5"/>
  <c r="W41" i="5"/>
  <c r="V41" i="5"/>
  <c r="U41" i="5"/>
  <c r="T41" i="5"/>
  <c r="S41" i="5"/>
  <c r="R41" i="5"/>
  <c r="W40" i="5"/>
  <c r="V40" i="5"/>
  <c r="U40" i="5"/>
  <c r="T40" i="5"/>
  <c r="S40" i="5"/>
  <c r="R40" i="5"/>
  <c r="W39" i="5"/>
  <c r="V39" i="5"/>
  <c r="U39" i="5"/>
  <c r="T39" i="5"/>
  <c r="S39" i="5"/>
  <c r="R39" i="5"/>
  <c r="W38" i="5"/>
  <c r="V38" i="5"/>
  <c r="U38" i="5"/>
  <c r="T38" i="5"/>
  <c r="S38" i="5"/>
  <c r="R38" i="5"/>
  <c r="W37" i="5"/>
  <c r="V37" i="5"/>
  <c r="U37" i="5"/>
  <c r="T37" i="5"/>
  <c r="S37" i="5"/>
  <c r="R37" i="5"/>
  <c r="W36" i="5"/>
  <c r="V36" i="5"/>
  <c r="U36" i="5"/>
  <c r="T36" i="5"/>
  <c r="S36" i="5"/>
  <c r="R36" i="5"/>
  <c r="W35" i="5"/>
  <c r="V35" i="5"/>
  <c r="U35" i="5"/>
  <c r="T35" i="5"/>
  <c r="S35" i="5"/>
  <c r="R35" i="5"/>
  <c r="W34" i="5"/>
  <c r="V34" i="5"/>
  <c r="U34" i="5"/>
  <c r="T34" i="5"/>
  <c r="S34" i="5"/>
  <c r="R34" i="5"/>
  <c r="W33" i="5"/>
  <c r="V33" i="5"/>
  <c r="U33" i="5"/>
  <c r="T33" i="5"/>
  <c r="S33" i="5"/>
  <c r="R33" i="5"/>
  <c r="W32" i="5"/>
  <c r="V32" i="5"/>
  <c r="U32" i="5"/>
  <c r="T32" i="5"/>
  <c r="S32" i="5"/>
  <c r="R32" i="5"/>
  <c r="W31" i="5"/>
  <c r="V31" i="5"/>
  <c r="U31" i="5"/>
  <c r="T31" i="5"/>
  <c r="S31" i="5"/>
  <c r="R31" i="5"/>
  <c r="W30" i="5"/>
  <c r="V30" i="5"/>
  <c r="U30" i="5"/>
  <c r="T30" i="5"/>
  <c r="S30" i="5"/>
  <c r="R30" i="5"/>
  <c r="W29" i="5"/>
  <c r="V29" i="5"/>
  <c r="U29" i="5"/>
  <c r="T29" i="5"/>
  <c r="S29" i="5"/>
  <c r="R29" i="5"/>
  <c r="W28" i="5"/>
  <c r="V28" i="5"/>
  <c r="U28" i="5"/>
  <c r="T28" i="5"/>
  <c r="S28" i="5"/>
  <c r="R28" i="5"/>
  <c r="W27" i="5"/>
  <c r="V27" i="5"/>
  <c r="U27" i="5"/>
  <c r="T27" i="5"/>
  <c r="S27" i="5"/>
  <c r="R27" i="5"/>
  <c r="W26" i="5"/>
  <c r="V26" i="5"/>
  <c r="U26" i="5"/>
  <c r="T26" i="5"/>
  <c r="S26" i="5"/>
  <c r="R26" i="5"/>
  <c r="W25" i="5"/>
  <c r="V25" i="5"/>
  <c r="U25" i="5"/>
  <c r="T25" i="5"/>
  <c r="S25" i="5"/>
  <c r="R25" i="5"/>
  <c r="W24" i="5"/>
  <c r="V24" i="5"/>
  <c r="U24" i="5"/>
  <c r="T24" i="5"/>
  <c r="S24" i="5"/>
  <c r="R24" i="5"/>
  <c r="W23" i="5"/>
  <c r="V23" i="5"/>
  <c r="U23" i="5"/>
  <c r="T23" i="5"/>
  <c r="S23" i="5"/>
  <c r="R23" i="5"/>
  <c r="W22" i="5"/>
  <c r="V22" i="5"/>
  <c r="U22" i="5"/>
  <c r="T22" i="5"/>
  <c r="S22" i="5"/>
  <c r="R22" i="5"/>
  <c r="W21" i="5"/>
  <c r="V21" i="5"/>
  <c r="U21" i="5"/>
  <c r="T21" i="5"/>
  <c r="S21" i="5"/>
  <c r="R21" i="5"/>
  <c r="W20" i="5"/>
  <c r="V20" i="5"/>
  <c r="U20" i="5"/>
  <c r="T20" i="5"/>
  <c r="S20" i="5"/>
  <c r="R20" i="5"/>
  <c r="W19" i="5"/>
  <c r="V19" i="5"/>
  <c r="U19" i="5"/>
  <c r="T19" i="5"/>
  <c r="S19" i="5"/>
  <c r="R19" i="5"/>
  <c r="W18" i="5"/>
  <c r="V18" i="5"/>
  <c r="U18" i="5"/>
  <c r="T18" i="5"/>
  <c r="S18" i="5"/>
  <c r="R18" i="5"/>
  <c r="W17" i="5"/>
  <c r="V17" i="5"/>
  <c r="U17" i="5"/>
  <c r="T17" i="5"/>
  <c r="S17" i="5"/>
  <c r="R17" i="5"/>
  <c r="W16" i="5"/>
  <c r="V16" i="5"/>
  <c r="U16" i="5"/>
  <c r="T16" i="5"/>
  <c r="S16" i="5"/>
  <c r="R16" i="5"/>
  <c r="W15" i="5"/>
  <c r="V15" i="5"/>
  <c r="U15" i="5"/>
  <c r="T15" i="5"/>
  <c r="S15" i="5"/>
  <c r="R15" i="5"/>
  <c r="W14" i="5"/>
  <c r="V14" i="5"/>
  <c r="U14" i="5"/>
  <c r="T14" i="5"/>
  <c r="S14" i="5"/>
  <c r="R14" i="5"/>
  <c r="W13" i="5"/>
  <c r="V13" i="5"/>
  <c r="U13" i="5"/>
  <c r="T13" i="5"/>
  <c r="S13" i="5"/>
  <c r="R13" i="5"/>
  <c r="W12" i="5"/>
  <c r="V12" i="5"/>
  <c r="U12" i="5"/>
  <c r="T12" i="5"/>
  <c r="S12" i="5"/>
  <c r="R12" i="5"/>
  <c r="W11" i="5"/>
  <c r="V11" i="5"/>
  <c r="U11" i="5"/>
  <c r="T11" i="5"/>
  <c r="S11" i="5"/>
  <c r="R11" i="5"/>
  <c r="W10" i="5"/>
  <c r="V10" i="5"/>
  <c r="U10" i="5"/>
  <c r="T10" i="5"/>
  <c r="S10" i="5"/>
  <c r="R10" i="5"/>
  <c r="W9" i="5"/>
  <c r="V9" i="5"/>
  <c r="U9" i="5"/>
  <c r="T9" i="5"/>
  <c r="S9" i="5"/>
  <c r="R9" i="5"/>
  <c r="W8" i="5"/>
  <c r="V8" i="5"/>
  <c r="U8" i="5"/>
  <c r="T8" i="5"/>
  <c r="S8" i="5"/>
  <c r="R8" i="5"/>
  <c r="W7" i="5"/>
  <c r="V7" i="5"/>
  <c r="U7" i="5"/>
  <c r="T7" i="5"/>
  <c r="S7" i="5"/>
  <c r="R7" i="5"/>
  <c r="W6" i="5"/>
  <c r="V6" i="5"/>
  <c r="U6" i="5"/>
  <c r="T6" i="5"/>
  <c r="S6" i="5"/>
  <c r="R6" i="5"/>
  <c r="W86" i="2"/>
  <c r="V86" i="2"/>
  <c r="U86" i="2"/>
  <c r="T86" i="2"/>
  <c r="S86" i="2"/>
  <c r="R86" i="2"/>
  <c r="L86" i="2"/>
  <c r="W85" i="2"/>
  <c r="V85" i="2"/>
  <c r="U85" i="2"/>
  <c r="T85" i="2"/>
  <c r="S85" i="2"/>
  <c r="R85" i="2"/>
  <c r="W84" i="2"/>
  <c r="V84" i="2"/>
  <c r="U84" i="2"/>
  <c r="T84" i="2"/>
  <c r="S84" i="2"/>
  <c r="W83" i="2"/>
  <c r="V83" i="2"/>
  <c r="U83" i="2"/>
  <c r="T83" i="2"/>
  <c r="S83" i="2"/>
  <c r="W82" i="2"/>
  <c r="V82" i="2"/>
  <c r="U82" i="2"/>
  <c r="T82" i="2"/>
  <c r="S82" i="2"/>
  <c r="W81" i="2"/>
  <c r="V81" i="2"/>
  <c r="U81" i="2"/>
  <c r="T81" i="2"/>
  <c r="S81" i="2"/>
  <c r="W80" i="2"/>
  <c r="V80" i="2"/>
  <c r="U80" i="2"/>
  <c r="T80" i="2"/>
  <c r="S80" i="2"/>
  <c r="W79" i="2"/>
  <c r="V79" i="2"/>
  <c r="U79" i="2"/>
  <c r="T79" i="2"/>
  <c r="S79" i="2"/>
  <c r="W78" i="2"/>
  <c r="V78" i="2"/>
  <c r="U78" i="2"/>
  <c r="T78" i="2"/>
  <c r="S78" i="2"/>
  <c r="W77" i="2"/>
  <c r="V77" i="2"/>
  <c r="U77" i="2"/>
  <c r="T77" i="2"/>
  <c r="S77" i="2"/>
  <c r="W76" i="2"/>
  <c r="V76" i="2"/>
  <c r="U76" i="2"/>
  <c r="T76" i="2"/>
  <c r="S76" i="2"/>
  <c r="W75" i="2"/>
  <c r="V75" i="2"/>
  <c r="U75" i="2"/>
  <c r="T75" i="2"/>
  <c r="S75" i="2"/>
  <c r="W74" i="2"/>
  <c r="V74" i="2"/>
  <c r="U74" i="2"/>
  <c r="T74" i="2"/>
  <c r="S74" i="2"/>
  <c r="W73" i="2"/>
  <c r="V73" i="2"/>
  <c r="U73" i="2"/>
  <c r="T73" i="2"/>
  <c r="S73" i="2"/>
  <c r="W72" i="2"/>
  <c r="V72" i="2"/>
  <c r="U72" i="2"/>
  <c r="T72" i="2"/>
  <c r="S72" i="2"/>
  <c r="W71" i="2"/>
  <c r="V71" i="2"/>
  <c r="U71" i="2"/>
  <c r="T71" i="2"/>
  <c r="S71" i="2"/>
  <c r="W70" i="2"/>
  <c r="V70" i="2"/>
  <c r="U70" i="2"/>
  <c r="T70" i="2"/>
  <c r="S70" i="2"/>
  <c r="W69" i="2"/>
  <c r="V69" i="2"/>
  <c r="U69" i="2"/>
  <c r="T69" i="2"/>
  <c r="S69" i="2"/>
  <c r="W68" i="2"/>
  <c r="V68" i="2"/>
  <c r="U68" i="2"/>
  <c r="T68" i="2"/>
  <c r="S68" i="2"/>
  <c r="W67" i="2"/>
  <c r="V67" i="2"/>
  <c r="U67" i="2"/>
  <c r="T67" i="2"/>
  <c r="S67" i="2"/>
  <c r="W66" i="2"/>
  <c r="V66" i="2"/>
  <c r="U66" i="2"/>
  <c r="T66" i="2"/>
  <c r="S66" i="2"/>
  <c r="W65" i="2"/>
  <c r="V65" i="2"/>
  <c r="U65" i="2"/>
  <c r="T65" i="2"/>
  <c r="S65" i="2"/>
  <c r="W64" i="2"/>
  <c r="V64" i="2"/>
  <c r="U64" i="2"/>
  <c r="T64" i="2"/>
  <c r="S64" i="2"/>
  <c r="W63" i="2"/>
  <c r="V63" i="2"/>
  <c r="U63" i="2"/>
  <c r="T63" i="2"/>
  <c r="S63" i="2"/>
  <c r="W62" i="2"/>
  <c r="V62" i="2"/>
  <c r="U62" i="2"/>
  <c r="T62" i="2"/>
  <c r="S62" i="2"/>
  <c r="W61" i="2"/>
  <c r="V61" i="2"/>
  <c r="U61" i="2"/>
  <c r="T61" i="2"/>
  <c r="S61" i="2"/>
  <c r="W60" i="2"/>
  <c r="V60" i="2"/>
  <c r="U60" i="2"/>
  <c r="T60" i="2"/>
  <c r="S60" i="2"/>
  <c r="W59" i="2"/>
  <c r="V59" i="2"/>
  <c r="U59" i="2"/>
  <c r="T59" i="2"/>
  <c r="S59" i="2"/>
  <c r="W58" i="2"/>
  <c r="V58" i="2"/>
  <c r="U58" i="2"/>
  <c r="T58" i="2"/>
  <c r="S58" i="2"/>
  <c r="W57" i="2"/>
  <c r="V57" i="2"/>
  <c r="U57" i="2"/>
  <c r="T57" i="2"/>
  <c r="S57" i="2"/>
  <c r="W56" i="2"/>
  <c r="V56" i="2"/>
  <c r="U56" i="2"/>
  <c r="T56" i="2"/>
  <c r="S56" i="2"/>
  <c r="W55" i="2"/>
  <c r="V55" i="2"/>
  <c r="U55" i="2"/>
  <c r="T55" i="2"/>
  <c r="S55" i="2"/>
  <c r="W54" i="2"/>
  <c r="V54" i="2"/>
  <c r="U54" i="2"/>
  <c r="T54" i="2"/>
  <c r="S54" i="2"/>
  <c r="W53" i="2"/>
  <c r="V53" i="2"/>
  <c r="U53" i="2"/>
  <c r="T53" i="2"/>
  <c r="S53" i="2"/>
  <c r="W52" i="2"/>
  <c r="V52" i="2"/>
  <c r="U52" i="2"/>
  <c r="T52" i="2"/>
  <c r="S52" i="2"/>
  <c r="W51" i="2"/>
  <c r="V51" i="2"/>
  <c r="U51" i="2"/>
  <c r="T51" i="2"/>
  <c r="S51" i="2"/>
  <c r="W50" i="2"/>
  <c r="V50" i="2"/>
  <c r="U50" i="2"/>
  <c r="T50" i="2"/>
  <c r="S50" i="2"/>
  <c r="W49" i="2"/>
  <c r="V49" i="2"/>
  <c r="U49" i="2"/>
  <c r="T49" i="2"/>
  <c r="S49" i="2"/>
  <c r="W48" i="2"/>
  <c r="V48" i="2"/>
  <c r="U48" i="2"/>
  <c r="T48" i="2"/>
  <c r="S48" i="2"/>
  <c r="W47" i="2"/>
  <c r="V47" i="2"/>
  <c r="U47" i="2"/>
  <c r="T47" i="2"/>
  <c r="S47" i="2"/>
  <c r="W46" i="2"/>
  <c r="V46" i="2"/>
  <c r="U46" i="2"/>
  <c r="T46" i="2"/>
  <c r="S46" i="2"/>
  <c r="W45" i="2"/>
  <c r="V45" i="2"/>
  <c r="U45" i="2"/>
  <c r="T45" i="2"/>
  <c r="S45" i="2"/>
  <c r="W44" i="2"/>
  <c r="V44" i="2"/>
  <c r="U44" i="2"/>
  <c r="T44" i="2"/>
  <c r="S44" i="2"/>
  <c r="W43" i="2"/>
  <c r="V43" i="2"/>
  <c r="U43" i="2"/>
  <c r="T43" i="2"/>
  <c r="S43" i="2"/>
  <c r="W42" i="2"/>
  <c r="V42" i="2"/>
  <c r="U42" i="2"/>
  <c r="T42" i="2"/>
  <c r="S42" i="2"/>
  <c r="W41" i="2"/>
  <c r="V41" i="2"/>
  <c r="U41" i="2"/>
  <c r="T41" i="2"/>
  <c r="S41" i="2"/>
  <c r="W40" i="2"/>
  <c r="V40" i="2"/>
  <c r="U40" i="2"/>
  <c r="T40" i="2"/>
  <c r="S40" i="2"/>
  <c r="W39" i="2"/>
  <c r="V39" i="2"/>
  <c r="U39" i="2"/>
  <c r="T39" i="2"/>
  <c r="S39" i="2"/>
  <c r="W38" i="2"/>
  <c r="V38" i="2"/>
  <c r="U38" i="2"/>
  <c r="T38" i="2"/>
  <c r="S38" i="2"/>
  <c r="W37" i="2"/>
  <c r="V37" i="2"/>
  <c r="U37" i="2"/>
  <c r="T37" i="2"/>
  <c r="S37" i="2"/>
  <c r="W36" i="2"/>
  <c r="V36" i="2"/>
  <c r="U36" i="2"/>
  <c r="T36" i="2"/>
  <c r="S36" i="2"/>
  <c r="W35" i="2"/>
  <c r="V35" i="2"/>
  <c r="U35" i="2"/>
  <c r="T35" i="2"/>
  <c r="S35" i="2"/>
  <c r="W34" i="2"/>
  <c r="V34" i="2"/>
  <c r="U34" i="2"/>
  <c r="T34" i="2"/>
  <c r="S34" i="2"/>
  <c r="W33" i="2"/>
  <c r="V33" i="2"/>
  <c r="U33" i="2"/>
  <c r="T33" i="2"/>
  <c r="S33" i="2"/>
  <c r="W32" i="2"/>
  <c r="V32" i="2"/>
  <c r="U32" i="2"/>
  <c r="T32" i="2"/>
  <c r="S32" i="2"/>
  <c r="W31" i="2"/>
  <c r="V31" i="2"/>
  <c r="U31" i="2"/>
  <c r="T31" i="2"/>
  <c r="S31" i="2"/>
  <c r="W30" i="2"/>
  <c r="V30" i="2"/>
  <c r="U30" i="2"/>
  <c r="T30" i="2"/>
  <c r="S30" i="2"/>
  <c r="W29" i="2"/>
  <c r="V29" i="2"/>
  <c r="U29" i="2"/>
  <c r="T29" i="2"/>
  <c r="S29" i="2"/>
  <c r="W28" i="2"/>
  <c r="V28" i="2"/>
  <c r="U28" i="2"/>
  <c r="T28" i="2"/>
  <c r="S28" i="2"/>
  <c r="W27" i="2"/>
  <c r="V27" i="2"/>
  <c r="U27" i="2"/>
  <c r="T27" i="2"/>
  <c r="S27" i="2"/>
  <c r="W26" i="2"/>
  <c r="V26" i="2"/>
  <c r="U26" i="2"/>
  <c r="T26" i="2"/>
  <c r="S26" i="2"/>
  <c r="W25" i="2"/>
  <c r="V25" i="2"/>
  <c r="U25" i="2"/>
  <c r="T25" i="2"/>
  <c r="S25" i="2"/>
  <c r="W24" i="2"/>
  <c r="V24" i="2"/>
  <c r="U24" i="2"/>
  <c r="T24" i="2"/>
  <c r="S24" i="2"/>
  <c r="W23" i="2"/>
  <c r="V23" i="2"/>
  <c r="U23" i="2"/>
  <c r="T23" i="2"/>
  <c r="S23" i="2"/>
  <c r="W22" i="2"/>
  <c r="V22" i="2"/>
  <c r="U22" i="2"/>
  <c r="T22" i="2"/>
  <c r="S22" i="2"/>
  <c r="W21" i="2"/>
  <c r="V21" i="2"/>
  <c r="U21" i="2"/>
  <c r="T21" i="2"/>
  <c r="S21" i="2"/>
  <c r="W20" i="2"/>
  <c r="V20" i="2"/>
  <c r="U20" i="2"/>
  <c r="T20" i="2"/>
  <c r="S20" i="2"/>
  <c r="W19" i="2"/>
  <c r="V19" i="2"/>
  <c r="U19" i="2"/>
  <c r="T19" i="2"/>
  <c r="S19" i="2"/>
  <c r="W18" i="2"/>
  <c r="V18" i="2"/>
  <c r="U18" i="2"/>
  <c r="T18" i="2"/>
  <c r="S18" i="2"/>
  <c r="W17" i="2"/>
  <c r="V17" i="2"/>
  <c r="U17" i="2"/>
  <c r="T17" i="2"/>
  <c r="S17" i="2"/>
  <c r="W16" i="2"/>
  <c r="V16" i="2"/>
  <c r="U16" i="2"/>
  <c r="T16" i="2"/>
  <c r="S16" i="2"/>
  <c r="W15" i="2"/>
  <c r="V15" i="2"/>
  <c r="U15" i="2"/>
  <c r="T15" i="2"/>
  <c r="S15" i="2"/>
  <c r="W14" i="2"/>
  <c r="V14" i="2"/>
  <c r="U14" i="2"/>
  <c r="T14" i="2"/>
  <c r="S14" i="2"/>
  <c r="W13" i="2"/>
  <c r="V13" i="2"/>
  <c r="U13" i="2"/>
  <c r="T13" i="2"/>
  <c r="S13" i="2"/>
  <c r="W12" i="2"/>
  <c r="V12" i="2"/>
  <c r="U12" i="2"/>
  <c r="T12" i="2"/>
  <c r="S12" i="2"/>
  <c r="W11" i="2"/>
  <c r="V11" i="2"/>
  <c r="U11" i="2"/>
  <c r="T11" i="2"/>
  <c r="S11" i="2"/>
  <c r="W10" i="2"/>
  <c r="V10" i="2"/>
  <c r="U10" i="2"/>
  <c r="T10" i="2"/>
  <c r="S10" i="2"/>
  <c r="W9" i="2"/>
  <c r="V9" i="2"/>
  <c r="U9" i="2"/>
  <c r="T9" i="2"/>
  <c r="S9" i="2"/>
  <c r="W8" i="2"/>
  <c r="V8" i="2"/>
  <c r="U8" i="2"/>
  <c r="T8" i="2"/>
  <c r="S8" i="2"/>
  <c r="W7" i="2"/>
  <c r="V7" i="2"/>
  <c r="U7" i="2"/>
  <c r="T7" i="2"/>
  <c r="S7" i="2"/>
  <c r="W6" i="2"/>
  <c r="V6" i="2"/>
  <c r="U6" i="2"/>
  <c r="T6" i="2"/>
  <c r="S6" i="2"/>
  <c r="X8" i="5" l="1"/>
  <c r="X24" i="5"/>
  <c r="X40" i="5"/>
  <c r="X23" i="5"/>
  <c r="X31" i="5"/>
  <c r="X39" i="5"/>
  <c r="X42" i="5"/>
  <c r="X29" i="5"/>
  <c r="X37" i="5"/>
  <c r="X51" i="5"/>
  <c r="X35" i="5"/>
  <c r="X19" i="5"/>
  <c r="X85" i="2"/>
  <c r="X25" i="2"/>
  <c r="X41" i="2"/>
  <c r="X57" i="2"/>
  <c r="X73" i="2"/>
  <c r="X34" i="2"/>
  <c r="X13" i="2"/>
  <c r="X55" i="2"/>
  <c r="X21" i="2"/>
  <c r="X7" i="2"/>
  <c r="X15" i="2"/>
  <c r="X63" i="2"/>
  <c r="X79" i="2"/>
  <c r="X12" i="5"/>
  <c r="X21" i="5"/>
  <c r="X10" i="5"/>
  <c r="X44" i="5"/>
  <c r="X53" i="5"/>
  <c r="X26" i="5"/>
  <c r="X33" i="5"/>
  <c r="X17" i="5"/>
  <c r="X15" i="5"/>
  <c r="X11" i="5"/>
  <c r="X13" i="5"/>
  <c r="X49" i="5"/>
  <c r="X27" i="5"/>
  <c r="X47" i="5"/>
  <c r="X9" i="5"/>
  <c r="X43" i="5"/>
  <c r="X45" i="5"/>
  <c r="X25" i="5"/>
  <c r="X7" i="5"/>
  <c r="X41" i="5"/>
  <c r="X6" i="5"/>
  <c r="X38" i="5"/>
  <c r="X36" i="5"/>
  <c r="X34" i="5"/>
  <c r="X32" i="5"/>
  <c r="X30" i="5"/>
  <c r="X28" i="5"/>
  <c r="X22" i="5"/>
  <c r="X54" i="5"/>
  <c r="X20" i="5"/>
  <c r="X52" i="5"/>
  <c r="X18" i="5"/>
  <c r="X50" i="5"/>
  <c r="X16" i="5"/>
  <c r="X48" i="5"/>
  <c r="X14" i="5"/>
  <c r="X46" i="5"/>
  <c r="X66" i="2"/>
  <c r="X39" i="2"/>
  <c r="X71" i="2"/>
  <c r="X80" i="2"/>
  <c r="X37" i="2"/>
  <c r="X23" i="2"/>
  <c r="X69" i="2"/>
  <c r="X35" i="2"/>
  <c r="X19" i="2"/>
  <c r="X53" i="2"/>
  <c r="X67" i="2"/>
  <c r="X17" i="2"/>
  <c r="X33" i="2"/>
  <c r="X51" i="2"/>
  <c r="X49" i="2"/>
  <c r="X65" i="2"/>
  <c r="X83" i="2"/>
  <c r="X31" i="2"/>
  <c r="X47" i="2"/>
  <c r="X81" i="2"/>
  <c r="X29" i="2"/>
  <c r="X45" i="2"/>
  <c r="X61" i="2"/>
  <c r="X77" i="2"/>
  <c r="X43" i="2"/>
  <c r="X84" i="2"/>
  <c r="X11" i="2"/>
  <c r="X27" i="2"/>
  <c r="X9" i="2"/>
  <c r="X59" i="2"/>
  <c r="X75" i="2"/>
  <c r="X58" i="2"/>
  <c r="X22" i="2"/>
  <c r="X28" i="2"/>
  <c r="X26" i="2"/>
  <c r="X32" i="2"/>
  <c r="X30" i="2"/>
  <c r="X62" i="2"/>
  <c r="X24" i="2"/>
  <c r="X86" i="2"/>
  <c r="X20" i="2"/>
  <c r="X52" i="2"/>
  <c r="X18" i="2"/>
  <c r="X16" i="2"/>
  <c r="X48" i="2"/>
  <c r="X14" i="2"/>
  <c r="X46" i="2"/>
  <c r="X78" i="2"/>
  <c r="X12" i="2"/>
  <c r="X44" i="2"/>
  <c r="X76" i="2"/>
  <c r="X10" i="2"/>
  <c r="X42" i="2"/>
  <c r="X74" i="2"/>
  <c r="X8" i="2"/>
  <c r="X40" i="2"/>
  <c r="X72" i="2"/>
  <c r="X6" i="2"/>
  <c r="X38" i="2"/>
  <c r="X70" i="2"/>
  <c r="X36" i="2"/>
  <c r="X68" i="2"/>
  <c r="X64" i="2"/>
  <c r="X60" i="2"/>
  <c r="X56" i="2"/>
  <c r="X54" i="2"/>
  <c r="X50" i="2"/>
  <c r="X82" i="2"/>
  <c r="A5" i="10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D2" i="10"/>
  <c r="A2" i="10"/>
  <c r="I74" i="5"/>
  <c r="H74" i="5"/>
  <c r="G74" i="5"/>
  <c r="W71" i="5" l="1"/>
  <c r="V71" i="5"/>
  <c r="U71" i="5"/>
  <c r="T71" i="5"/>
  <c r="S71" i="5"/>
  <c r="R71" i="5"/>
  <c r="L71" i="5"/>
  <c r="L5" i="4"/>
  <c r="W66" i="5"/>
  <c r="V66" i="5"/>
  <c r="U66" i="5"/>
  <c r="T66" i="5"/>
  <c r="W65" i="5"/>
  <c r="V65" i="5"/>
  <c r="U65" i="5"/>
  <c r="T65" i="5"/>
  <c r="W64" i="5"/>
  <c r="V64" i="5"/>
  <c r="U64" i="5"/>
  <c r="T64" i="5"/>
  <c r="W63" i="5"/>
  <c r="V63" i="5"/>
  <c r="U63" i="5"/>
  <c r="T63" i="5"/>
  <c r="W62" i="5"/>
  <c r="V62" i="5"/>
  <c r="U62" i="5"/>
  <c r="T62" i="5"/>
  <c r="W61" i="5"/>
  <c r="V61" i="5"/>
  <c r="U61" i="5"/>
  <c r="T61" i="5"/>
  <c r="W60" i="5"/>
  <c r="V60" i="5"/>
  <c r="U60" i="5"/>
  <c r="T60" i="5"/>
  <c r="W59" i="5"/>
  <c r="V59" i="5"/>
  <c r="U59" i="5"/>
  <c r="T59" i="5"/>
  <c r="W58" i="5"/>
  <c r="V58" i="5"/>
  <c r="U58" i="5"/>
  <c r="T58" i="5"/>
  <c r="W57" i="5"/>
  <c r="V57" i="5"/>
  <c r="U57" i="5"/>
  <c r="T57" i="5"/>
  <c r="W56" i="5"/>
  <c r="V56" i="5"/>
  <c r="U56" i="5"/>
  <c r="T56" i="5"/>
  <c r="W55" i="5"/>
  <c r="V55" i="5"/>
  <c r="U55" i="5"/>
  <c r="T55" i="5"/>
  <c r="W73" i="5"/>
  <c r="V73" i="5"/>
  <c r="U73" i="5"/>
  <c r="T73" i="5"/>
  <c r="S73" i="5"/>
  <c r="W72" i="5"/>
  <c r="V72" i="5"/>
  <c r="U72" i="5"/>
  <c r="T72" i="5"/>
  <c r="S72" i="5"/>
  <c r="W70" i="5"/>
  <c r="V70" i="5"/>
  <c r="U70" i="5"/>
  <c r="T70" i="5"/>
  <c r="S70" i="5"/>
  <c r="W69" i="5"/>
  <c r="V69" i="5"/>
  <c r="U69" i="5"/>
  <c r="T69" i="5"/>
  <c r="S69" i="5"/>
  <c r="W68" i="5"/>
  <c r="V68" i="5"/>
  <c r="U68" i="5"/>
  <c r="T68" i="5"/>
  <c r="S68" i="5"/>
  <c r="W67" i="5"/>
  <c r="V67" i="5"/>
  <c r="U67" i="5"/>
  <c r="T67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X71" i="5" l="1"/>
  <c r="L83" i="4"/>
  <c r="L82" i="4"/>
  <c r="L81" i="4"/>
  <c r="M81" i="4" s="1"/>
  <c r="O81" i="4" s="1"/>
  <c r="L80" i="4"/>
  <c r="M80" i="4" s="1"/>
  <c r="O80" i="4" s="1"/>
  <c r="L79" i="4"/>
  <c r="L78" i="4"/>
  <c r="M78" i="4" s="1"/>
  <c r="O78" i="4" s="1"/>
  <c r="L77" i="4"/>
  <c r="L76" i="4"/>
  <c r="M76" i="4" s="1"/>
  <c r="O76" i="4" s="1"/>
  <c r="L75" i="4"/>
  <c r="L74" i="4"/>
  <c r="L73" i="4"/>
  <c r="L72" i="4"/>
  <c r="M72" i="4" s="1"/>
  <c r="O72" i="4" s="1"/>
  <c r="L71" i="4"/>
  <c r="L70" i="4"/>
  <c r="M70" i="4" s="1"/>
  <c r="O70" i="4" s="1"/>
  <c r="L69" i="4"/>
  <c r="L68" i="4"/>
  <c r="L67" i="4"/>
  <c r="M67" i="4" s="1"/>
  <c r="O67" i="4" s="1"/>
  <c r="L66" i="4"/>
  <c r="L65" i="4"/>
  <c r="M65" i="4" s="1"/>
  <c r="O65" i="4" s="1"/>
  <c r="L64" i="4"/>
  <c r="M64" i="4" s="1"/>
  <c r="O64" i="4" s="1"/>
  <c r="L63" i="4"/>
  <c r="L62" i="4"/>
  <c r="M62" i="4" s="1"/>
  <c r="O62" i="4" s="1"/>
  <c r="L61" i="4"/>
  <c r="L60" i="4"/>
  <c r="L59" i="4"/>
  <c r="L58" i="4"/>
  <c r="M58" i="4" s="1"/>
  <c r="O58" i="4" s="1"/>
  <c r="L57" i="4"/>
  <c r="L56" i="4"/>
  <c r="M56" i="4" s="1"/>
  <c r="O56" i="4" s="1"/>
  <c r="L55" i="4"/>
  <c r="M55" i="4" s="1"/>
  <c r="O55" i="4" s="1"/>
  <c r="L54" i="4"/>
  <c r="M54" i="4" s="1"/>
  <c r="O54" i="4" s="1"/>
  <c r="L53" i="4"/>
  <c r="L52" i="4"/>
  <c r="L51" i="4"/>
  <c r="M51" i="4" s="1"/>
  <c r="O51" i="4" s="1"/>
  <c r="L50" i="4"/>
  <c r="M50" i="4" s="1"/>
  <c r="O50" i="4" s="1"/>
  <c r="L49" i="4"/>
  <c r="M49" i="4" s="1"/>
  <c r="O49" i="4" s="1"/>
  <c r="L48" i="4"/>
  <c r="M48" i="4" s="1"/>
  <c r="O48" i="4" s="1"/>
  <c r="L47" i="4"/>
  <c r="L46" i="4"/>
  <c r="M46" i="4" s="1"/>
  <c r="O46" i="4" s="1"/>
  <c r="L45" i="4"/>
  <c r="L44" i="4"/>
  <c r="M44" i="4" s="1"/>
  <c r="O44" i="4" s="1"/>
  <c r="L43" i="4"/>
  <c r="L42" i="4"/>
  <c r="M42" i="4" s="1"/>
  <c r="O42" i="4" s="1"/>
  <c r="L41" i="4"/>
  <c r="L40" i="4"/>
  <c r="M40" i="4" s="1"/>
  <c r="O40" i="4" s="1"/>
  <c r="L39" i="4"/>
  <c r="L38" i="4"/>
  <c r="M38" i="4" s="1"/>
  <c r="O38" i="4" s="1"/>
  <c r="L37" i="4"/>
  <c r="L36" i="4"/>
  <c r="L35" i="4"/>
  <c r="M35" i="4" s="1"/>
  <c r="O35" i="4" s="1"/>
  <c r="L34" i="4"/>
  <c r="M34" i="4" s="1"/>
  <c r="O34" i="4" s="1"/>
  <c r="L33" i="4"/>
  <c r="M33" i="4" s="1"/>
  <c r="O33" i="4" s="1"/>
  <c r="L32" i="4"/>
  <c r="M32" i="4" s="1"/>
  <c r="O32" i="4" s="1"/>
  <c r="L31" i="4"/>
  <c r="L30" i="4"/>
  <c r="M30" i="4" s="1"/>
  <c r="O30" i="4" s="1"/>
  <c r="L29" i="4"/>
  <c r="L28" i="4"/>
  <c r="L27" i="4"/>
  <c r="L26" i="4"/>
  <c r="M26" i="4" s="1"/>
  <c r="O26" i="4" s="1"/>
  <c r="L25" i="4"/>
  <c r="L24" i="4"/>
  <c r="M24" i="4" s="1"/>
  <c r="O24" i="4" s="1"/>
  <c r="L23" i="4"/>
  <c r="L22" i="4"/>
  <c r="M22" i="4" s="1"/>
  <c r="O22" i="4" s="1"/>
  <c r="L21" i="4"/>
  <c r="L20" i="4"/>
  <c r="M20" i="4" s="1"/>
  <c r="O20" i="4" s="1"/>
  <c r="L19" i="4"/>
  <c r="M19" i="4" s="1"/>
  <c r="O19" i="4" s="1"/>
  <c r="L18" i="4"/>
  <c r="M18" i="4" s="1"/>
  <c r="O18" i="4" s="1"/>
  <c r="L17" i="4"/>
  <c r="L16" i="4"/>
  <c r="M16" i="4" s="1"/>
  <c r="O16" i="4" s="1"/>
  <c r="L15" i="4"/>
  <c r="L14" i="4"/>
  <c r="M14" i="4" s="1"/>
  <c r="O14" i="4" s="1"/>
  <c r="L13" i="4"/>
  <c r="L12" i="4"/>
  <c r="L11" i="4"/>
  <c r="N62" i="4" l="1"/>
  <c r="N65" i="4"/>
  <c r="N48" i="4"/>
  <c r="N22" i="4"/>
  <c r="N81" i="4"/>
  <c r="N20" i="4"/>
  <c r="N39" i="4"/>
  <c r="M39" i="4"/>
  <c r="O39" i="4" s="1"/>
  <c r="N56" i="4"/>
  <c r="N15" i="4"/>
  <c r="M15" i="4"/>
  <c r="O15" i="4" s="1"/>
  <c r="N27" i="4"/>
  <c r="M27" i="4"/>
  <c r="O27" i="4" s="1"/>
  <c r="N33" i="4"/>
  <c r="N52" i="4"/>
  <c r="M52" i="4"/>
  <c r="O52" i="4" s="1"/>
  <c r="N57" i="4"/>
  <c r="M57" i="4"/>
  <c r="O57" i="4" s="1"/>
  <c r="N77" i="4"/>
  <c r="M77" i="4"/>
  <c r="O77" i="4" s="1"/>
  <c r="N83" i="4"/>
  <c r="M83" i="4"/>
  <c r="O83" i="4" s="1"/>
  <c r="N28" i="4"/>
  <c r="M28" i="4"/>
  <c r="O28" i="4" s="1"/>
  <c r="N41" i="4"/>
  <c r="M41" i="4"/>
  <c r="O41" i="4" s="1"/>
  <c r="N53" i="4"/>
  <c r="M53" i="4"/>
  <c r="O53" i="4" s="1"/>
  <c r="N71" i="4"/>
  <c r="M71" i="4"/>
  <c r="O71" i="4" s="1"/>
  <c r="N59" i="4"/>
  <c r="M59" i="4"/>
  <c r="O59" i="4" s="1"/>
  <c r="N23" i="4"/>
  <c r="M23" i="4"/>
  <c r="O23" i="4" s="1"/>
  <c r="N79" i="4"/>
  <c r="M79" i="4"/>
  <c r="O79" i="4" s="1"/>
  <c r="N36" i="4"/>
  <c r="M36" i="4"/>
  <c r="O36" i="4" s="1"/>
  <c r="N49" i="4"/>
  <c r="N61" i="4"/>
  <c r="M61" i="4"/>
  <c r="O61" i="4" s="1"/>
  <c r="N74" i="4"/>
  <c r="M74" i="4"/>
  <c r="O74" i="4" s="1"/>
  <c r="N80" i="4"/>
  <c r="N25" i="4"/>
  <c r="M25" i="4"/>
  <c r="O25" i="4" s="1"/>
  <c r="N17" i="4"/>
  <c r="M17" i="4"/>
  <c r="O17" i="4" s="1"/>
  <c r="N29" i="4"/>
  <c r="M29" i="4"/>
  <c r="O29" i="4" s="1"/>
  <c r="N35" i="4"/>
  <c r="N43" i="4"/>
  <c r="M43" i="4"/>
  <c r="O43" i="4" s="1"/>
  <c r="N54" i="4"/>
  <c r="N60" i="4"/>
  <c r="M60" i="4"/>
  <c r="O60" i="4" s="1"/>
  <c r="N66" i="4"/>
  <c r="M66" i="4"/>
  <c r="O66" i="4" s="1"/>
  <c r="N73" i="4"/>
  <c r="M73" i="4"/>
  <c r="O73" i="4" s="1"/>
  <c r="N11" i="4"/>
  <c r="M11" i="4"/>
  <c r="O11" i="4" s="1"/>
  <c r="N30" i="4"/>
  <c r="N12" i="4"/>
  <c r="M12" i="4"/>
  <c r="O12" i="4" s="1"/>
  <c r="N19" i="4"/>
  <c r="N24" i="4"/>
  <c r="N31" i="4"/>
  <c r="M31" i="4"/>
  <c r="O31" i="4" s="1"/>
  <c r="N37" i="4"/>
  <c r="M37" i="4"/>
  <c r="O37" i="4" s="1"/>
  <c r="N44" i="4"/>
  <c r="N55" i="4"/>
  <c r="N67" i="4"/>
  <c r="N75" i="4"/>
  <c r="M75" i="4"/>
  <c r="O75" i="4" s="1"/>
  <c r="N13" i="4"/>
  <c r="M13" i="4"/>
  <c r="O13" i="4" s="1"/>
  <c r="N68" i="4"/>
  <c r="M68" i="4"/>
  <c r="O68" i="4" s="1"/>
  <c r="N51" i="4"/>
  <c r="N63" i="4"/>
  <c r="M63" i="4"/>
  <c r="O63" i="4" s="1"/>
  <c r="N69" i="4"/>
  <c r="M69" i="4"/>
  <c r="O69" i="4" s="1"/>
  <c r="N76" i="4"/>
  <c r="N82" i="4"/>
  <c r="M82" i="4"/>
  <c r="O82" i="4" s="1"/>
  <c r="N45" i="4"/>
  <c r="M45" i="4"/>
  <c r="O45" i="4" s="1"/>
  <c r="N21" i="4"/>
  <c r="M21" i="4"/>
  <c r="O21" i="4" s="1"/>
  <c r="N47" i="4"/>
  <c r="M47" i="4"/>
  <c r="O47" i="4" s="1"/>
  <c r="N38" i="4"/>
  <c r="N70" i="4"/>
  <c r="N46" i="4"/>
  <c r="N78" i="4"/>
  <c r="N32" i="4"/>
  <c r="N64" i="4"/>
  <c r="N40" i="4"/>
  <c r="N72" i="4"/>
  <c r="N16" i="4"/>
  <c r="N14" i="4"/>
  <c r="N18" i="4"/>
  <c r="N26" i="4"/>
  <c r="N34" i="4"/>
  <c r="N42" i="4"/>
  <c r="N50" i="4"/>
  <c r="N58" i="4"/>
  <c r="Q74" i="5" l="1"/>
  <c r="P74" i="5"/>
  <c r="O74" i="5"/>
  <c r="N74" i="5"/>
  <c r="M74" i="5"/>
  <c r="K74" i="5"/>
  <c r="J74" i="5"/>
  <c r="Q89" i="2" l="1"/>
  <c r="P89" i="2"/>
  <c r="O89" i="2"/>
  <c r="N89" i="2"/>
  <c r="M89" i="2"/>
  <c r="K89" i="2"/>
  <c r="J89" i="2"/>
  <c r="I89" i="2"/>
  <c r="H89" i="2"/>
  <c r="Q88" i="2"/>
  <c r="AB6" i="1" s="1"/>
  <c r="P88" i="2"/>
  <c r="AA6" i="1" s="1"/>
  <c r="O88" i="2"/>
  <c r="Z6" i="1" s="1"/>
  <c r="N88" i="2"/>
  <c r="Y6" i="1" s="1"/>
  <c r="M88" i="2"/>
  <c r="X6" i="1" s="1"/>
  <c r="K88" i="2"/>
  <c r="U6" i="1" s="1"/>
  <c r="J88" i="2"/>
  <c r="T6" i="1" s="1"/>
  <c r="I88" i="2"/>
  <c r="S6" i="1" s="1"/>
  <c r="H88" i="2"/>
  <c r="R6" i="1" s="1"/>
  <c r="Q87" i="2"/>
  <c r="P87" i="2"/>
  <c r="AA5" i="1" s="1"/>
  <c r="O87" i="2"/>
  <c r="Z5" i="1" s="1"/>
  <c r="N87" i="2"/>
  <c r="Y5" i="1" s="1"/>
  <c r="M87" i="2"/>
  <c r="X5" i="1" s="1"/>
  <c r="K87" i="2"/>
  <c r="U5" i="1" s="1"/>
  <c r="J87" i="2"/>
  <c r="T5" i="1" s="1"/>
  <c r="I87" i="2"/>
  <c r="S5" i="1" s="1"/>
  <c r="H87" i="2"/>
  <c r="R5" i="1" s="1"/>
  <c r="AB5" i="1" l="1"/>
  <c r="AI5" i="1" s="1"/>
  <c r="Q1" i="2"/>
  <c r="C4" i="9" l="1"/>
  <c r="B4" i="9"/>
  <c r="G88" i="2" l="1"/>
  <c r="Q6" i="1" s="1"/>
  <c r="G87" i="2"/>
  <c r="Q5" i="1" s="1"/>
  <c r="L9" i="4" l="1"/>
  <c r="L10" i="4"/>
  <c r="N9" i="4" l="1"/>
  <c r="M9" i="4"/>
  <c r="O9" i="4" s="1"/>
  <c r="N10" i="4"/>
  <c r="M10" i="4"/>
  <c r="O10" i="4" s="1"/>
  <c r="I21" i="9"/>
  <c r="C21" i="9"/>
  <c r="E15" i="9"/>
  <c r="K15" i="9"/>
  <c r="K21" i="9"/>
  <c r="E21" i="9"/>
  <c r="K9" i="9"/>
  <c r="E9" i="9"/>
  <c r="D5" i="1" l="1"/>
  <c r="D5" i="4"/>
  <c r="B6" i="5"/>
  <c r="B6" i="2"/>
  <c r="E6" i="4"/>
  <c r="E5" i="4"/>
  <c r="C7" i="5"/>
  <c r="C6" i="5"/>
  <c r="C7" i="2"/>
  <c r="C6" i="2"/>
  <c r="E6" i="1"/>
  <c r="E5" i="1"/>
  <c r="L84" i="4" l="1"/>
  <c r="M84" i="4" s="1"/>
  <c r="O84" i="4" s="1"/>
  <c r="L8" i="4"/>
  <c r="M8" i="4" s="1"/>
  <c r="O8" i="4" s="1"/>
  <c r="L7" i="4"/>
  <c r="L6" i="4"/>
  <c r="M6" i="4" s="1"/>
  <c r="O6" i="4" s="1"/>
  <c r="N7" i="4" l="1"/>
  <c r="M7" i="4"/>
  <c r="O7" i="4" s="1"/>
  <c r="N8" i="4"/>
  <c r="N6" i="4"/>
  <c r="N84" i="4"/>
  <c r="E15" i="7" l="1"/>
  <c r="G4" i="5" s="1"/>
  <c r="Q3" i="1" l="1"/>
  <c r="H4" i="1"/>
  <c r="I4" i="1"/>
  <c r="I15" i="9"/>
  <c r="C15" i="9"/>
  <c r="I9" i="9"/>
  <c r="C9" i="9"/>
  <c r="G4" i="1"/>
  <c r="B2" i="5"/>
  <c r="S4" i="5"/>
  <c r="M4" i="5"/>
  <c r="B3" i="5"/>
  <c r="B2" i="1"/>
  <c r="M4" i="2"/>
  <c r="G4" i="2"/>
  <c r="B3" i="2"/>
  <c r="AE3" i="1"/>
  <c r="S4" i="2"/>
  <c r="B2" i="4"/>
  <c r="I4" i="9" s="1"/>
  <c r="B2" i="2"/>
  <c r="M5" i="4" l="1"/>
  <c r="O5" i="4" s="1"/>
  <c r="N5" i="4"/>
  <c r="R73" i="5" l="1"/>
  <c r="L73" i="5"/>
  <c r="R72" i="5"/>
  <c r="L72" i="5"/>
  <c r="R70" i="5"/>
  <c r="L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F89" i="2"/>
  <c r="L74" i="5" l="1"/>
  <c r="W74" i="5"/>
  <c r="S74" i="5"/>
  <c r="V74" i="5"/>
  <c r="T74" i="5"/>
  <c r="U74" i="5"/>
  <c r="R74" i="5"/>
  <c r="X55" i="5"/>
  <c r="X63" i="5"/>
  <c r="X70" i="5"/>
  <c r="X62" i="5"/>
  <c r="X67" i="5"/>
  <c r="X65" i="5"/>
  <c r="X56" i="5"/>
  <c r="X72" i="5"/>
  <c r="X64" i="5"/>
  <c r="X69" i="5"/>
  <c r="X60" i="5"/>
  <c r="X58" i="5"/>
  <c r="X61" i="5"/>
  <c r="X68" i="5"/>
  <c r="X59" i="5"/>
  <c r="X66" i="5"/>
  <c r="X57" i="5"/>
  <c r="X73" i="5"/>
  <c r="X74" i="5" l="1"/>
  <c r="G89" i="2"/>
  <c r="L87" i="2" l="1"/>
  <c r="V5" i="1" s="1"/>
  <c r="U87" i="2"/>
  <c r="V87" i="2"/>
  <c r="T87" i="2"/>
  <c r="W87" i="2"/>
  <c r="R87" i="2"/>
  <c r="AC5" i="1" s="1"/>
  <c r="S87" i="2"/>
  <c r="T89" i="2"/>
  <c r="T88" i="2"/>
  <c r="U88" i="2"/>
  <c r="U89" i="2"/>
  <c r="V89" i="2"/>
  <c r="V88" i="2"/>
  <c r="R88" i="2"/>
  <c r="AC6" i="1" s="1"/>
  <c r="R89" i="2"/>
  <c r="L88" i="2"/>
  <c r="V6" i="1" s="1"/>
  <c r="L89" i="2"/>
  <c r="W89" i="2"/>
  <c r="W88" i="2"/>
  <c r="S89" i="2"/>
  <c r="S88" i="2"/>
  <c r="W5" i="1" l="1"/>
  <c r="AD5" i="1"/>
  <c r="X87" i="2"/>
  <c r="X89" i="2"/>
  <c r="X88" i="2"/>
  <c r="AI6" i="1"/>
  <c r="AH6" i="1"/>
  <c r="AG6" i="1"/>
  <c r="AF6" i="1"/>
  <c r="AE6" i="1"/>
  <c r="AH5" i="1"/>
  <c r="AG5" i="1"/>
  <c r="AF5" i="1"/>
  <c r="AE5" i="1"/>
  <c r="AJ6" i="1" l="1"/>
  <c r="AJ5" i="1"/>
  <c r="AK5" i="1" l="1"/>
</calcChain>
</file>

<file path=xl/sharedStrings.xml><?xml version="1.0" encoding="utf-8"?>
<sst xmlns="http://schemas.openxmlformats.org/spreadsheetml/2006/main" count="5459" uniqueCount="2188">
  <si>
    <t>PJT</t>
    <phoneticPr fontId="3" type="noConversion"/>
  </si>
  <si>
    <t>Zone</t>
  </si>
  <si>
    <t>공종</t>
  </si>
  <si>
    <t>토목</t>
    <phoneticPr fontId="3" type="noConversion"/>
  </si>
  <si>
    <t>건축</t>
    <phoneticPr fontId="3" type="noConversion"/>
  </si>
  <si>
    <t>설비</t>
    <phoneticPr fontId="3" type="noConversion"/>
  </si>
  <si>
    <t>전기</t>
    <phoneticPr fontId="3" type="noConversion"/>
  </si>
  <si>
    <t>제어</t>
    <phoneticPr fontId="3" type="noConversion"/>
  </si>
  <si>
    <t>BP사</t>
  </si>
  <si>
    <t>구분</t>
    <phoneticPr fontId="3" type="noConversion"/>
  </si>
  <si>
    <t>Scope</t>
    <phoneticPr fontId="3" type="noConversion"/>
  </si>
  <si>
    <t>조출</t>
    <phoneticPr fontId="3" type="noConversion"/>
  </si>
  <si>
    <t>주간</t>
    <phoneticPr fontId="3" type="noConversion"/>
  </si>
  <si>
    <t>연장</t>
    <phoneticPr fontId="3" type="noConversion"/>
  </si>
  <si>
    <t>야간</t>
    <phoneticPr fontId="3" type="noConversion"/>
  </si>
  <si>
    <t>철야</t>
    <phoneticPr fontId="5" type="noConversion"/>
  </si>
  <si>
    <t>주간</t>
    <phoneticPr fontId="5" type="noConversion"/>
  </si>
  <si>
    <t>철야</t>
    <phoneticPr fontId="3" type="noConversion"/>
  </si>
  <si>
    <t>Dis</t>
    <phoneticPr fontId="3" type="noConversion"/>
  </si>
  <si>
    <t>Total</t>
    <phoneticPr fontId="3" type="noConversion"/>
  </si>
  <si>
    <t>안전</t>
    <phoneticPr fontId="3" type="noConversion"/>
  </si>
  <si>
    <t>금일 투입인원 [Incr.]</t>
    <phoneticPr fontId="3" type="noConversion"/>
  </si>
  <si>
    <t>소방</t>
    <phoneticPr fontId="3" type="noConversion"/>
  </si>
  <si>
    <t>UT</t>
    <phoneticPr fontId="3" type="noConversion"/>
  </si>
  <si>
    <t>협력업체</t>
  </si>
  <si>
    <t>협력업체</t>
    <phoneticPr fontId="3" type="noConversion"/>
  </si>
  <si>
    <t>공통가설</t>
    <phoneticPr fontId="3" type="noConversion"/>
  </si>
  <si>
    <t>주요 작업</t>
    <phoneticPr fontId="3" type="noConversion"/>
  </si>
  <si>
    <t xml:space="preserve">전일 투입인원 [Incr.] </t>
    <phoneticPr fontId="3" type="noConversion"/>
  </si>
  <si>
    <t>대분류</t>
  </si>
  <si>
    <t>중분류</t>
  </si>
  <si>
    <t>규 격</t>
  </si>
  <si>
    <t>직종</t>
    <phoneticPr fontId="3" type="noConversion"/>
  </si>
  <si>
    <t>[기능공]</t>
    <phoneticPr fontId="3" type="noConversion"/>
  </si>
  <si>
    <t>조출</t>
  </si>
  <si>
    <t>주간</t>
  </si>
  <si>
    <t>연장</t>
  </si>
  <si>
    <t>야간</t>
  </si>
  <si>
    <t>철야</t>
  </si>
  <si>
    <t>Cum. T</t>
  </si>
  <si>
    <t>Cum. T</t>
    <phoneticPr fontId="3" type="noConversion"/>
  </si>
  <si>
    <t>Incr. T</t>
    <phoneticPr fontId="3" type="noConversion"/>
  </si>
  <si>
    <t>Dis</t>
  </si>
  <si>
    <t>장비 52</t>
  </si>
  <si>
    <t>장비 53</t>
  </si>
  <si>
    <t>장비 54</t>
  </si>
  <si>
    <t>장비 55</t>
  </si>
  <si>
    <t>장비 56</t>
  </si>
  <si>
    <t>장비 57</t>
  </si>
  <si>
    <t>장비 58</t>
  </si>
  <si>
    <t>장비 59</t>
  </si>
  <si>
    <t>장비 60</t>
  </si>
  <si>
    <t>장비 61</t>
  </si>
  <si>
    <t>장비 62</t>
  </si>
  <si>
    <t>장비 63</t>
  </si>
  <si>
    <t>장비 64</t>
  </si>
  <si>
    <t>장비 65</t>
  </si>
  <si>
    <t>장비 66</t>
  </si>
  <si>
    <t>장비 67</t>
  </si>
  <si>
    <t>장비 68</t>
  </si>
  <si>
    <t>장비 명</t>
    <phoneticPr fontId="3" type="noConversion"/>
  </si>
  <si>
    <t>단위</t>
    <phoneticPr fontId="3" type="noConversion"/>
  </si>
  <si>
    <t>총물량</t>
    <phoneticPr fontId="3" type="noConversion"/>
  </si>
  <si>
    <t>전일누적</t>
    <phoneticPr fontId="3" type="noConversion"/>
  </si>
  <si>
    <t>금일실적</t>
    <phoneticPr fontId="3" type="noConversion"/>
  </si>
  <si>
    <t>금일누적</t>
    <phoneticPr fontId="3" type="noConversion"/>
  </si>
  <si>
    <t>잔여</t>
    <phoneticPr fontId="3" type="noConversion"/>
  </si>
  <si>
    <t>비고</t>
    <phoneticPr fontId="3" type="noConversion"/>
  </si>
  <si>
    <t>[A]</t>
    <phoneticPr fontId="3" type="noConversion"/>
  </si>
  <si>
    <t>[B]</t>
    <phoneticPr fontId="3" type="noConversion"/>
  </si>
  <si>
    <t>[C]</t>
    <phoneticPr fontId="3" type="noConversion"/>
  </si>
  <si>
    <t>[D = B+C]</t>
    <phoneticPr fontId="3" type="noConversion"/>
  </si>
  <si>
    <t>[E = A-D]</t>
    <phoneticPr fontId="3" type="noConversion"/>
  </si>
  <si>
    <t>대표물량_작업 내용</t>
    <phoneticPr fontId="3" type="noConversion"/>
  </si>
  <si>
    <t>F% : [D/A]</t>
    <phoneticPr fontId="3" type="noConversion"/>
  </si>
  <si>
    <t>G% : [100% -F ]</t>
    <phoneticPr fontId="3" type="noConversion"/>
  </si>
  <si>
    <t>TE</t>
  </si>
  <si>
    <t>CI</t>
  </si>
  <si>
    <t>AR</t>
  </si>
  <si>
    <t>UT</t>
  </si>
  <si>
    <t>ME</t>
  </si>
  <si>
    <t>EL</t>
  </si>
  <si>
    <t>IN</t>
  </si>
  <si>
    <t>FF</t>
  </si>
  <si>
    <t>SA</t>
    <phoneticPr fontId="3" type="noConversion"/>
  </si>
  <si>
    <t>스카이 장비기사</t>
  </si>
  <si>
    <t>지게차 장비기사</t>
  </si>
  <si>
    <t>펌프카 장비기사</t>
  </si>
  <si>
    <t>기타 장비기사</t>
  </si>
  <si>
    <t>가설펜스</t>
  </si>
  <si>
    <t>견출공</t>
  </si>
  <si>
    <t>계장공</t>
  </si>
  <si>
    <t>관로공</t>
  </si>
  <si>
    <t>교통통제</t>
  </si>
  <si>
    <t>기계 납품 설치</t>
  </si>
  <si>
    <t>덕트공</t>
  </si>
  <si>
    <t>데크공</t>
  </si>
  <si>
    <t>도장공</t>
  </si>
  <si>
    <t>미장공</t>
  </si>
  <si>
    <t>방수공</t>
  </si>
  <si>
    <t>배관공</t>
  </si>
  <si>
    <t>보온공</t>
  </si>
  <si>
    <t>비계공</t>
  </si>
  <si>
    <t>수장공</t>
  </si>
  <si>
    <t>승강기 설치공</t>
  </si>
  <si>
    <t>신호수</t>
  </si>
  <si>
    <t>안전감시단</t>
  </si>
  <si>
    <t>안전시설</t>
  </si>
  <si>
    <t>열선공</t>
  </si>
  <si>
    <t>영업</t>
  </si>
  <si>
    <t>외장공</t>
  </si>
  <si>
    <t>용접공</t>
  </si>
  <si>
    <t>유도원</t>
  </si>
  <si>
    <t>잡철공</t>
  </si>
  <si>
    <t>전기공</t>
  </si>
  <si>
    <t>조적공</t>
  </si>
  <si>
    <t>철거공</t>
  </si>
  <si>
    <t>철골공</t>
  </si>
  <si>
    <t>철근공</t>
  </si>
  <si>
    <t>컷팅공</t>
  </si>
  <si>
    <t>타설공</t>
  </si>
  <si>
    <t>타일공</t>
  </si>
  <si>
    <t>토공</t>
  </si>
  <si>
    <t>포장공</t>
  </si>
  <si>
    <t>해체공</t>
  </si>
  <si>
    <t>현장경비</t>
  </si>
  <si>
    <t>형틀공</t>
  </si>
  <si>
    <t>호이스트 설치공</t>
  </si>
  <si>
    <t>화기감시자</t>
  </si>
  <si>
    <t>환경정리</t>
  </si>
  <si>
    <t>Access Floor</t>
  </si>
  <si>
    <t>케이블 포설</t>
  </si>
  <si>
    <t>경량벽체설치</t>
  </si>
  <si>
    <t>공사관리자</t>
  </si>
  <si>
    <t>안전관리자</t>
  </si>
  <si>
    <t>품질관리자</t>
  </si>
  <si>
    <t>일반관리자</t>
  </si>
  <si>
    <t>Shop설계</t>
  </si>
  <si>
    <t>관리자</t>
    <phoneticPr fontId="3" type="noConversion"/>
  </si>
  <si>
    <t>근로자</t>
    <phoneticPr fontId="3" type="noConversion"/>
  </si>
  <si>
    <t>Mm01</t>
  </si>
  <si>
    <t>Mm02</t>
  </si>
  <si>
    <t>Mm03</t>
  </si>
  <si>
    <t>Mm04</t>
  </si>
  <si>
    <t>Mm05</t>
  </si>
  <si>
    <t>sk01</t>
  </si>
  <si>
    <t>sk02</t>
  </si>
  <si>
    <t>sk03</t>
  </si>
  <si>
    <t>sk04</t>
  </si>
  <si>
    <t>sk05</t>
  </si>
  <si>
    <t>sk06</t>
  </si>
  <si>
    <t>sk07</t>
  </si>
  <si>
    <t>sk08</t>
  </si>
  <si>
    <t>sk09</t>
  </si>
  <si>
    <t>sk10</t>
  </si>
  <si>
    <t>sk11</t>
  </si>
  <si>
    <t>sk12</t>
  </si>
  <si>
    <t>Wk01</t>
    <phoneticPr fontId="3" type="noConversion"/>
  </si>
  <si>
    <t>Wk02</t>
  </si>
  <si>
    <t>Wk03</t>
  </si>
  <si>
    <t>Wk04</t>
  </si>
  <si>
    <t>Wk05</t>
  </si>
  <si>
    <t>Wk06</t>
  </si>
  <si>
    <t>Wk07</t>
  </si>
  <si>
    <t>Wk08</t>
  </si>
  <si>
    <t>Wk09</t>
  </si>
  <si>
    <t>Wk10</t>
  </si>
  <si>
    <t>Wk11</t>
  </si>
  <si>
    <t>Wk12</t>
  </si>
  <si>
    <t>Wk13</t>
  </si>
  <si>
    <t>Wk14</t>
  </si>
  <si>
    <t>Wk15</t>
  </si>
  <si>
    <t>Wk16</t>
  </si>
  <si>
    <t>Wk17</t>
  </si>
  <si>
    <t>Wk18</t>
  </si>
  <si>
    <t>Wk19</t>
  </si>
  <si>
    <t>Wk20</t>
  </si>
  <si>
    <t>Wk21</t>
  </si>
  <si>
    <t>Wk22</t>
  </si>
  <si>
    <t>Wk23</t>
  </si>
  <si>
    <t>Wk24</t>
  </si>
  <si>
    <t>Wk25</t>
  </si>
  <si>
    <t>Wk26</t>
  </si>
  <si>
    <t>Wk27</t>
  </si>
  <si>
    <t>Wk28</t>
  </si>
  <si>
    <t>Wk29</t>
  </si>
  <si>
    <t>Wk30</t>
  </si>
  <si>
    <t>Wk31</t>
  </si>
  <si>
    <t>Wk32</t>
  </si>
  <si>
    <t>Wk33</t>
  </si>
  <si>
    <t>Wk34</t>
  </si>
  <si>
    <t>Wk35</t>
  </si>
  <si>
    <t>Wk36</t>
  </si>
  <si>
    <t>Wk37</t>
  </si>
  <si>
    <t>Wk38</t>
  </si>
  <si>
    <t>Wk39</t>
  </si>
  <si>
    <t>Wk40</t>
  </si>
  <si>
    <t>Wk41</t>
  </si>
  <si>
    <t>Wk42</t>
  </si>
  <si>
    <t>Wk43</t>
  </si>
  <si>
    <t>Wk44</t>
  </si>
  <si>
    <t>Wk45</t>
  </si>
  <si>
    <t>Wk46</t>
  </si>
  <si>
    <t>Wk47</t>
  </si>
  <si>
    <t>Wk48</t>
  </si>
  <si>
    <t>Wk49</t>
  </si>
  <si>
    <t>Wk50</t>
  </si>
  <si>
    <t>Wk51</t>
  </si>
  <si>
    <t>Wk52</t>
  </si>
  <si>
    <t>Wk53</t>
  </si>
  <si>
    <t>Wk54</t>
  </si>
  <si>
    <t>Wk55</t>
  </si>
  <si>
    <t>Wk56</t>
  </si>
  <si>
    <t>Wk57</t>
  </si>
  <si>
    <t>Wk58</t>
  </si>
  <si>
    <t>Wk59</t>
  </si>
  <si>
    <t>Wk60</t>
  </si>
  <si>
    <t>Wk61</t>
  </si>
  <si>
    <t>sk13</t>
  </si>
  <si>
    <t>sk14</t>
  </si>
  <si>
    <t>sk15</t>
  </si>
  <si>
    <t>sk16</t>
  </si>
  <si>
    <t>sk17</t>
  </si>
  <si>
    <t>sk18</t>
  </si>
  <si>
    <t>sk19</t>
  </si>
  <si>
    <t>sk20</t>
  </si>
  <si>
    <t>sk21</t>
  </si>
  <si>
    <t>sk22</t>
  </si>
  <si>
    <t>sk23</t>
  </si>
  <si>
    <t>sk24</t>
  </si>
  <si>
    <t>sk25</t>
  </si>
  <si>
    <t>sk26</t>
  </si>
  <si>
    <t>sk27</t>
  </si>
  <si>
    <t>sk28</t>
  </si>
  <si>
    <t>sk29</t>
  </si>
  <si>
    <t>sk30</t>
  </si>
  <si>
    <t>sk31</t>
  </si>
  <si>
    <t>sk32</t>
  </si>
  <si>
    <t>sk33</t>
  </si>
  <si>
    <t>sk34</t>
  </si>
  <si>
    <t>sk35</t>
  </si>
  <si>
    <t>sk36</t>
  </si>
  <si>
    <t>sk37</t>
  </si>
  <si>
    <t>sk38</t>
  </si>
  <si>
    <t>sk39</t>
  </si>
  <si>
    <t>sk40</t>
  </si>
  <si>
    <t>sk41</t>
  </si>
  <si>
    <t>sk42</t>
  </si>
  <si>
    <t>sk43</t>
  </si>
  <si>
    <t>sk44</t>
  </si>
  <si>
    <t>sk45</t>
  </si>
  <si>
    <t>sk46</t>
  </si>
  <si>
    <t>sk47</t>
  </si>
  <si>
    <t>sk48</t>
  </si>
  <si>
    <t>sk49</t>
  </si>
  <si>
    <t>sk50</t>
  </si>
  <si>
    <t>sk51</t>
  </si>
  <si>
    <t>sk52</t>
  </si>
  <si>
    <t>sk53</t>
  </si>
  <si>
    <t>sk54</t>
  </si>
  <si>
    <t>sk55</t>
  </si>
  <si>
    <t>sk56</t>
  </si>
  <si>
    <t>sk57</t>
  </si>
  <si>
    <t>sk58</t>
  </si>
  <si>
    <t>sk59</t>
  </si>
  <si>
    <t>sk60</t>
  </si>
  <si>
    <t>sk61</t>
  </si>
  <si>
    <t>sk62</t>
  </si>
  <si>
    <t>sk63</t>
  </si>
  <si>
    <t>sk64</t>
  </si>
  <si>
    <t>sk65</t>
  </si>
  <si>
    <t>sk66</t>
  </si>
  <si>
    <t>sk67</t>
  </si>
  <si>
    <t>sk68</t>
  </si>
  <si>
    <t>관리자/근로자</t>
    <phoneticPr fontId="3" type="noConversion"/>
  </si>
  <si>
    <t>기능공</t>
    <phoneticPr fontId="3" type="noConversion"/>
  </si>
  <si>
    <t>Wk62</t>
  </si>
  <si>
    <t>Wk63</t>
  </si>
  <si>
    <t>순번</t>
  </si>
  <si>
    <r>
      <rPr>
        <sz val="11"/>
        <color theme="1"/>
        <rFont val="Segoe UI Symbol"/>
        <family val="2"/>
      </rPr>
      <t>▶</t>
    </r>
    <r>
      <rPr>
        <sz val="11"/>
        <color theme="1"/>
        <rFont val="Microsoft 고딕Neo"/>
        <family val="2"/>
        <charset val="129"/>
      </rPr>
      <t xml:space="preserve"> </t>
    </r>
    <r>
      <rPr>
        <sz val="11"/>
        <color theme="1"/>
        <rFont val="Microsoft GothicNeo"/>
        <family val="2"/>
        <charset val="129"/>
      </rPr>
      <t>Discipline</t>
    </r>
    <phoneticPr fontId="3" type="noConversion"/>
  </si>
  <si>
    <t>Wk01</t>
  </si>
  <si>
    <t>굴삭운반기계류</t>
  </si>
  <si>
    <t>Back Hoe</t>
  </si>
  <si>
    <t>2㎥ 미만</t>
  </si>
  <si>
    <t xml:space="preserve">2㎥ 이상~5㎥ 미만 </t>
  </si>
  <si>
    <t xml:space="preserve">5㎥ 이상 ~ 10㎥ 미만 </t>
  </si>
  <si>
    <t>10㎥ 이상 ~ 20㎥ 미만</t>
  </si>
  <si>
    <t>굴삭기</t>
  </si>
  <si>
    <t>0.2LC 이하</t>
  </si>
  <si>
    <t>6LC</t>
  </si>
  <si>
    <t>고소작업장치류</t>
  </si>
  <si>
    <t>고소작업대</t>
  </si>
  <si>
    <t>굴절형 15M 이하</t>
  </si>
  <si>
    <t>굴절형 15M 이상</t>
  </si>
  <si>
    <t>수직형 7M 이하</t>
  </si>
  <si>
    <t>수직형 7M ~ 12M</t>
  </si>
  <si>
    <t>수직형 12M이상</t>
  </si>
  <si>
    <t>크레인류</t>
  </si>
  <si>
    <t>Crane</t>
  </si>
  <si>
    <t>30 Ton 이하</t>
  </si>
  <si>
    <t>30 Ton &gt; 70 Ton</t>
  </si>
  <si>
    <t>70 Ton &gt; 100 Ton</t>
  </si>
  <si>
    <t>100 Ton &gt; 200 Ton</t>
  </si>
  <si>
    <t>200 Ton &gt; 300 Ton</t>
  </si>
  <si>
    <t>300 Ton 초과</t>
  </si>
  <si>
    <t>Tower Crane</t>
  </si>
  <si>
    <t>운반기계류</t>
  </si>
  <si>
    <t>지게차</t>
  </si>
  <si>
    <t>전동지게차</t>
  </si>
  <si>
    <t>집게차</t>
  </si>
  <si>
    <t>35㎥</t>
  </si>
  <si>
    <t>콘크리트 기계류</t>
  </si>
  <si>
    <t>펌프카</t>
  </si>
  <si>
    <t>35M 이하</t>
  </si>
  <si>
    <t>35 M &gt; 60M</t>
  </si>
  <si>
    <t>60 M 초과</t>
  </si>
  <si>
    <t>덤프트럭</t>
  </si>
  <si>
    <t>15 Ton</t>
  </si>
  <si>
    <t>25 Ton</t>
  </si>
  <si>
    <t>암롤트럭</t>
  </si>
  <si>
    <t>24㎥</t>
  </si>
  <si>
    <t>50㎥</t>
  </si>
  <si>
    <t>기초공사기계류</t>
  </si>
  <si>
    <t>항타기</t>
  </si>
  <si>
    <t>140ton</t>
  </si>
  <si>
    <t>하이렌더</t>
  </si>
  <si>
    <t>페이로더</t>
  </si>
  <si>
    <t>4.2㎥</t>
  </si>
  <si>
    <t>살수차</t>
  </si>
  <si>
    <t>사다리차</t>
  </si>
  <si>
    <t>스태커</t>
  </si>
  <si>
    <t>탑차</t>
  </si>
  <si>
    <t>5 Ton</t>
  </si>
  <si>
    <t>전동 핸드 파레트</t>
  </si>
  <si>
    <t>정지_다짐기계류</t>
  </si>
  <si>
    <t>진동롤러</t>
  </si>
  <si>
    <t>10톤</t>
  </si>
  <si>
    <t>롤러</t>
  </si>
  <si>
    <t>그레이더</t>
  </si>
  <si>
    <t>기타 기계류</t>
  </si>
  <si>
    <t>무빙데크</t>
  </si>
  <si>
    <t>3m*6m</t>
  </si>
  <si>
    <t>습식기</t>
  </si>
  <si>
    <t>건식기</t>
  </si>
  <si>
    <t>기타기계류</t>
  </si>
  <si>
    <t>용접기</t>
  </si>
  <si>
    <t>Bobcat</t>
  </si>
  <si>
    <t>공기압축기</t>
  </si>
  <si>
    <t>25.5㎥/min</t>
  </si>
  <si>
    <t>대분류</t>
    <phoneticPr fontId="3" type="noConversion"/>
  </si>
  <si>
    <t>중분류</t>
    <phoneticPr fontId="3" type="noConversion"/>
  </si>
  <si>
    <t>규격</t>
    <phoneticPr fontId="3" type="noConversion"/>
  </si>
  <si>
    <t>01</t>
    <phoneticPr fontId="3" type="noConversion"/>
  </si>
  <si>
    <t>EX</t>
    <phoneticPr fontId="3" type="noConversion"/>
  </si>
  <si>
    <t>SK</t>
    <phoneticPr fontId="3" type="noConversion"/>
  </si>
  <si>
    <t>CL</t>
    <phoneticPr fontId="3" type="noConversion"/>
  </si>
  <si>
    <t>TM</t>
    <phoneticPr fontId="3" type="noConversion"/>
  </si>
  <si>
    <t>CO</t>
    <phoneticPr fontId="3" type="noConversion"/>
  </si>
  <si>
    <t>ST</t>
    <phoneticPr fontId="3" type="noConversion"/>
  </si>
  <si>
    <t>SP</t>
    <phoneticPr fontId="3" type="noConversion"/>
  </si>
  <si>
    <t>SI</t>
    <phoneticPr fontId="3" type="noConversion"/>
  </si>
  <si>
    <t>BH</t>
    <phoneticPr fontId="3" type="noConversion"/>
  </si>
  <si>
    <t>GS</t>
    <phoneticPr fontId="3" type="noConversion"/>
  </si>
  <si>
    <t>SW</t>
    <phoneticPr fontId="3" type="noConversion"/>
  </si>
  <si>
    <t>CA</t>
    <phoneticPr fontId="3" type="noConversion"/>
  </si>
  <si>
    <t>TC</t>
    <phoneticPr fontId="3" type="noConversion"/>
  </si>
  <si>
    <t>FL</t>
    <phoneticPr fontId="3" type="noConversion"/>
  </si>
  <si>
    <t>FR</t>
    <phoneticPr fontId="3" type="noConversion"/>
  </si>
  <si>
    <t>PC</t>
    <phoneticPr fontId="3" type="noConversion"/>
  </si>
  <si>
    <t>DT</t>
    <phoneticPr fontId="3" type="noConversion"/>
  </si>
  <si>
    <t>AT</t>
    <phoneticPr fontId="3" type="noConversion"/>
  </si>
  <si>
    <t>HT</t>
    <phoneticPr fontId="3" type="noConversion"/>
  </si>
  <si>
    <t>HL</t>
    <phoneticPr fontId="3" type="noConversion"/>
  </si>
  <si>
    <t>PL</t>
    <phoneticPr fontId="3" type="noConversion"/>
  </si>
  <si>
    <t>SL</t>
    <phoneticPr fontId="3" type="noConversion"/>
  </si>
  <si>
    <t>LT</t>
    <phoneticPr fontId="3" type="noConversion"/>
  </si>
  <si>
    <t>TO</t>
    <phoneticPr fontId="3" type="noConversion"/>
  </si>
  <si>
    <t>HP</t>
    <phoneticPr fontId="3" type="noConversion"/>
  </si>
  <si>
    <t>VR</t>
    <phoneticPr fontId="3" type="noConversion"/>
  </si>
  <si>
    <t>RO</t>
    <phoneticPr fontId="3" type="noConversion"/>
  </si>
  <si>
    <t>GR</t>
    <phoneticPr fontId="3" type="noConversion"/>
  </si>
  <si>
    <t>MD</t>
    <phoneticPr fontId="3" type="noConversion"/>
  </si>
  <si>
    <t>WD</t>
    <phoneticPr fontId="3" type="noConversion"/>
  </si>
  <si>
    <t>WP</t>
    <phoneticPr fontId="3" type="noConversion"/>
  </si>
  <si>
    <t>WM</t>
    <phoneticPr fontId="3" type="noConversion"/>
  </si>
  <si>
    <t>BB</t>
    <phoneticPr fontId="3" type="noConversion"/>
  </si>
  <si>
    <t>AC</t>
    <phoneticPr fontId="3" type="noConversion"/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</si>
  <si>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</si>
  <si>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</si>
  <si>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</si>
  <si>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</si>
  <si>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</si>
  <si>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</si>
  <si>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</si>
  <si>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</si>
  <si>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</si>
  <si>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</si>
  <si>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</si>
  <si>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</si>
  <si>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</si>
  <si>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</si>
  <si>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</si>
  <si>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</si>
  <si>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</si>
  <si>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02</t>
    <phoneticPr fontId="3" type="noConversion"/>
  </si>
  <si>
    <t>03</t>
    <phoneticPr fontId="3" type="noConversion"/>
  </si>
  <si>
    <t>Code</t>
    <phoneticPr fontId="3" type="noConversion"/>
  </si>
  <si>
    <r>
      <rPr>
        <sz val="11"/>
        <color rgb="FF334885"/>
        <rFont val="Arial Unicode MS"/>
        <family val="3"/>
        <charset val="129"/>
      </rPr>
      <t>관리자, 근로자</t>
    </r>
    <r>
      <rPr>
        <sz val="11"/>
        <color rgb="FF334885"/>
        <rFont val="Microsoft GothicNeo"/>
        <family val="3"/>
        <charset val="129"/>
      </rPr>
      <t xml:space="preserve">
Code</t>
    </r>
    <phoneticPr fontId="3" type="noConversion"/>
  </si>
  <si>
    <r>
      <t xml:space="preserve">기능공
</t>
    </r>
    <r>
      <rPr>
        <sz val="11"/>
        <color rgb="FF334885"/>
        <rFont val="Arial Unicode MS"/>
        <family val="3"/>
        <charset val="129"/>
      </rPr>
      <t>Code</t>
    </r>
    <phoneticPr fontId="3" type="noConversion"/>
  </si>
  <si>
    <t>Code 명(한글)</t>
    <phoneticPr fontId="3" type="noConversion"/>
  </si>
  <si>
    <t>BP소장</t>
    <phoneticPr fontId="3" type="noConversion"/>
  </si>
  <si>
    <t>공사관리자</t>
    <phoneticPr fontId="3" type="noConversion"/>
  </si>
  <si>
    <t>안전관리자</t>
    <phoneticPr fontId="3" type="noConversion"/>
  </si>
  <si>
    <t>품질관리자</t>
    <phoneticPr fontId="3" type="noConversion"/>
  </si>
  <si>
    <t>일반관리자</t>
    <phoneticPr fontId="3" type="noConversion"/>
  </si>
  <si>
    <t>Shop설계</t>
    <phoneticPr fontId="3" type="noConversion"/>
  </si>
  <si>
    <t>H/C 장비기사</t>
    <phoneticPr fontId="3" type="noConversion"/>
  </si>
  <si>
    <t>T/C 장비기사</t>
    <phoneticPr fontId="3" type="noConversion"/>
  </si>
  <si>
    <t>T/C 정비기사</t>
    <phoneticPr fontId="3" type="noConversion"/>
  </si>
  <si>
    <t>스카이 장비기사</t>
    <phoneticPr fontId="3" type="noConversion"/>
  </si>
  <si>
    <t>지게차 장비기사</t>
    <phoneticPr fontId="3" type="noConversion"/>
  </si>
  <si>
    <t>펌프카 장비기사</t>
    <phoneticPr fontId="3" type="noConversion"/>
  </si>
  <si>
    <t>기타 장비기사</t>
    <phoneticPr fontId="3" type="noConversion"/>
  </si>
  <si>
    <t>PC조립공</t>
    <phoneticPr fontId="3" type="noConversion"/>
  </si>
  <si>
    <t>PC후속공</t>
    <phoneticPr fontId="3" type="noConversion"/>
  </si>
  <si>
    <t>가설펜스</t>
    <phoneticPr fontId="3" type="noConversion"/>
  </si>
  <si>
    <t>견출공</t>
    <phoneticPr fontId="3" type="noConversion"/>
  </si>
  <si>
    <t>계장공</t>
    <phoneticPr fontId="3" type="noConversion"/>
  </si>
  <si>
    <t>관로공</t>
    <phoneticPr fontId="3" type="noConversion"/>
  </si>
  <si>
    <t>교통통제</t>
    <phoneticPr fontId="3" type="noConversion"/>
  </si>
  <si>
    <t>기계 납품 설치</t>
    <phoneticPr fontId="3" type="noConversion"/>
  </si>
  <si>
    <t>덕트공</t>
    <phoneticPr fontId="3" type="noConversion"/>
  </si>
  <si>
    <t>데크공</t>
    <phoneticPr fontId="3" type="noConversion"/>
  </si>
  <si>
    <t>도장공</t>
    <phoneticPr fontId="3" type="noConversion"/>
  </si>
  <si>
    <t>미장공</t>
    <phoneticPr fontId="3" type="noConversion"/>
  </si>
  <si>
    <t>방수공</t>
    <phoneticPr fontId="3" type="noConversion"/>
  </si>
  <si>
    <t>배관공</t>
    <phoneticPr fontId="3" type="noConversion"/>
  </si>
  <si>
    <t>보온공</t>
    <phoneticPr fontId="3" type="noConversion"/>
  </si>
  <si>
    <t>비계공</t>
    <phoneticPr fontId="3" type="noConversion"/>
  </si>
  <si>
    <t>수장공</t>
    <phoneticPr fontId="3" type="noConversion"/>
  </si>
  <si>
    <t>승강기 설치공</t>
    <phoneticPr fontId="3" type="noConversion"/>
  </si>
  <si>
    <t>신호수</t>
    <phoneticPr fontId="3" type="noConversion"/>
  </si>
  <si>
    <t>안전감시단</t>
    <phoneticPr fontId="3" type="noConversion"/>
  </si>
  <si>
    <t>안전시설</t>
    <phoneticPr fontId="3" type="noConversion"/>
  </si>
  <si>
    <t>열선공</t>
    <phoneticPr fontId="3" type="noConversion"/>
  </si>
  <si>
    <t>영업</t>
    <phoneticPr fontId="3" type="noConversion"/>
  </si>
  <si>
    <t>외장공</t>
    <phoneticPr fontId="3" type="noConversion"/>
  </si>
  <si>
    <t>용접공</t>
    <phoneticPr fontId="3" type="noConversion"/>
  </si>
  <si>
    <t>유도원</t>
    <phoneticPr fontId="3" type="noConversion"/>
  </si>
  <si>
    <t>잡철공</t>
    <phoneticPr fontId="3" type="noConversion"/>
  </si>
  <si>
    <t>전기공</t>
    <phoneticPr fontId="3" type="noConversion"/>
  </si>
  <si>
    <t>조적공</t>
    <phoneticPr fontId="3" type="noConversion"/>
  </si>
  <si>
    <t>철거공</t>
    <phoneticPr fontId="3" type="noConversion"/>
  </si>
  <si>
    <t>철골공</t>
    <phoneticPr fontId="3" type="noConversion"/>
  </si>
  <si>
    <t>철근공</t>
    <phoneticPr fontId="3" type="noConversion"/>
  </si>
  <si>
    <t>컷팅공</t>
    <phoneticPr fontId="3" type="noConversion"/>
  </si>
  <si>
    <t>타설공</t>
    <phoneticPr fontId="3" type="noConversion"/>
  </si>
  <si>
    <t>타일공</t>
    <phoneticPr fontId="3" type="noConversion"/>
  </si>
  <si>
    <t>토공</t>
    <phoneticPr fontId="3" type="noConversion"/>
  </si>
  <si>
    <t>포장공</t>
    <phoneticPr fontId="3" type="noConversion"/>
  </si>
  <si>
    <t>해체공</t>
    <phoneticPr fontId="3" type="noConversion"/>
  </si>
  <si>
    <t>현장경비</t>
    <phoneticPr fontId="3" type="noConversion"/>
  </si>
  <si>
    <t>형틀공</t>
    <phoneticPr fontId="3" type="noConversion"/>
  </si>
  <si>
    <t>호이스트 설치공</t>
    <phoneticPr fontId="3" type="noConversion"/>
  </si>
  <si>
    <t>화기감시자</t>
    <phoneticPr fontId="3" type="noConversion"/>
  </si>
  <si>
    <t>환경정리</t>
    <phoneticPr fontId="3" type="noConversion"/>
  </si>
  <si>
    <t>A/F Post 설치</t>
    <phoneticPr fontId="3" type="noConversion"/>
  </si>
  <si>
    <t>Access Floor</t>
    <phoneticPr fontId="3" type="noConversion"/>
  </si>
  <si>
    <t>S/C M16 Bolt 설치</t>
    <phoneticPr fontId="3" type="noConversion"/>
  </si>
  <si>
    <t>S/C SQ Pipe 설치</t>
    <phoneticPr fontId="3" type="noConversion"/>
  </si>
  <si>
    <t>S/C M8/Mould Bar
설치</t>
    <phoneticPr fontId="3" type="noConversion"/>
  </si>
  <si>
    <t>S/C Blind Panel
설치</t>
    <phoneticPr fontId="3" type="noConversion"/>
  </si>
  <si>
    <t>외부Shop</t>
    <phoneticPr fontId="3" type="noConversion"/>
  </si>
  <si>
    <t>케이블 포설</t>
    <phoneticPr fontId="3" type="noConversion"/>
  </si>
  <si>
    <t>케이블 단말</t>
    <phoneticPr fontId="3" type="noConversion"/>
  </si>
  <si>
    <t>Cable Tray 설치</t>
    <phoneticPr fontId="3" type="noConversion"/>
  </si>
  <si>
    <t>Bus Duct 설치</t>
    <phoneticPr fontId="3" type="noConversion"/>
  </si>
  <si>
    <t>경량벽체설치</t>
    <phoneticPr fontId="3" type="noConversion"/>
  </si>
  <si>
    <t>굴삭운반기계류</t>
    <phoneticPr fontId="3" type="noConversion"/>
  </si>
  <si>
    <t>고소작업장치류</t>
    <phoneticPr fontId="3" type="noConversion"/>
  </si>
  <si>
    <t>크레인류</t>
    <phoneticPr fontId="3" type="noConversion"/>
  </si>
  <si>
    <t>운반기계류</t>
    <phoneticPr fontId="3" type="noConversion"/>
  </si>
  <si>
    <t>정지_다짐기계류</t>
    <phoneticPr fontId="3" type="noConversion"/>
  </si>
  <si>
    <t>기초공사기계류</t>
    <phoneticPr fontId="3" type="noConversion"/>
  </si>
  <si>
    <t>기타 기계류</t>
    <phoneticPr fontId="3" type="noConversion"/>
  </si>
  <si>
    <t>기타기계류</t>
    <phoneticPr fontId="3" type="noConversion"/>
  </si>
  <si>
    <t>콘크리트 기계류</t>
    <phoneticPr fontId="3" type="noConversion"/>
  </si>
  <si>
    <t>Wk47</t>
    <phoneticPr fontId="3" type="noConversion"/>
  </si>
  <si>
    <t>Wk48</t>
    <phoneticPr fontId="3" type="noConversion"/>
  </si>
  <si>
    <t>Wk49</t>
    <phoneticPr fontId="3" type="noConversion"/>
  </si>
  <si>
    <t>Wk50</t>
    <phoneticPr fontId="3" type="noConversion"/>
  </si>
  <si>
    <t>Wk51</t>
    <phoneticPr fontId="3" type="noConversion"/>
  </si>
  <si>
    <t>Wk52</t>
    <phoneticPr fontId="3" type="noConversion"/>
  </si>
  <si>
    <t>Wk53</t>
    <phoneticPr fontId="3" type="noConversion"/>
  </si>
  <si>
    <t>Wk54</t>
    <phoneticPr fontId="3" type="noConversion"/>
  </si>
  <si>
    <t>Wk55</t>
    <phoneticPr fontId="3" type="noConversion"/>
  </si>
  <si>
    <t>Wk56</t>
    <phoneticPr fontId="3" type="noConversion"/>
  </si>
  <si>
    <t>Wk57</t>
    <phoneticPr fontId="3" type="noConversion"/>
  </si>
  <si>
    <t>Wk58</t>
    <phoneticPr fontId="3" type="noConversion"/>
  </si>
  <si>
    <t>Wk59</t>
    <phoneticPr fontId="3" type="noConversion"/>
  </si>
  <si>
    <t>Wk60</t>
    <phoneticPr fontId="3" type="noConversion"/>
  </si>
  <si>
    <t>Wk61</t>
    <phoneticPr fontId="3" type="noConversion"/>
  </si>
  <si>
    <t>Wk62</t>
    <phoneticPr fontId="3" type="noConversion"/>
  </si>
  <si>
    <t>Wk63</t>
    <phoneticPr fontId="3" type="noConversion"/>
  </si>
  <si>
    <t>Back Hoe</t>
    <phoneticPr fontId="3" type="noConversion"/>
  </si>
  <si>
    <t>굴삭기</t>
    <phoneticPr fontId="3" type="noConversion"/>
  </si>
  <si>
    <t>고소작업대</t>
    <phoneticPr fontId="3" type="noConversion"/>
  </si>
  <si>
    <t>Crane</t>
    <phoneticPr fontId="3" type="noConversion"/>
  </si>
  <si>
    <t>Tower Crane</t>
    <phoneticPr fontId="3" type="noConversion"/>
  </si>
  <si>
    <t>지게차</t>
    <phoneticPr fontId="3" type="noConversion"/>
  </si>
  <si>
    <t>전동지게차</t>
    <phoneticPr fontId="3" type="noConversion"/>
  </si>
  <si>
    <t>집게차</t>
    <phoneticPr fontId="3" type="noConversion"/>
  </si>
  <si>
    <t>덤프트럭</t>
    <phoneticPr fontId="3" type="noConversion"/>
  </si>
  <si>
    <t>암롤트럭</t>
    <phoneticPr fontId="3" type="noConversion"/>
  </si>
  <si>
    <t>하이렌더</t>
    <phoneticPr fontId="3" type="noConversion"/>
  </si>
  <si>
    <t>페이로더</t>
    <phoneticPr fontId="3" type="noConversion"/>
  </si>
  <si>
    <t>살수차</t>
    <phoneticPr fontId="3" type="noConversion"/>
  </si>
  <si>
    <t>사다리차</t>
    <phoneticPr fontId="3" type="noConversion"/>
  </si>
  <si>
    <t>스태커</t>
    <phoneticPr fontId="3" type="noConversion"/>
  </si>
  <si>
    <t>탑차</t>
    <phoneticPr fontId="3" type="noConversion"/>
  </si>
  <si>
    <t>전동 핸드 파레트</t>
    <phoneticPr fontId="3" type="noConversion"/>
  </si>
  <si>
    <t>진동롤러</t>
    <phoneticPr fontId="3" type="noConversion"/>
  </si>
  <si>
    <t>롤러</t>
    <phoneticPr fontId="3" type="noConversion"/>
  </si>
  <si>
    <t>그레이더</t>
    <phoneticPr fontId="3" type="noConversion"/>
  </si>
  <si>
    <t>항타기</t>
    <phoneticPr fontId="3" type="noConversion"/>
  </si>
  <si>
    <t>무빙데크</t>
    <phoneticPr fontId="3" type="noConversion"/>
  </si>
  <si>
    <t>습식기</t>
    <phoneticPr fontId="3" type="noConversion"/>
  </si>
  <si>
    <t>건식기</t>
    <phoneticPr fontId="3" type="noConversion"/>
  </si>
  <si>
    <t>용접기</t>
    <phoneticPr fontId="3" type="noConversion"/>
  </si>
  <si>
    <t>Bobcat</t>
    <phoneticPr fontId="3" type="noConversion"/>
  </si>
  <si>
    <t>공기압축기</t>
    <phoneticPr fontId="3" type="noConversion"/>
  </si>
  <si>
    <t>펌프카</t>
    <phoneticPr fontId="3" type="noConversion"/>
  </si>
  <si>
    <t>2㎥ 미만</t>
    <phoneticPr fontId="3" type="noConversion"/>
  </si>
  <si>
    <t xml:space="preserve">2㎥ 이상~5㎥ 미만 </t>
    <phoneticPr fontId="3" type="noConversion"/>
  </si>
  <si>
    <t xml:space="preserve">5㎥ 이상 ~ 10㎥ 미만 </t>
    <phoneticPr fontId="3" type="noConversion"/>
  </si>
  <si>
    <t>04</t>
    <phoneticPr fontId="3" type="noConversion"/>
  </si>
  <si>
    <t>10㎥ 이상 ~ 20㎥ 미만</t>
    <phoneticPr fontId="3" type="noConversion"/>
  </si>
  <si>
    <t>05</t>
    <phoneticPr fontId="3" type="noConversion"/>
  </si>
  <si>
    <t>U.H.D</t>
    <phoneticPr fontId="3" type="noConversion"/>
  </si>
  <si>
    <t>06</t>
    <phoneticPr fontId="3" type="noConversion"/>
  </si>
  <si>
    <t>0.2LC 이하</t>
    <phoneticPr fontId="3" type="noConversion"/>
  </si>
  <si>
    <t>07</t>
    <phoneticPr fontId="3" type="noConversion"/>
  </si>
  <si>
    <t>3LC</t>
    <phoneticPr fontId="3" type="noConversion"/>
  </si>
  <si>
    <t>08</t>
    <phoneticPr fontId="3" type="noConversion"/>
  </si>
  <si>
    <t>6LC</t>
    <phoneticPr fontId="3" type="noConversion"/>
  </si>
  <si>
    <t>09</t>
    <phoneticPr fontId="3" type="noConversion"/>
  </si>
  <si>
    <t>8LC</t>
    <phoneticPr fontId="3" type="noConversion"/>
  </si>
  <si>
    <t>10</t>
    <phoneticPr fontId="3" type="noConversion"/>
  </si>
  <si>
    <t>굴절형 15M 이하</t>
    <phoneticPr fontId="3" type="noConversion"/>
  </si>
  <si>
    <t>11</t>
    <phoneticPr fontId="3" type="noConversion"/>
  </si>
  <si>
    <t>굴절형 15M 이상</t>
    <phoneticPr fontId="3" type="noConversion"/>
  </si>
  <si>
    <t>12</t>
    <phoneticPr fontId="3" type="noConversion"/>
  </si>
  <si>
    <t>수직형 7M 이하</t>
    <phoneticPr fontId="3" type="noConversion"/>
  </si>
  <si>
    <t>13</t>
    <phoneticPr fontId="3" type="noConversion"/>
  </si>
  <si>
    <t>수직형 7M ~ 12M</t>
    <phoneticPr fontId="3" type="noConversion"/>
  </si>
  <si>
    <t>14</t>
    <phoneticPr fontId="3" type="noConversion"/>
  </si>
  <si>
    <t>수직형 12M이상</t>
    <phoneticPr fontId="3" type="noConversion"/>
  </si>
  <si>
    <t>15</t>
    <phoneticPr fontId="3" type="noConversion"/>
  </si>
  <si>
    <t>30 Ton 이하</t>
    <phoneticPr fontId="3" type="noConversion"/>
  </si>
  <si>
    <t>16</t>
    <phoneticPr fontId="3" type="noConversion"/>
  </si>
  <si>
    <t>30 Ton &gt; 70 Ton</t>
    <phoneticPr fontId="3" type="noConversion"/>
  </si>
  <si>
    <t>17</t>
    <phoneticPr fontId="3" type="noConversion"/>
  </si>
  <si>
    <t>70 Ton &gt; 100 Ton</t>
    <phoneticPr fontId="3" type="noConversion"/>
  </si>
  <si>
    <t>18</t>
    <phoneticPr fontId="3" type="noConversion"/>
  </si>
  <si>
    <t>100 Ton &gt; 200 Ton</t>
    <phoneticPr fontId="3" type="noConversion"/>
  </si>
  <si>
    <t>19</t>
    <phoneticPr fontId="3" type="noConversion"/>
  </si>
  <si>
    <t>200 Ton &gt; 300 Ton</t>
    <phoneticPr fontId="3" type="noConversion"/>
  </si>
  <si>
    <t>20</t>
    <phoneticPr fontId="3" type="noConversion"/>
  </si>
  <si>
    <t>300 Ton 초과</t>
    <phoneticPr fontId="3" type="noConversion"/>
  </si>
  <si>
    <t>21</t>
    <phoneticPr fontId="3" type="noConversion"/>
  </si>
  <si>
    <t>22</t>
    <phoneticPr fontId="3" type="noConversion"/>
  </si>
  <si>
    <t>23</t>
    <phoneticPr fontId="3" type="noConversion"/>
  </si>
  <si>
    <t>24</t>
    <phoneticPr fontId="3" type="noConversion"/>
  </si>
  <si>
    <t>25</t>
    <phoneticPr fontId="3" type="noConversion"/>
  </si>
  <si>
    <t>35㎥</t>
    <phoneticPr fontId="3" type="noConversion"/>
  </si>
  <si>
    <t>26</t>
    <phoneticPr fontId="3" type="noConversion"/>
  </si>
  <si>
    <t>15 Ton</t>
    <phoneticPr fontId="3" type="noConversion"/>
  </si>
  <si>
    <t>27</t>
    <phoneticPr fontId="3" type="noConversion"/>
  </si>
  <si>
    <t>25 Ton</t>
    <phoneticPr fontId="3" type="noConversion"/>
  </si>
  <si>
    <t>28</t>
    <phoneticPr fontId="3" type="noConversion"/>
  </si>
  <si>
    <t>24㎥</t>
    <phoneticPr fontId="3" type="noConversion"/>
  </si>
  <si>
    <t>29</t>
    <phoneticPr fontId="3" type="noConversion"/>
  </si>
  <si>
    <t>30</t>
    <phoneticPr fontId="3" type="noConversion"/>
  </si>
  <si>
    <t>50㎥</t>
    <phoneticPr fontId="3" type="noConversion"/>
  </si>
  <si>
    <t>31</t>
    <phoneticPr fontId="3" type="noConversion"/>
  </si>
  <si>
    <t>32</t>
    <phoneticPr fontId="3" type="noConversion"/>
  </si>
  <si>
    <t>4.2㎥</t>
    <phoneticPr fontId="3" type="noConversion"/>
  </si>
  <si>
    <t>33</t>
    <phoneticPr fontId="3" type="noConversion"/>
  </si>
  <si>
    <t>34</t>
    <phoneticPr fontId="3" type="noConversion"/>
  </si>
  <si>
    <t>35</t>
    <phoneticPr fontId="3" type="noConversion"/>
  </si>
  <si>
    <t>36</t>
    <phoneticPr fontId="3" type="noConversion"/>
  </si>
  <si>
    <t>5 Ton</t>
    <phoneticPr fontId="3" type="noConversion"/>
  </si>
  <si>
    <t>37</t>
    <phoneticPr fontId="3" type="noConversion"/>
  </si>
  <si>
    <t>38</t>
    <phoneticPr fontId="3" type="noConversion"/>
  </si>
  <si>
    <t>10톤</t>
    <phoneticPr fontId="3" type="noConversion"/>
  </si>
  <si>
    <t>39</t>
    <phoneticPr fontId="3" type="noConversion"/>
  </si>
  <si>
    <t>40</t>
    <phoneticPr fontId="3" type="noConversion"/>
  </si>
  <si>
    <t>41</t>
    <phoneticPr fontId="3" type="noConversion"/>
  </si>
  <si>
    <t>140ton</t>
    <phoneticPr fontId="3" type="noConversion"/>
  </si>
  <si>
    <t>42</t>
    <phoneticPr fontId="3" type="noConversion"/>
  </si>
  <si>
    <t>3m*6m</t>
    <phoneticPr fontId="3" type="noConversion"/>
  </si>
  <si>
    <t>43</t>
    <phoneticPr fontId="3" type="noConversion"/>
  </si>
  <si>
    <t>44</t>
    <phoneticPr fontId="3" type="noConversion"/>
  </si>
  <si>
    <t>45</t>
    <phoneticPr fontId="3" type="noConversion"/>
  </si>
  <si>
    <t>46</t>
    <phoneticPr fontId="3" type="noConversion"/>
  </si>
  <si>
    <t>47</t>
    <phoneticPr fontId="3" type="noConversion"/>
  </si>
  <si>
    <t>48</t>
    <phoneticPr fontId="3" type="noConversion"/>
  </si>
  <si>
    <t>25.5㎥/min</t>
    <phoneticPr fontId="3" type="noConversion"/>
  </si>
  <si>
    <t>49</t>
    <phoneticPr fontId="3" type="noConversion"/>
  </si>
  <si>
    <t>35M 이하</t>
    <phoneticPr fontId="3" type="noConversion"/>
  </si>
  <si>
    <t>50</t>
    <phoneticPr fontId="3" type="noConversion"/>
  </si>
  <si>
    <t>35 M &gt; 60M</t>
    <phoneticPr fontId="3" type="noConversion"/>
  </si>
  <si>
    <t>51</t>
    <phoneticPr fontId="3" type="noConversion"/>
  </si>
  <si>
    <t>60 M 초과</t>
    <phoneticPr fontId="3" type="noConversion"/>
  </si>
  <si>
    <t>sk52</t>
    <phoneticPr fontId="3" type="noConversion"/>
  </si>
  <si>
    <t>sk53</t>
    <phoneticPr fontId="3" type="noConversion"/>
  </si>
  <si>
    <t>sk54</t>
    <phoneticPr fontId="3" type="noConversion"/>
  </si>
  <si>
    <t>sk55</t>
    <phoneticPr fontId="3" type="noConversion"/>
  </si>
  <si>
    <t>sk56</t>
    <phoneticPr fontId="3" type="noConversion"/>
  </si>
  <si>
    <t>sk57</t>
    <phoneticPr fontId="3" type="noConversion"/>
  </si>
  <si>
    <t>sk58</t>
    <phoneticPr fontId="3" type="noConversion"/>
  </si>
  <si>
    <t>sk59</t>
    <phoneticPr fontId="3" type="noConversion"/>
  </si>
  <si>
    <t>sk60</t>
    <phoneticPr fontId="3" type="noConversion"/>
  </si>
  <si>
    <t>sk61</t>
    <phoneticPr fontId="3" type="noConversion"/>
  </si>
  <si>
    <t>sk62</t>
    <phoneticPr fontId="3" type="noConversion"/>
  </si>
  <si>
    <t>sk63</t>
    <phoneticPr fontId="3" type="noConversion"/>
  </si>
  <si>
    <t>sk64</t>
    <phoneticPr fontId="3" type="noConversion"/>
  </si>
  <si>
    <t>sk65</t>
    <phoneticPr fontId="3" type="noConversion"/>
  </si>
  <si>
    <t>sk66</t>
    <phoneticPr fontId="3" type="noConversion"/>
  </si>
  <si>
    <t>sk67</t>
    <phoneticPr fontId="3" type="noConversion"/>
  </si>
  <si>
    <t>sk68</t>
    <phoneticPr fontId="3" type="noConversion"/>
  </si>
  <si>
    <t>대분류 
Code</t>
    <phoneticPr fontId="3" type="noConversion"/>
  </si>
  <si>
    <t>중분류
 code</t>
    <phoneticPr fontId="3" type="noConversion"/>
  </si>
  <si>
    <t>규격
 Code</t>
    <phoneticPr fontId="3" type="noConversion"/>
  </si>
  <si>
    <r>
      <rPr>
        <sz val="11"/>
        <color theme="1"/>
        <rFont val="Segoe UI Symbol"/>
        <family val="3"/>
      </rPr>
      <t>▶</t>
    </r>
    <r>
      <rPr>
        <sz val="11"/>
        <color theme="1"/>
        <rFont val="Microsoft GothicNeo"/>
        <family val="3"/>
        <charset val="129"/>
      </rPr>
      <t xml:space="preserve"> Discipline</t>
    </r>
    <r>
      <rPr>
        <sz val="11"/>
        <color theme="1"/>
        <rFont val="Arial Unicode MS"/>
        <family val="2"/>
        <charset val="129"/>
      </rPr>
      <t xml:space="preserve"> 장비</t>
    </r>
    <phoneticPr fontId="3" type="noConversion"/>
  </si>
  <si>
    <r>
      <rPr>
        <sz val="11"/>
        <color theme="1"/>
        <rFont val="Segoe UI Symbol"/>
        <family val="3"/>
      </rPr>
      <t>▶</t>
    </r>
    <r>
      <rPr>
        <sz val="11"/>
        <color theme="1"/>
        <rFont val="Microsoft GothicNeo"/>
        <family val="3"/>
        <charset val="129"/>
      </rPr>
      <t xml:space="preserve"> Discipline</t>
    </r>
    <r>
      <rPr>
        <sz val="11"/>
        <color theme="1"/>
        <rFont val="Arial Unicode MS"/>
        <family val="2"/>
        <charset val="129"/>
      </rPr>
      <t xml:space="preserve"> 직종</t>
    </r>
    <phoneticPr fontId="3" type="noConversion"/>
  </si>
  <si>
    <t>일 일 공 정 보 고</t>
    <phoneticPr fontId="3" type="noConversion"/>
  </si>
  <si>
    <t>Date</t>
    <phoneticPr fontId="3" type="noConversion"/>
  </si>
  <si>
    <t>CODE</t>
    <phoneticPr fontId="3" type="noConversion"/>
  </si>
  <si>
    <t>PROJECT NAME</t>
    <phoneticPr fontId="3" type="noConversion"/>
  </si>
  <si>
    <t>공종</t>
    <phoneticPr fontId="3" type="noConversion"/>
  </si>
  <si>
    <t>업체명</t>
    <phoneticPr fontId="3" type="noConversion"/>
  </si>
  <si>
    <t xml:space="preserve">                목  차  :</t>
    <phoneticPr fontId="5" type="noConversion"/>
  </si>
  <si>
    <t>1. Daily Quantity Status</t>
    <phoneticPr fontId="26" type="noConversion"/>
  </si>
  <si>
    <t>2. Daily Work Status</t>
    <phoneticPr fontId="26" type="noConversion"/>
  </si>
  <si>
    <t>3. Daily Manpower Status</t>
    <phoneticPr fontId="26" type="noConversion"/>
  </si>
  <si>
    <t>4. Daily Equipment Status</t>
    <phoneticPr fontId="3" type="noConversion"/>
  </si>
  <si>
    <t>5. 사진대지</t>
    <phoneticPr fontId="3" type="noConversion"/>
  </si>
  <si>
    <t>PROJECT</t>
    <phoneticPr fontId="3" type="noConversion"/>
  </si>
  <si>
    <t>일 자</t>
    <phoneticPr fontId="3" type="noConversion"/>
  </si>
  <si>
    <t>위 치</t>
    <phoneticPr fontId="3" type="noConversion"/>
  </si>
  <si>
    <t>작업 내용</t>
    <phoneticPr fontId="3" type="noConversion"/>
  </si>
  <si>
    <t>1. 출력인원 현황</t>
    <phoneticPr fontId="3" type="noConversion"/>
  </si>
  <si>
    <t>3. 장비현황</t>
    <phoneticPr fontId="3" type="noConversion"/>
  </si>
  <si>
    <t>4. 물량</t>
    <phoneticPr fontId="3" type="noConversion"/>
  </si>
  <si>
    <t>5. 사진 대지</t>
    <phoneticPr fontId="3" type="noConversion"/>
  </si>
  <si>
    <t>공 종</t>
    <phoneticPr fontId="3" type="noConversion"/>
  </si>
  <si>
    <t>일 자</t>
    <phoneticPr fontId="3" type="noConversion"/>
  </si>
  <si>
    <t>작업 내용</t>
    <phoneticPr fontId="3" type="noConversion"/>
  </si>
  <si>
    <t>공 종</t>
    <phoneticPr fontId="3" type="noConversion"/>
  </si>
  <si>
    <t>위 치</t>
    <phoneticPr fontId="3" type="noConversion"/>
  </si>
  <si>
    <t>일 자</t>
    <phoneticPr fontId="3" type="noConversion"/>
  </si>
  <si>
    <t>공 종</t>
    <phoneticPr fontId="3" type="noConversion"/>
  </si>
  <si>
    <t>작업 내용</t>
    <phoneticPr fontId="3" type="noConversion"/>
  </si>
  <si>
    <t>일 자</t>
    <phoneticPr fontId="3" type="noConversion"/>
  </si>
  <si>
    <t>위 치</t>
    <phoneticPr fontId="3" type="noConversion"/>
  </si>
  <si>
    <t>Mm06</t>
  </si>
  <si>
    <t>Mm07</t>
  </si>
  <si>
    <t>Mm08</t>
  </si>
  <si>
    <t>Mm09</t>
  </si>
  <si>
    <t>Mm10</t>
  </si>
  <si>
    <t>Wk64</t>
  </si>
  <si>
    <t>sk69</t>
  </si>
  <si>
    <t>Wk65</t>
  </si>
  <si>
    <t>sk70</t>
  </si>
  <si>
    <t>Wk66</t>
  </si>
  <si>
    <t>sk71</t>
  </si>
  <si>
    <t>Wk67</t>
  </si>
  <si>
    <t>sk72</t>
  </si>
  <si>
    <t>Wk68</t>
  </si>
  <si>
    <t>sk73</t>
  </si>
  <si>
    <t>관리자10</t>
  </si>
  <si>
    <t>작업자71</t>
  </si>
  <si>
    <t>작업자72</t>
  </si>
  <si>
    <t>Wk69</t>
  </si>
  <si>
    <t>sk74</t>
  </si>
  <si>
    <t>Wk70</t>
  </si>
  <si>
    <t>sk75</t>
  </si>
  <si>
    <t>Wk71</t>
  </si>
  <si>
    <t>sk76</t>
  </si>
  <si>
    <t>작업자66</t>
  </si>
  <si>
    <t>작업자67</t>
  </si>
  <si>
    <t>작업자68</t>
  </si>
  <si>
    <t>작업자69</t>
  </si>
  <si>
    <t>작업자70</t>
  </si>
  <si>
    <t>장비 Total</t>
    <phoneticPr fontId="3" type="noConversion"/>
  </si>
  <si>
    <t>주간</t>
    <phoneticPr fontId="3" type="noConversion"/>
  </si>
  <si>
    <t>2. 직종별 인원현황</t>
    <phoneticPr fontId="3" type="noConversion"/>
  </si>
  <si>
    <t>케이블 단말</t>
    <phoneticPr fontId="3" type="noConversion"/>
  </si>
  <si>
    <t>J열 이후 자동기입되므로, 별도 기재 X</t>
    <phoneticPr fontId="3" type="noConversion"/>
  </si>
  <si>
    <t>S/C M8/Mould Bar 설치</t>
    <phoneticPr fontId="3" type="noConversion"/>
  </si>
  <si>
    <t>S/C Blind Panel 설치</t>
    <phoneticPr fontId="3" type="noConversion"/>
  </si>
  <si>
    <r>
      <t>M15X</t>
    </r>
    <r>
      <rPr>
        <sz val="8"/>
        <color theme="1"/>
        <rFont val="맑은 고딕"/>
        <family val="3"/>
        <charset val="129"/>
      </rPr>
      <t xml:space="preserve"> PH4</t>
    </r>
    <phoneticPr fontId="3" type="noConversion"/>
  </si>
  <si>
    <t>M15X PH4</t>
  </si>
  <si>
    <t>인력운반공</t>
    <phoneticPr fontId="3" type="noConversion"/>
  </si>
  <si>
    <t>3F~4F</t>
    <phoneticPr fontId="3" type="noConversion"/>
  </si>
  <si>
    <t>일자 :</t>
    <phoneticPr fontId="3" type="noConversion"/>
  </si>
  <si>
    <t>NO</t>
    <phoneticPr fontId="3" type="noConversion"/>
  </si>
  <si>
    <t>작업자 성함</t>
    <phoneticPr fontId="3" type="noConversion"/>
  </si>
  <si>
    <t>직종구분</t>
    <phoneticPr fontId="3" type="noConversion"/>
  </si>
  <si>
    <t>중공종명 (WBS 중공종)</t>
    <phoneticPr fontId="3" type="noConversion"/>
  </si>
  <si>
    <t>소공종명 (WBS 소공종)2</t>
  </si>
  <si>
    <t>세공종명 (WBS 세공종)</t>
  </si>
  <si>
    <t>작업 위치_코드</t>
    <phoneticPr fontId="3" type="noConversion"/>
  </si>
  <si>
    <t>금일 작업 사항</t>
    <phoneticPr fontId="3" type="noConversion"/>
  </si>
  <si>
    <t>BP소장</t>
  </si>
  <si>
    <t>공통업무</t>
  </si>
  <si>
    <t>010102010103  2F 증기배관공사</t>
  </si>
  <si>
    <t>현장 관리 감독</t>
    <phoneticPr fontId="3" type="noConversion"/>
  </si>
  <si>
    <t>010102010105  4F 증기배관공사</t>
  </si>
  <si>
    <t>010102010107  5F 증기배관공사</t>
  </si>
  <si>
    <t>010102010102  1F 증기배관공사</t>
  </si>
  <si>
    <t>010102010101  B1F 증기배관공사</t>
  </si>
  <si>
    <t>위생배관공사</t>
  </si>
  <si>
    <t>ACID배기덕트설치공사</t>
  </si>
  <si>
    <t>010102020707  6F CABINET덕트설치공사</t>
  </si>
  <si>
    <t>ALKALI배기설비공사</t>
  </si>
  <si>
    <t>ALKALI배기덕트설치공사</t>
  </si>
  <si>
    <t>010102021004  4F ALKALI STS배기덕트설치공사</t>
  </si>
  <si>
    <t>H/G배기설비공사</t>
  </si>
  <si>
    <t>H/G배기덕트설치공사</t>
  </si>
  <si>
    <t>010104020401  2F HEAT/GEN배기덕트설치공사</t>
  </si>
  <si>
    <t>작업일보 양식의 작성 방법을 안내드립니다.</t>
    <phoneticPr fontId="3" type="noConversion"/>
  </si>
  <si>
    <r>
      <t>1. 6.출력일보sheet에 작업자명, 작업자 직종을 작성하고,</t>
    </r>
    <r>
      <rPr>
        <sz val="10"/>
        <color rgb="FFFF0000"/>
        <rFont val="맑은 고딕"/>
        <family val="3"/>
        <charset val="129"/>
        <scheme val="minor"/>
      </rPr>
      <t xml:space="preserve"> LINE 명(WBS 소공종 기준),</t>
    </r>
    <r>
      <rPr>
        <sz val="10"/>
        <color theme="1"/>
        <rFont val="맑은 고딕"/>
        <family val="3"/>
        <charset val="129"/>
        <scheme val="minor"/>
      </rPr>
      <t xml:space="preserve"> 작업위치_코드는 목록으로 선택가능하게 만들었습니다.</t>
    </r>
    <phoneticPr fontId="3" type="noConversion"/>
  </si>
  <si>
    <t>2. 작업위치_코드 목록은 4.물량 sheet의 Scope행과 대표물량_작업내용 행을 작성하면, 작업위치_코드명을 만들어지도록 했습니다.</t>
  </si>
  <si>
    <t>물론, 작업위치_코드명은 left명령어를 사용했으며, 글자수를 조정하면 됩니다.</t>
  </si>
  <si>
    <t>3. 작업위치_코드는 해당 공사를 선택하고, 금일 작업 사항을 작성하면 됩니다.</t>
  </si>
  <si>
    <t>4. 조출, 주간, 연장, 야간, 철야는 해당 근무시간을 숫자로 “1”을 입력하면 됩니다.</t>
  </si>
  <si>
    <t>5. 1. 출력인원 현황sheet는 기존에 작성하던 데로 작성하면 됩니다.</t>
  </si>
  <si>
    <t>6. 2. 직종별 인원현황 sheet작성은 금일투입은 6.출력일보 sheet 작성하면 작성이 되도록 했습니다. 전일 누계만 수동으로 입력바랍니다.</t>
  </si>
  <si>
    <t>7. 3. 장비현황 sheet는 기존과 동일하게 작성하면 됩니다.</t>
  </si>
  <si>
    <r>
      <t xml:space="preserve">8. 4. 물량 sheet 도 기존과 동일하게 작성하면 되며, “H열” 작업위치_코드가 열이 추가되었습니다. </t>
    </r>
    <r>
      <rPr>
        <sz val="10"/>
        <color rgb="FFFF0000"/>
        <rFont val="맑은 고딕"/>
        <family val="3"/>
        <charset val="129"/>
        <scheme val="minor"/>
      </rPr>
      <t>LINE명(WBS 소공종 기준) 추가</t>
    </r>
    <phoneticPr fontId="3" type="noConversion"/>
  </si>
  <si>
    <t>9. 5. 작업전경 사진대지는 기존에 사진대지와 동일하게 작성하되, 사진을 작업구간의 전경사진으로 요청드립니다.</t>
  </si>
  <si>
    <t>(작업환경을 확인하기 위함_비계작업, T/L작업, 협소, 기타 간섭사항 등 현장 작업 조건 확인용)</t>
  </si>
  <si>
    <t>10. 작업일보와 별개로 TBM일지 작성 시 내용 추가 요청</t>
    <phoneticPr fontId="3" type="noConversion"/>
  </si>
  <si>
    <t xml:space="preserve">    - 작업팀별로 실제로 가지고 있는 도면 (제작도) No. 작성</t>
    <phoneticPr fontId="3" type="noConversion"/>
  </si>
  <si>
    <t xml:space="preserve">    - 직종/이름 작성</t>
    <phoneticPr fontId="3" type="noConversion"/>
  </si>
  <si>
    <t xml:space="preserve">    - 작업내용 작성</t>
    <phoneticPr fontId="3" type="noConversion"/>
  </si>
  <si>
    <t>대공종 CODE</t>
  </si>
  <si>
    <t>대공종명</t>
  </si>
  <si>
    <t>중공공 CODE</t>
  </si>
  <si>
    <t>중공종명</t>
  </si>
  <si>
    <t>소공종 CODE</t>
  </si>
  <si>
    <t>소공종명</t>
  </si>
  <si>
    <t>대공종명</t>
    <phoneticPr fontId="3" type="noConversion"/>
  </si>
  <si>
    <t>세공종명</t>
    <phoneticPr fontId="3" type="noConversion"/>
  </si>
  <si>
    <t>공통업무</t>
    <phoneticPr fontId="3" type="noConversion"/>
  </si>
  <si>
    <t>01</t>
  </si>
  <si>
    <t>일반공조설비공사</t>
  </si>
  <si>
    <t>010</t>
  </si>
  <si>
    <t>장비설치공사</t>
  </si>
  <si>
    <t>010101  장비설치공사</t>
  </si>
  <si>
    <t>020</t>
  </si>
  <si>
    <t>온수배관공사</t>
  </si>
  <si>
    <t>030</t>
  </si>
  <si>
    <t>드레인배관공사</t>
  </si>
  <si>
    <t>040</t>
  </si>
  <si>
    <t>덕트드레인배관공사</t>
  </si>
  <si>
    <t>050</t>
  </si>
  <si>
    <t>폐열회수배관공사</t>
  </si>
  <si>
    <t>010102010104  3F 증기배관공사</t>
  </si>
  <si>
    <t>060</t>
  </si>
  <si>
    <t>공조덕트설치공사</t>
  </si>
  <si>
    <t>070</t>
  </si>
  <si>
    <t>일반배기덕트설치공사</t>
  </si>
  <si>
    <t>010102010106  4MF 증기배관공사</t>
  </si>
  <si>
    <t>080</t>
  </si>
  <si>
    <t>C/R공조배기덕트설치공사</t>
  </si>
  <si>
    <t>090</t>
  </si>
  <si>
    <t>EHP설치공사</t>
  </si>
  <si>
    <t>010102010108  6F 증기배관공사</t>
  </si>
  <si>
    <t>100</t>
  </si>
  <si>
    <t>V.A.V / C.A.V 설치공사</t>
  </si>
  <si>
    <t>010102010109  7F 증기배관공사</t>
  </si>
  <si>
    <t>02</t>
  </si>
  <si>
    <t>보일러설비공사</t>
  </si>
  <si>
    <t>010102010110  ROOF 증기배관공사</t>
  </si>
  <si>
    <t>증기배관공사</t>
  </si>
  <si>
    <t>010102010201  B1F 냉수배관공사</t>
  </si>
  <si>
    <t>연도설치공사</t>
  </si>
  <si>
    <t>010102010202  1F 냉수배관공사</t>
  </si>
  <si>
    <t>03</t>
  </si>
  <si>
    <t>냉동기설비공사</t>
  </si>
  <si>
    <t>010102010203  2F 냉수배관공사</t>
  </si>
  <si>
    <t>냉수배관공사</t>
  </si>
  <si>
    <t>010102010204  3F 냉수배관공사</t>
  </si>
  <si>
    <t>냉각수배관공사</t>
  </si>
  <si>
    <t>010102010205  4F 냉수배관공사</t>
  </si>
  <si>
    <t>04</t>
  </si>
  <si>
    <t>O.A.C설비공사</t>
  </si>
  <si>
    <t>010102010206  4MF 냉수배관공사</t>
  </si>
  <si>
    <t>C/R공조덕트설치공사</t>
  </si>
  <si>
    <t>010102010301  B1F 폐열회수배관공사</t>
  </si>
  <si>
    <t>WSS배관공사</t>
  </si>
  <si>
    <t>010102010302  1F 폐열회수배관공사</t>
  </si>
  <si>
    <t>05</t>
  </si>
  <si>
    <t>수가습설비공사</t>
  </si>
  <si>
    <t>010102010303  2F 폐열회수배관공사</t>
  </si>
  <si>
    <t>CDA배관공사</t>
  </si>
  <si>
    <t>010102010304  3F 폐열회수배관공사</t>
  </si>
  <si>
    <t>DI배관공사</t>
  </si>
  <si>
    <t>010102010305  4F 폐열회수배관공사</t>
  </si>
  <si>
    <t>06</t>
  </si>
  <si>
    <t>DCC설비공사</t>
  </si>
  <si>
    <t>010102010306  4MF 폐열회수배관공사</t>
  </si>
  <si>
    <t>07</t>
  </si>
  <si>
    <t>010102010401  B1F 드레인배관공사</t>
  </si>
  <si>
    <t>010102010402  1F 드레인배관공사</t>
  </si>
  <si>
    <t>08</t>
  </si>
  <si>
    <t>ACID배기설비공사</t>
  </si>
  <si>
    <t>010102010403  2F 드레인배관공사</t>
  </si>
  <si>
    <t>010102010404  3F 드레인배관공사</t>
  </si>
  <si>
    <t>09</t>
  </si>
  <si>
    <t>010102010405  4F 드레인배관공사</t>
  </si>
  <si>
    <t>010102010406  4MF 드레인배관공사</t>
  </si>
  <si>
    <t>10</t>
  </si>
  <si>
    <t>DRY배기설비공사</t>
  </si>
  <si>
    <t>010102010407  5F 드레인배관공사</t>
  </si>
  <si>
    <t>DRY배기덕트설치공사</t>
  </si>
  <si>
    <t>010102010408  6F 드레인배관공사</t>
  </si>
  <si>
    <t>11</t>
  </si>
  <si>
    <t>CABINET배기설비공사</t>
  </si>
  <si>
    <t>010102010409  7F 드레인배관공사</t>
  </si>
  <si>
    <t>CABINET배기덕트설치공사</t>
  </si>
  <si>
    <t>010102010410  ROOF 드레인배관공사</t>
  </si>
  <si>
    <t>12</t>
  </si>
  <si>
    <t>국소배기덕트설비공사</t>
  </si>
  <si>
    <t>010102010501  B1F WSS 배관공사</t>
  </si>
  <si>
    <t>국소배기덕트설치공사</t>
  </si>
  <si>
    <t>010102010502  1F WSS 배관공사</t>
  </si>
  <si>
    <t>13</t>
  </si>
  <si>
    <t>비상배기덕트설비공사</t>
  </si>
  <si>
    <t>010102010503  2F WSS 배관공사</t>
  </si>
  <si>
    <t>비상배기덕트설치공사</t>
  </si>
  <si>
    <t>010102010504  3F WSS 배관공사</t>
  </si>
  <si>
    <t>14</t>
  </si>
  <si>
    <t>VOC설비공사</t>
  </si>
  <si>
    <t>010102010505  4F WSS배관공사</t>
  </si>
  <si>
    <t>ORG배기덕트설치공사</t>
  </si>
  <si>
    <t>010102010506  4MF WSS배관공사</t>
  </si>
  <si>
    <t>15</t>
  </si>
  <si>
    <t>PCW설비공사</t>
  </si>
  <si>
    <t>010102010601  B1F REW 배관공사</t>
  </si>
  <si>
    <t>PCW배관공사</t>
  </si>
  <si>
    <t>010102010701  B1F EHP/PAC드레인배관공사</t>
  </si>
  <si>
    <t>16</t>
  </si>
  <si>
    <t>NPW배관공사</t>
  </si>
  <si>
    <t>010102010702  1F EHP/PAC드레인배관공사</t>
  </si>
  <si>
    <t>17</t>
  </si>
  <si>
    <t>010102010703  2F EHP/PAC드레인배관공사</t>
  </si>
  <si>
    <t>위생기구설치공사</t>
  </si>
  <si>
    <t>010102010704  3F EHP/PAC드레인배관공사</t>
  </si>
  <si>
    <t>급수급탕배관공사</t>
  </si>
  <si>
    <t>010102010705  4F EHP/PAC드레인배관공사</t>
  </si>
  <si>
    <t>010102010706  4MF EHP/PAC드레인배관공사</t>
  </si>
  <si>
    <t>IW배관공사</t>
  </si>
  <si>
    <t>010102010707  7F EHP/PAC드레인배관공사</t>
  </si>
  <si>
    <t>CW배관공사</t>
  </si>
  <si>
    <t>010102010708  ROOF EHP/PAC드레인배관공사</t>
  </si>
  <si>
    <t>오배수배관공사</t>
  </si>
  <si>
    <t>010102020101  B1F 공조덕트설치공사</t>
  </si>
  <si>
    <t>18</t>
  </si>
  <si>
    <t>LNG설비공사</t>
  </si>
  <si>
    <t>옥외공사</t>
  </si>
  <si>
    <t>010102020102  1F 공조덕트설치공사</t>
  </si>
  <si>
    <t>옥내배관공사</t>
  </si>
  <si>
    <t>010102020103  2F 공조덕트설치공사</t>
  </si>
  <si>
    <t>19</t>
  </si>
  <si>
    <t>TAB</t>
  </si>
  <si>
    <t>010102020104  3F 공조덕트설치공사</t>
  </si>
  <si>
    <t>20</t>
  </si>
  <si>
    <t>PIPE RACK설치공사</t>
  </si>
  <si>
    <t>010102020105  4F 공조덕트설치공사</t>
  </si>
  <si>
    <t>21</t>
  </si>
  <si>
    <t>WWT설비공사</t>
  </si>
  <si>
    <t>WWT장비설치공사</t>
  </si>
  <si>
    <t>010102020106  4MF 공조덕트설치공사</t>
  </si>
  <si>
    <t>WWT SYSTEM배관공사</t>
  </si>
  <si>
    <t>010102020201  2F 크린룸덕트설치공사</t>
  </si>
  <si>
    <t>재이용수배관공사</t>
  </si>
  <si>
    <t>010102020202  3F 크린룸덕트설치공사</t>
  </si>
  <si>
    <t>방류수공사</t>
  </si>
  <si>
    <t>010102020301  B1F 일반배기덕트설치공사</t>
  </si>
  <si>
    <t>22</t>
  </si>
  <si>
    <t>기타공사</t>
  </si>
  <si>
    <t>010102020302  1F 일반배기덕트설치공사</t>
  </si>
  <si>
    <t>NaOH배관공사</t>
  </si>
  <si>
    <t>010102020303  2F 일반배기덕트설치공사</t>
  </si>
  <si>
    <t>가설공사</t>
  </si>
  <si>
    <t>010102020304  3F 일반배기덕트설치공사</t>
  </si>
  <si>
    <t>소방가설설비공사</t>
  </si>
  <si>
    <t>010102020305  4F 일반배기덕트설치공사</t>
  </si>
  <si>
    <t>소방수정공사</t>
  </si>
  <si>
    <t>010102020306  4MF 일반배기덕트설치공사</t>
  </si>
  <si>
    <t>23</t>
  </si>
  <si>
    <t>비계설치공사</t>
  </si>
  <si>
    <t>010102020307  5F 일반배기덕트설치공사</t>
  </si>
  <si>
    <t>24</t>
  </si>
  <si>
    <t>볼조인트설치공사</t>
  </si>
  <si>
    <t>010102020308  6F 일반배기덕트설치공사</t>
  </si>
  <si>
    <t>25</t>
  </si>
  <si>
    <t>동파방지열선공사</t>
  </si>
  <si>
    <t>010102020309  7F 일반배기덕트설치공사</t>
  </si>
  <si>
    <t>26</t>
  </si>
  <si>
    <t>방음방진설치공사</t>
  </si>
  <si>
    <t>010102020310  ROOF 일반배기덕트설치공사</t>
  </si>
  <si>
    <t>27</t>
  </si>
  <si>
    <t>Hook-up 공사</t>
  </si>
  <si>
    <t>010102020401  1F HEAT/GEN배기덕트설치공사</t>
  </si>
  <si>
    <t>28</t>
  </si>
  <si>
    <t>H2D배기설비공사</t>
  </si>
  <si>
    <t>010102020402  2F HEAT/GEN배기덕트설치공사</t>
  </si>
  <si>
    <t>H2D배기덕트설치공사</t>
  </si>
  <si>
    <t>010102020403  3F HEAT/GEN배기덕트설치공사</t>
  </si>
  <si>
    <t>29</t>
  </si>
  <si>
    <t>H-VAC설비공사</t>
  </si>
  <si>
    <t>010102020404  4F HEAT/GEN배기덕트설치공사</t>
  </si>
  <si>
    <t>30</t>
  </si>
  <si>
    <t>우수배관공사</t>
  </si>
  <si>
    <t>010102020405  4MF HEAT/GEN배기덕트설치공사</t>
  </si>
  <si>
    <t>31</t>
  </si>
  <si>
    <t>RO배관공사</t>
  </si>
  <si>
    <t>010102020406  5F HEAT/GEN배기덕트설치공사</t>
  </si>
  <si>
    <t>VO</t>
  </si>
  <si>
    <t>VO공사</t>
  </si>
  <si>
    <t>SVO</t>
  </si>
  <si>
    <t>010102020407  6F HEAT/GEN배기덕트설치공사</t>
  </si>
  <si>
    <t>010102020408  7F HEAT/GEN배기덕트설치공사</t>
  </si>
  <si>
    <t>010102020409  ROOF HEAT/GEN배기덕트설치공사</t>
  </si>
  <si>
    <t>010102020501  1F H2D배기덕트설치공사</t>
  </si>
  <si>
    <t>UPW설비공사</t>
  </si>
  <si>
    <t>010102020502  2F H2D배기덕트설치공사</t>
  </si>
  <si>
    <t>UPW배관공사</t>
  </si>
  <si>
    <t>010102020503  3F H2D배기덕트설치공사</t>
  </si>
  <si>
    <t>010102020504  4F H2D배기덕트설치공사</t>
  </si>
  <si>
    <t>H-VAC배관공사</t>
  </si>
  <si>
    <t>010102020505  4MF H2D배기덕트설치공사</t>
  </si>
  <si>
    <t>P-VAC설비공사</t>
  </si>
  <si>
    <t>010102020506  5F H2D배기덕트설치공사</t>
  </si>
  <si>
    <t>P-VAC배관공사</t>
  </si>
  <si>
    <t>010102020507  6F H2D배기덕트설치공사</t>
  </si>
  <si>
    <t>ALMS설비공사</t>
  </si>
  <si>
    <t>010102020508  7F H2D배기덕트설치공사</t>
  </si>
  <si>
    <t>ALMS배관공사</t>
  </si>
  <si>
    <t>010102020509  ROOF H2D배기덕트설치공사</t>
  </si>
  <si>
    <t>BULK GAS설비공사</t>
  </si>
  <si>
    <t>GAS PLANT설치공사</t>
  </si>
  <si>
    <t>010102020601  1F ORGANIC배기덕트설치공사</t>
  </si>
  <si>
    <t>010102020602  2F ORGANIC배기덕트설치공사</t>
  </si>
  <si>
    <t>BULK GAS배관공사</t>
  </si>
  <si>
    <t>010102020603  3F ORGANIC배기덕트설치공사</t>
  </si>
  <si>
    <t>HOOK UP 공사</t>
  </si>
  <si>
    <t>010102020604  4F ORGANIC배기덕트설치공사</t>
  </si>
  <si>
    <t>PROCESS GAS설비공사</t>
  </si>
  <si>
    <t>010102020605  4MF ORGANIC배기덕트설치공사</t>
  </si>
  <si>
    <t>PROCESS GAS배관공사</t>
  </si>
  <si>
    <t>010102020606  5F ORGANIC배기덕트설치공사</t>
  </si>
  <si>
    <t>010102020607  6F ORGANIC배기덕트설치공사</t>
  </si>
  <si>
    <t>CHEMICAL설비공사</t>
  </si>
  <si>
    <t>010102020608  7F ORGANIC배기덕트설치공사</t>
  </si>
  <si>
    <t>CHEMICAL 배관공사</t>
  </si>
  <si>
    <t>010102020609  ROOF ORGANIC배기덕트설치공사</t>
  </si>
  <si>
    <t>010102020701  1F CABINET덕트설치공사</t>
  </si>
  <si>
    <t>폐수폐액설비공사</t>
  </si>
  <si>
    <t>WWTS 장비설치공사</t>
  </si>
  <si>
    <t>010102020702  2F CABINET덕트설치공사</t>
  </si>
  <si>
    <t>폐수/폐액배관공사</t>
  </si>
  <si>
    <t>010102020703  3F CABINET덕트설치공사</t>
  </si>
  <si>
    <t>010102020704  4F CABINET덕트설치공사</t>
  </si>
  <si>
    <t>010102020705  4MF CABINET덕트설치공사</t>
  </si>
  <si>
    <t>소방</t>
  </si>
  <si>
    <t>010102020706  5F CABINET덕트설치공사</t>
  </si>
  <si>
    <t>기계소화설비</t>
  </si>
  <si>
    <t>소화장비설치공사</t>
  </si>
  <si>
    <t>소화기구설치공사</t>
  </si>
  <si>
    <t>010102020708  7F CABINET덕트설치공사</t>
  </si>
  <si>
    <t>옥내소화배관공사</t>
  </si>
  <si>
    <t>010102020709  ROOF CABINET덕트설치공사</t>
  </si>
  <si>
    <t>스프링클러배관공사</t>
  </si>
  <si>
    <t>010102020801  1F EMERGENCY덕트설치공사</t>
  </si>
  <si>
    <t>옥외소화배관공사</t>
  </si>
  <si>
    <t>010102020802  2F EMERGENCY덕트설치공사</t>
  </si>
  <si>
    <t>소화가스설비공사</t>
  </si>
  <si>
    <t>010102020803  3F EMERGENCY덕트설치공사</t>
  </si>
  <si>
    <t>제연설비공사</t>
  </si>
  <si>
    <t>010102020804  4F EMERGENCY덕트설치공사</t>
  </si>
  <si>
    <t>내진서포트설치공사</t>
  </si>
  <si>
    <t>010102020805  4MF EMERGENCY덕트설치공사</t>
  </si>
  <si>
    <t>010102020806  5F EMERGENCY덕트설치공사</t>
  </si>
  <si>
    <t>010102020807  6F EMERGENCY덕트설치공사</t>
  </si>
  <si>
    <t>110</t>
  </si>
  <si>
    <t>IN-DUCT스프링클러배관공사</t>
  </si>
  <si>
    <t>010102020808  7F EMERGENCY덕트설치공사</t>
  </si>
  <si>
    <t>120</t>
  </si>
  <si>
    <t>살수장애스프링클러배관공사</t>
  </si>
  <si>
    <t>010102020809  ROOF EMERGENCY덕트설치공사</t>
  </si>
  <si>
    <t>130</t>
  </si>
  <si>
    <t>물분무배관공사</t>
  </si>
  <si>
    <t>010102020901  1F ACID STS배기덕트설치공사</t>
  </si>
  <si>
    <t>140</t>
  </si>
  <si>
    <t>010102020902  2F ACID STS배기덕트설치공사</t>
  </si>
  <si>
    <t>전기소화설비</t>
  </si>
  <si>
    <t>자탐설비공사</t>
  </si>
  <si>
    <t>010102020903  3F ACID STS배기덕트설치공사</t>
  </si>
  <si>
    <t>유도등설비공사</t>
  </si>
  <si>
    <t>010102020904  4F ACID STS배기덕트설치공사</t>
  </si>
  <si>
    <t>무선통신보조설비공사</t>
  </si>
  <si>
    <t>010102020905  4MF ACID STS배기덕트설치공사</t>
  </si>
  <si>
    <t>공기흡입형감지기설비공사</t>
  </si>
  <si>
    <t>010102020906  5F ACID STS배기덕트설치공사</t>
  </si>
  <si>
    <t>010102020907  6F ACID STS배기덕트설치공사</t>
  </si>
  <si>
    <t>010102020908  7F ACID STS배기덕트설치공사</t>
  </si>
  <si>
    <t>010102020909  ROOF ACID STS배기덕트설치공사</t>
  </si>
  <si>
    <t>010102021001  1F ALKALI STS배기덕트설치공사</t>
  </si>
  <si>
    <t>010102021002  2F ALKALI STS배기덕트설치공사</t>
  </si>
  <si>
    <t>010102021003  3F ALKALI STS배기덕트설치공사</t>
  </si>
  <si>
    <t>010102021005  4MF ALKALI STS배기덕트설치공사</t>
  </si>
  <si>
    <t>010102021006  5F ALKALI STS배기덕트설치공사</t>
  </si>
  <si>
    <t>010102021007  6F ALKALI STS배기덕트설치공사</t>
  </si>
  <si>
    <t>010102021008  7F ALKALI STS배기덕트설치공사</t>
  </si>
  <si>
    <t>010102021009  RF ALKALI STS배기덕트설치공사</t>
  </si>
  <si>
    <t>010102030101  1F DUCT DRAIN HF배관공사</t>
  </si>
  <si>
    <t>010102030102  2F DUCT DRAIN HF배관공사</t>
  </si>
  <si>
    <t>010102030103  3F DUCT DRAIN HF배관공사</t>
  </si>
  <si>
    <t>010102030104  4F DUCT DRAIN HF배관공사</t>
  </si>
  <si>
    <t>010102030105  4MF DUCT DRAIN HF배관공사</t>
  </si>
  <si>
    <t>010102030106  7F DUCT DRAIN HF배관공사</t>
  </si>
  <si>
    <t>010102030107  ROOF DUCT DRAIN HF배관공사</t>
  </si>
  <si>
    <t>010102030201  1F DUCT DRAIN SOLVENT배관공사</t>
  </si>
  <si>
    <t>010102030202  2F DUCT DRAIN SOLVENT배관공사</t>
  </si>
  <si>
    <t>010102030203  3F DUCT DRAIN SOLVENT배관공사</t>
  </si>
  <si>
    <t>010102030204  7F DUCT DRAIN SOLVENT배관공사</t>
  </si>
  <si>
    <t>010102030205  RF DUCT DRAIN SOLVENT배관공사</t>
  </si>
  <si>
    <t>010102040101  3층 위생기구설치공사</t>
  </si>
  <si>
    <t>010102040201  B1F 급수급탕배관공사</t>
  </si>
  <si>
    <t>010102040202  1F 급수급탕배관공사</t>
  </si>
  <si>
    <t>010102040203  2F 급수급탕배관공사</t>
  </si>
  <si>
    <t>010102040204  3F 급수급탕배관공사</t>
  </si>
  <si>
    <t>010102040205  4F 급수급탕배관공사</t>
  </si>
  <si>
    <t>010102040206  4MF 급수급탕배관공사</t>
  </si>
  <si>
    <t>010102040207  5F 급수급탕배관공사</t>
  </si>
  <si>
    <t>010102040208  6F 급수급탕배관공사</t>
  </si>
  <si>
    <t>010102040209  7F 급수급탕배관공사</t>
  </si>
  <si>
    <t>010102040301  B1F NPW배관공사</t>
  </si>
  <si>
    <t>010102040302  1F NPW배관공사</t>
  </si>
  <si>
    <t>010102040303  2F NPW배관공사</t>
  </si>
  <si>
    <t>010102040304  3F NPW배관공사</t>
  </si>
  <si>
    <t>010102040305  4F NPW배관공사</t>
  </si>
  <si>
    <t>010102040306  4MF NPW배관공사</t>
  </si>
  <si>
    <t>010102040307  5F NPW배관공사</t>
  </si>
  <si>
    <t>010102040308  6F NPW배관공사</t>
  </si>
  <si>
    <t>010102040309  7F NPW배관공사</t>
  </si>
  <si>
    <t>010102040310  ROOF NPW배관공사</t>
  </si>
  <si>
    <t>010102040311  ROOFTOP-1 NPW배관공사</t>
  </si>
  <si>
    <t>010102040401  B1층 오배수배관공사</t>
  </si>
  <si>
    <t>010102040402  1층 오배수배관공사</t>
  </si>
  <si>
    <t>010102040403  2층 오배수배관공사</t>
  </si>
  <si>
    <t>010102040404  3층 오배수배관공사</t>
  </si>
  <si>
    <t>010102040405  4층 오배수배관공사</t>
  </si>
  <si>
    <t>010102040406  4M층 오배수배관공사</t>
  </si>
  <si>
    <t>010102040407  5층 오배수배관공사</t>
  </si>
  <si>
    <t>010102040408  6층 오배수배관공사</t>
  </si>
  <si>
    <t>010102040409  7층 오배수배관공사</t>
  </si>
  <si>
    <t>010102040410  ROOF층 오배수배관공사</t>
  </si>
  <si>
    <t>0101020501  1F F03 동파방지열선</t>
  </si>
  <si>
    <t>0101020502  ROOF F03 동파방지열선(CTW,NPW,CD)</t>
  </si>
  <si>
    <t>0101020503  ROOF F03 동파방지열선(DUCT DRAIN)</t>
  </si>
  <si>
    <t>01010206  사이포닉 우배수 배관공사</t>
  </si>
  <si>
    <t>0101020701  HVAC PIPING VIBRATION</t>
  </si>
  <si>
    <t>0101020702  HVAC- DUCT VIBRATION</t>
  </si>
  <si>
    <t>0101020703  EXHAUST- DUCT VIBRATION</t>
  </si>
  <si>
    <t>01010208  LNG 배관공사</t>
  </si>
  <si>
    <t>0101020901  RF (F03) ACID FRP</t>
  </si>
  <si>
    <t>0101020902  RF (F03) ALKALI FRP</t>
  </si>
  <si>
    <t>010102100101  1F DS구간~ROOF (북측 )</t>
  </si>
  <si>
    <t>010102100201  1F DS구간~ROOF (북측 )</t>
  </si>
  <si>
    <t>010102100202  3F DS구간~ROOF (북측 )</t>
  </si>
  <si>
    <t>010102110101  RF (F03) ACID FRP</t>
  </si>
  <si>
    <t>010102110201  RF (F03) ALKALI FRP</t>
  </si>
  <si>
    <t>010102110301  RF (F03) CABINET FRP</t>
  </si>
  <si>
    <t>010102120101  1ST HIGH</t>
  </si>
  <si>
    <t>010102120102  2ND FL HIGH</t>
  </si>
  <si>
    <t>010102120103  3ND FL</t>
  </si>
  <si>
    <t>010103010101  1F 냉수배관공사</t>
  </si>
  <si>
    <t>010103010102  4F 냉수배관공사</t>
  </si>
  <si>
    <t>010103010201  4F 폐열회수배관공사</t>
  </si>
  <si>
    <t>010103010301  1F 드레인배관공사</t>
  </si>
  <si>
    <t>010103010302  4F 드레인배관공사</t>
  </si>
  <si>
    <t>010103020101  1F 공조덕트설치공사</t>
  </si>
  <si>
    <t>010103020102  2F 공조덕트설치공사</t>
  </si>
  <si>
    <t>010103020103  3F 공조덕트설치공사</t>
  </si>
  <si>
    <t>010103020104  4F 공조덕트설치공사</t>
  </si>
  <si>
    <t>010103020105  4MF 공조덕트설치공사</t>
  </si>
  <si>
    <t>010103020201  2F 크린룸덕트설치공사</t>
  </si>
  <si>
    <t>010103020301  2F 일반배기덕트설치공사</t>
  </si>
  <si>
    <t>010103020302  4MF 일반배기덕트설치공사</t>
  </si>
  <si>
    <t>010103020401  1F HEAT/GEN배기덕트설치공사</t>
  </si>
  <si>
    <t>010103020402  2F HEAT/GEN배기덕트설치공사</t>
  </si>
  <si>
    <t>010103020501  1F H2D배기덕트설치공사</t>
  </si>
  <si>
    <t>010103020601  2F ORGANIC배기덕트설치공사</t>
  </si>
  <si>
    <t>010103020701  1F CABINET덕트설치공사</t>
  </si>
  <si>
    <t>010103020702  2F CABINET덕트설치공사</t>
  </si>
  <si>
    <t>010103020703  3F CABINET덕트설치공사</t>
  </si>
  <si>
    <t>010103020704  4F CABINET덕트설치공사</t>
  </si>
  <si>
    <t>010103020705  4MF CABINET덕트설치공사</t>
  </si>
  <si>
    <t>010103020801  1F EMERGENCY덕트설치공사</t>
  </si>
  <si>
    <t>010103020802  3F EMERGENCY덕트설치공사</t>
  </si>
  <si>
    <t>010103020803  4F EMERGENCY덕트설치공사</t>
  </si>
  <si>
    <t>010103020804  4MF EMERGENCY덕트설치공사</t>
  </si>
  <si>
    <t>010103030101  1F DUCT DRAIN HF배관공사</t>
  </si>
  <si>
    <t>010103030102  2F DUCT DRAIN HF배관공사</t>
  </si>
  <si>
    <t>010103030103  4F DUCT DRAIN HF배관공사</t>
  </si>
  <si>
    <t>010103030104  4MF DUCT DRAIN HF배관공사</t>
  </si>
  <si>
    <t>010103030105  7F DUCT DRAIN HF배관공사</t>
  </si>
  <si>
    <t>010103030201  2F DUCT DRAIN SOLVENT배관공사</t>
  </si>
  <si>
    <t>010103040101  1F 급수급탕배관공사</t>
  </si>
  <si>
    <t>010103040102  2F 급수급탕배관공사</t>
  </si>
  <si>
    <t>010103040103  3F 급수급탕배관공사</t>
  </si>
  <si>
    <t>010103040104  4F 급수급탕배관공사</t>
  </si>
  <si>
    <t>010103040105  4MF 급수급탕배관공사</t>
  </si>
  <si>
    <t>010103040106  5F 급수급탕배관공사</t>
  </si>
  <si>
    <t>010103040107  6F 급수급탕배관공사</t>
  </si>
  <si>
    <t>010103040201  1F NPW배관공사</t>
  </si>
  <si>
    <t>010103040202  5F NPW배관공사</t>
  </si>
  <si>
    <t>0101030501  HVAC PIPING VIBRATION</t>
  </si>
  <si>
    <t>0101030502  HVAC- DUCT VIBRATION</t>
  </si>
  <si>
    <t>0101030503  EXHAUST- DUCT VIBRATION</t>
  </si>
  <si>
    <t>010103060101  1F (F02) ACID FRP</t>
  </si>
  <si>
    <t>010103060102  2F (F02) ACID FRP</t>
  </si>
  <si>
    <t>010103060103  3F (F02) ACID FRP</t>
  </si>
  <si>
    <t>010103060104  4F (F02) ACID FRP</t>
  </si>
  <si>
    <t>010103060105  4MF (F02) ACID FRP</t>
  </si>
  <si>
    <t>010103060201  1F (F02) ALKALI FRP</t>
  </si>
  <si>
    <t>010103060202  2F (F02) ALKALI FRP</t>
  </si>
  <si>
    <t>010103060203  3F (F02) ALKALI FRP</t>
  </si>
  <si>
    <t>010103060204  4F (F02) ALKALI FRP</t>
  </si>
  <si>
    <t>010103060205  4MF (F02) ALKALI FRP</t>
  </si>
  <si>
    <t>010103060301  1F (F02) HCL FRP</t>
  </si>
  <si>
    <t>010103070101  1F (F02) ACID FM FRP</t>
  </si>
  <si>
    <t>010103070201  1F (F02) PFC FM FRP</t>
  </si>
  <si>
    <t>010103070301  1F (F02) HCL FM FRP</t>
  </si>
  <si>
    <t>010103080101  1F (F02) ACID C-FRP</t>
  </si>
  <si>
    <t>010103080201  1F (F02) PFC C-FRP</t>
  </si>
  <si>
    <t>010103090101  2ND FL HIGH</t>
  </si>
  <si>
    <t>010103090102  4th FL</t>
  </si>
  <si>
    <t>010103090103  4th FL MEZZANINE</t>
  </si>
  <si>
    <t>010104010101  1F 냉수배관공사</t>
  </si>
  <si>
    <t>010104010102  4F 냉수배관공사</t>
  </si>
  <si>
    <t>010104010103  4MF 냉수배관공사</t>
  </si>
  <si>
    <t>010104010201  4F 폐열회수배관공사</t>
  </si>
  <si>
    <t>010104010202  4MF 폐열회수배관공사</t>
  </si>
  <si>
    <t>010104010301  1F 드레인배관공사</t>
  </si>
  <si>
    <t>010104010302  3F 드레인배관공사</t>
  </si>
  <si>
    <t>010104010303  4F 드레인배관공사</t>
  </si>
  <si>
    <t>010104010304  4MF 드레인배관공사</t>
  </si>
  <si>
    <t>010104010401  4F EHP/PAC드레인배관공사</t>
  </si>
  <si>
    <t>010104010402  4MF EHP/PAC드레인배관공사</t>
  </si>
  <si>
    <t>010104020101  2F 공조덕트설치공사</t>
  </si>
  <si>
    <t>010104020102  3F 공조덕트설치공사</t>
  </si>
  <si>
    <t>010104020103  4F 공조덕트설치공사</t>
  </si>
  <si>
    <t>010104020104  4MF 공조덕트설치공사</t>
  </si>
  <si>
    <t>010104020201  2F 크린룸덕트설치공사</t>
  </si>
  <si>
    <t>010104020301  2F 일반배기덕트설치공사</t>
  </si>
  <si>
    <t>010104020302  4F 일반배기덕트설치공사</t>
  </si>
  <si>
    <t>010104020303  4MF 일반배기덕트설치공사</t>
  </si>
  <si>
    <t>010104020501  2F ORGANIC배기덕트설치공사</t>
  </si>
  <si>
    <t>010104020502  3F ORGANIC배기덕트설치공사</t>
  </si>
  <si>
    <t>010104020503  4MF ORGANIC배기덕트설치공사</t>
  </si>
  <si>
    <t>010104020601  1F CABINET덕트설치공사</t>
  </si>
  <si>
    <t>010104020602  2F CABINET덕트설치공사</t>
  </si>
  <si>
    <t>010104020603  3F CABINET덕트설치공사</t>
  </si>
  <si>
    <t>010104020604  4F CABINET덕트설치공사</t>
  </si>
  <si>
    <t>010104020605  4MF CABINET덕트설치공사</t>
  </si>
  <si>
    <t>010104020701  1F EMERGENCY덕트설치공사</t>
  </si>
  <si>
    <t>010104020702  3F EMERGENCY덕트설치공사</t>
  </si>
  <si>
    <t>010104020703  4F EMERGENCY덕트설치공사</t>
  </si>
  <si>
    <t>010104020704  4MF EMERGENCY덕트설치공사</t>
  </si>
  <si>
    <t>010104030101  1F DUCT DRAIN HF배관공사</t>
  </si>
  <si>
    <t>010104030102  2F DUCT DRAIN HF배관공사</t>
  </si>
  <si>
    <t>010104030103  3F DUCT DRAIN HF배관공사</t>
  </si>
  <si>
    <t>010104030104  4MF DUCT DRAIN HF배관공사</t>
  </si>
  <si>
    <t>010104030105  7F DUCT DRAIN HF배관공사</t>
  </si>
  <si>
    <t>010104030201  2F DUCT DRAIN SOLVENT배관공사</t>
  </si>
  <si>
    <t>010104030202  3F DUCT DRAIN SOLVENT배관공사</t>
  </si>
  <si>
    <t>010104030203  4MF DUCT DRAIN SOLVENT배관공사</t>
  </si>
  <si>
    <t>010104040101  1F 급수급탕배관공사</t>
  </si>
  <si>
    <t>010104040102  2F 급수급탕배관공사</t>
  </si>
  <si>
    <t>010104040103  3F 급수급탕배관공사</t>
  </si>
  <si>
    <t>010104040104  4F 급수급탕배관공사</t>
  </si>
  <si>
    <t>010104040105  4MF 급수급탕배관공사</t>
  </si>
  <si>
    <t>010104040201  1F NPW배관공사</t>
  </si>
  <si>
    <t>010104040202  4MF NPW배관공사</t>
  </si>
  <si>
    <t>010104040301  4MF 오배수배관공사</t>
  </si>
  <si>
    <t>0101040501  HVAC PIPING VIBRATION</t>
  </si>
  <si>
    <t>0101040502  HVAC- DUCT VIBRATION</t>
  </si>
  <si>
    <t>0101040503  EXHAUST- DUCT VIBRATION</t>
  </si>
  <si>
    <t>010104060101  1ST HIGH</t>
  </si>
  <si>
    <t>010104060102  1ST LOW</t>
  </si>
  <si>
    <t>010104060103  4th FL MEZZANINE</t>
  </si>
  <si>
    <t>010104060201  2ND FL HIGH</t>
  </si>
  <si>
    <t>010104060301  2ND FL LOW</t>
  </si>
  <si>
    <t>010104060401  3ND FL</t>
  </si>
  <si>
    <t>010105010101  B1F 증기배관공사</t>
  </si>
  <si>
    <t>010105010102  1F 증기배관공사</t>
  </si>
  <si>
    <t>010105010103  2F 증기배관공사</t>
  </si>
  <si>
    <t>010105010104  3F 증기배관공사</t>
  </si>
  <si>
    <t>010105010105  4F 증기배관공사</t>
  </si>
  <si>
    <t>010105010106  4MF 증기배관공사</t>
  </si>
  <si>
    <t>010105010107  5F 증기배관공사</t>
  </si>
  <si>
    <t>010105010108  6F 증기배관공사</t>
  </si>
  <si>
    <t>010105010109  7F 증기배관공사</t>
  </si>
  <si>
    <t>010105010110  ROOF 증기배관공사</t>
  </si>
  <si>
    <t>010105010201  B1F 냉수배관공사</t>
  </si>
  <si>
    <t>010105010202  1F 냉수배관공사</t>
  </si>
  <si>
    <t>010105010203  2F 냉수배관공사</t>
  </si>
  <si>
    <t>010105010204  3F 냉수배관공사</t>
  </si>
  <si>
    <t>010105010205  4F 냉수배관공사</t>
  </si>
  <si>
    <t>010105010206  4MF 냉수배관공사</t>
  </si>
  <si>
    <t>010105010207  5F 냉수배관공사</t>
  </si>
  <si>
    <t>010105010208  6F 냉수배관공사</t>
  </si>
  <si>
    <t>010105010301  B1F 폐열회수배관공사</t>
  </si>
  <si>
    <t>010105010302  1F 폐열회수배관공사</t>
  </si>
  <si>
    <t>010105010303  2F 폐열회수배관공사</t>
  </si>
  <si>
    <t>010105010304  3F 폐열회수배관공사</t>
  </si>
  <si>
    <t>010105010305  4F 폐열회수배관공사</t>
  </si>
  <si>
    <t>010105010306  4MF 폐열회수배관공사</t>
  </si>
  <si>
    <t>010105010307  5F 폐열회수배관공사</t>
  </si>
  <si>
    <t>010105010308  6F 폐열회수배관공사</t>
  </si>
  <si>
    <t>010105010401  B1F 드레인배관공사</t>
  </si>
  <si>
    <t>010105010402  1F 드레인배관공사</t>
  </si>
  <si>
    <t>010105010403  2F 드레인배관공사</t>
  </si>
  <si>
    <t>010105010404  3F 드레인배관공사</t>
  </si>
  <si>
    <t>010105010405  4F 드레인배관공사</t>
  </si>
  <si>
    <t>010105010406  4MF 드레인배관공사</t>
  </si>
  <si>
    <t>010105010407  5F 드레인배관공사</t>
  </si>
  <si>
    <t>010105010408  6F 드레인배관공사</t>
  </si>
  <si>
    <t>010105010409  7F 드레인배관공사</t>
  </si>
  <si>
    <t>010105010410  ROOF 드레인배관공사</t>
  </si>
  <si>
    <t>010105010501  B1F WSS 배관공사</t>
  </si>
  <si>
    <t>010105010502  1F WSS 배관공사</t>
  </si>
  <si>
    <t>010105010503  2F WSS 배관공사</t>
  </si>
  <si>
    <t>010105010504  3F WSS 배관공사</t>
  </si>
  <si>
    <t>010105010505  4F WSS배관공사</t>
  </si>
  <si>
    <t>010105010506  4MF WSS배관공사</t>
  </si>
  <si>
    <t>010105010507  5F WSS배관공사</t>
  </si>
  <si>
    <t>010105010508  6F WSS배관공사</t>
  </si>
  <si>
    <t>010105010509  7F WSS배관공사</t>
  </si>
  <si>
    <t>010105010601  B1F EHP/PAC드레인배관공사</t>
  </si>
  <si>
    <t>010105010602  1F EHP/PAC드레인배관공사</t>
  </si>
  <si>
    <t>010105010603  2F EHP/PAC드레인배관공사</t>
  </si>
  <si>
    <t>010105010604  3F EHP/PAC드레인배관공사</t>
  </si>
  <si>
    <t>010105010605  4F EHP/PAC드레인배관공사</t>
  </si>
  <si>
    <t>010105010606  4MF EHP/PAC드레인배관공사</t>
  </si>
  <si>
    <t>010105010607  5F EHP/PAC드레인배관공사</t>
  </si>
  <si>
    <t>010105010608  6F EHP/PAC드레인배관공사</t>
  </si>
  <si>
    <t>010105010609  7F EHP/PAC드레인배관공사</t>
  </si>
  <si>
    <t>010105010610  ROOF EHP/PAC드레인배관공사</t>
  </si>
  <si>
    <t>010105020101  1F 공조덕트설치공사</t>
  </si>
  <si>
    <t>010105020102  2F 공조덕트설치공사</t>
  </si>
  <si>
    <t>010105020103  3F 공조덕트설치공사</t>
  </si>
  <si>
    <t>010105020104  4F 공조덕트설치공사</t>
  </si>
  <si>
    <t>010105020105  5F 공조덕트설치공사</t>
  </si>
  <si>
    <t>010105020106  6F 공조덕트설치공사</t>
  </si>
  <si>
    <t>010105020201  3F 크린룸덕트설치공사</t>
  </si>
  <si>
    <t>010105020301  B1F 일반배기덕트설치공사</t>
  </si>
  <si>
    <t>010105020302  1F 일반배기덕트설치공사</t>
  </si>
  <si>
    <t>010105020303  2F 일반배기덕트설치공사</t>
  </si>
  <si>
    <t>010105020304  3F 일반배기덕트설치공사</t>
  </si>
  <si>
    <t>010105020305  4F 일반배기덕트설치공사</t>
  </si>
  <si>
    <t>010105020306  4MF 일반배기덕트설치공사</t>
  </si>
  <si>
    <t>010105020307  5F 일반배기덕트설치공사</t>
  </si>
  <si>
    <t>010105020308  6F 일반배기덕트설치공사</t>
  </si>
  <si>
    <t>010105020309  7F 일반배기덕트설치공사</t>
  </si>
  <si>
    <t>010105020310  ROOF 일반배기덕트설치공사</t>
  </si>
  <si>
    <t>010105020401  2F HEAT/GEN배기덕트설치공사</t>
  </si>
  <si>
    <t>010105020402  3F HEAT/GEN배기덕트설치공사</t>
  </si>
  <si>
    <t>010105020403  4F HEAT/GEN배기덕트설치공사</t>
  </si>
  <si>
    <t>010105020404  4MF HEAT/GEN배기덕트설치공사</t>
  </si>
  <si>
    <t>010105020405  5F HEAT/GEN배기덕트설치공사</t>
  </si>
  <si>
    <t>010105020406  6F HEAT/GEN배기덕트설치공사</t>
  </si>
  <si>
    <t>010105020407  7F HEAT/GEN배기덕트설치공사</t>
  </si>
  <si>
    <t>010105020408  ROOF HEAT/GEN배기덕트설치공사</t>
  </si>
  <si>
    <t>010105020501  2F ORGANIC배기덕트설치공사</t>
  </si>
  <si>
    <t>010105020502  3F ORGANIC배기덕트설치공사</t>
  </si>
  <si>
    <t>010105020503  4F ORGANIC배기덕트설치공사</t>
  </si>
  <si>
    <t>010105020504  4MF ORGANIC배기덕트설치공사</t>
  </si>
  <si>
    <t>010105020505  5F ORGANIC배기덕트설치공사</t>
  </si>
  <si>
    <t>010105020506  6F ORGANIC배기덕트설치공사</t>
  </si>
  <si>
    <t>010105020507  7F ORGANIC배기덕트설치공사</t>
  </si>
  <si>
    <t>010105020508  ROOF ORGANIC배기덕트설치공사</t>
  </si>
  <si>
    <t>010105020601  B1F CABINET덕트설치공사</t>
  </si>
  <si>
    <t>010105020602  1F CABINET덕트설치공사</t>
  </si>
  <si>
    <t>010105020603  2F CABINET덕트설치공사</t>
  </si>
  <si>
    <t>010105020604  3F CABINET덕트설치공사</t>
  </si>
  <si>
    <t>010105020605  4F CABINET덕트설치공사</t>
  </si>
  <si>
    <t>010105020606  4MF CABINET덕트설치공사</t>
  </si>
  <si>
    <t>010105020607  5F CABINET덕트설치공사</t>
  </si>
  <si>
    <t>010105020608  6F CABINET덕트설치공사</t>
  </si>
  <si>
    <t>010105020609  7F CABINET덕트설치공사</t>
  </si>
  <si>
    <t>010105020610  ROOF CABINET덕트설치공사</t>
  </si>
  <si>
    <t>010105020701  B1F EMERGENCY덕트설치공사</t>
  </si>
  <si>
    <t>010105020702  1F EMERGENCY덕트설치공사</t>
  </si>
  <si>
    <t>010105020703  2F EMERGENCY덕트설치공사</t>
  </si>
  <si>
    <t>010105020704  3F EMERGENCY덕트설치공사</t>
  </si>
  <si>
    <t>010105020705  4F EMERGENCY덕트설치공사</t>
  </si>
  <si>
    <t>010105020706  4MF EMERGENCY덕트설치공사</t>
  </si>
  <si>
    <t>010105020707  5F EMERGENCY덕트설치공사</t>
  </si>
  <si>
    <t>010105020708  6F EMERGENCY덕트설치공사</t>
  </si>
  <si>
    <t>010105020709  7F EMERGENCY덕트설치공사</t>
  </si>
  <si>
    <t>010105020710  ROOF EMERGENCY덕트설치공사</t>
  </si>
  <si>
    <t>010105020801  1F ACID STS배기덕트설치공사</t>
  </si>
  <si>
    <t>010105020802  2F ACID STS배기덕트설치공사</t>
  </si>
  <si>
    <t>010105020803  3F ACID STS배기덕트설치공사</t>
  </si>
  <si>
    <t>010105020804  4F ACID STS배기덕트설치공사</t>
  </si>
  <si>
    <t>010105020805  4MF ACID STS배기덕트설치공사</t>
  </si>
  <si>
    <t>010105020806  5F ACID STS배기덕트설치공사</t>
  </si>
  <si>
    <t>010105020807  6F ACID STS배기덕트설치공사</t>
  </si>
  <si>
    <t>010105020808  7F ACID STS배기덕트설치공사</t>
  </si>
  <si>
    <t>010105020809  ROOF ACID STS배기덕트설치공사</t>
  </si>
  <si>
    <t>010105020901  1F ALKALI STS배기덕트설치공사</t>
  </si>
  <si>
    <t>010105020902  2F ALKALI STS배기덕트설치공사</t>
  </si>
  <si>
    <t>010105020903  3F ALKALI STS배기덕트설치공사</t>
  </si>
  <si>
    <t>010105020904  4F ALKALI STS배기덕트설치공사</t>
  </si>
  <si>
    <t>010105020905  4MF ALKALI STS배기덕트설치공사</t>
  </si>
  <si>
    <t>010105020906  5F ALKALI STS배기덕트설치공사</t>
  </si>
  <si>
    <t>010105020907  6F ALKALI STS배기덕트설치공사</t>
  </si>
  <si>
    <t>010105020908  7F ALKALI STS배기덕트설치공사</t>
  </si>
  <si>
    <t>010105020909  RF ALKALI STS배기덕트설치공사</t>
  </si>
  <si>
    <t>010105030101  1F DUCT DRAIN HF배관공사</t>
  </si>
  <si>
    <t>010105030102  2F DUCT DRAIN HF배관공사</t>
  </si>
  <si>
    <t>010105030103  3F DUCT DRAIN HF배관공사</t>
  </si>
  <si>
    <t>010105030104  4F DUCT DRAIN HF배관공사</t>
  </si>
  <si>
    <t>010105030105  4MF DUCT DRAIN HF배관공사</t>
  </si>
  <si>
    <t>010105030106  7F DUCT DRAIN HF배관공사</t>
  </si>
  <si>
    <t>010105030107  ROOF DUCT DRAIN HF배관공사</t>
  </si>
  <si>
    <t>010105030201  2F DUCT DRAIN SOLVENT배관공사</t>
  </si>
  <si>
    <t>010105030202  3F DUCT DRAIN SOLVENT배관공사</t>
  </si>
  <si>
    <t>010105030203  4MF DUCT DRAIN SOLVENT배관공사</t>
  </si>
  <si>
    <t>010105030204  7F DUCT DRAIN SOLVENT배관공사</t>
  </si>
  <si>
    <t>010105030205  RF DUCT DRAIN SOLVENT배관공사</t>
  </si>
  <si>
    <t>010105040101  3층 위생기구설치공사</t>
  </si>
  <si>
    <t>010105040201  B1F 급수급탕배관공사</t>
  </si>
  <si>
    <t>010105040202  1F 급수급탕배관공사</t>
  </si>
  <si>
    <t>010105040203  2F 급수급탕배관공사</t>
  </si>
  <si>
    <t>010105040204  3F 급수급탕배관공사</t>
  </si>
  <si>
    <t>010105040205  4F 급수급탕배관공사</t>
  </si>
  <si>
    <t>010105040206  4MF 급수급탕배관공사</t>
  </si>
  <si>
    <t>010105040207  5F 급수급탕배관공사</t>
  </si>
  <si>
    <t>010105040208  6F 급수급탕배관공사</t>
  </si>
  <si>
    <t>010105040209  7F 급수급탕배관공사</t>
  </si>
  <si>
    <t>010105040301  B1F NPW배관공사</t>
  </si>
  <si>
    <t>010105040302  1F NPW배관공사</t>
  </si>
  <si>
    <t>010105040303  2F NPW배관공사</t>
  </si>
  <si>
    <t>010105040304  3F NPW배관공사</t>
  </si>
  <si>
    <t>010105040305  4F NPW배관공사</t>
  </si>
  <si>
    <t>010105040306  4MF NPW배관공사</t>
  </si>
  <si>
    <t>010105040307  5F NPW배관공사</t>
  </si>
  <si>
    <t>010105040308  6F NPW배관공사</t>
  </si>
  <si>
    <t>010105040309  7F NPW배관공사</t>
  </si>
  <si>
    <t>010105040310  ROOF NPW배관공사</t>
  </si>
  <si>
    <t>010105040311  ROOFTOP-1 NPW배관공사</t>
  </si>
  <si>
    <t>010105040401  B1F 오배수배관공사</t>
  </si>
  <si>
    <t>010105040402  1F 오배수배관공사</t>
  </si>
  <si>
    <t>010105040403  2F 오배수배관공사</t>
  </si>
  <si>
    <t>010105040404  3F 오배수배관공사</t>
  </si>
  <si>
    <t>010105040405  4F 오배수배관공사</t>
  </si>
  <si>
    <t>010105040406  4MF 오배수배관공사</t>
  </si>
  <si>
    <t>010105040407  5F 오배수배관공사</t>
  </si>
  <si>
    <t>010105040408  6F 오배수배관공사</t>
  </si>
  <si>
    <t>010105040409  7F 오배수배관공사</t>
  </si>
  <si>
    <t>010105040410  ROOF층 오배수배관공사</t>
  </si>
  <si>
    <t>0101050501  1F WALK WAY</t>
  </si>
  <si>
    <t>0101050502  2F WALK WAY</t>
  </si>
  <si>
    <t>0101050601  ROOF F04 동파방지열선(CTW,NPW,CD)</t>
  </si>
  <si>
    <t>0101050602  ROOF F05 동파방지열선(CTW,NPW,CD)</t>
  </si>
  <si>
    <t>0101050603  ROOF F04 동파방지열선(DUCT DRAIN)</t>
  </si>
  <si>
    <t>0101050604  ROOF F05 동파방지열선(DUCT DRAIN)</t>
  </si>
  <si>
    <t>01010507  사이포닉 우배수 배관공사</t>
  </si>
  <si>
    <t>0101050801  HVAC PIPING VIBRATION</t>
  </si>
  <si>
    <t>0101050802  HVAC- DUCT VIBRATION</t>
  </si>
  <si>
    <t>0101050803  EXHAUST- DUCT VIBRATION</t>
  </si>
  <si>
    <t>01010509  LNG 배관공사</t>
  </si>
  <si>
    <t>0101051001  RF (F04) ACID FRP</t>
  </si>
  <si>
    <t>0101051002  RF (F04) ALKALI FRP</t>
  </si>
  <si>
    <t>010105110101  1F DS구간~ROOF (남측 )</t>
  </si>
  <si>
    <t>010105120101  RF (F04) ACID FRP</t>
  </si>
  <si>
    <t>010105120201  RF (F04) ALKALI FRP</t>
  </si>
  <si>
    <t>010105120301  RF (F04) CABINET FRP</t>
  </si>
  <si>
    <t>010105120401  RF (F04) HCL FRP</t>
  </si>
  <si>
    <t>010105120501  RF (F04) EMERGENCY FRP</t>
  </si>
  <si>
    <t>010106010101  B1F 증기배관공사</t>
  </si>
  <si>
    <t>010106010102  1F 증기배관공사</t>
  </si>
  <si>
    <t>010106010103  2F 증기배관공사</t>
  </si>
  <si>
    <t>010106010104  3F 증기배관공사</t>
  </si>
  <si>
    <t>010106010105  4F 증기배관공사</t>
  </si>
  <si>
    <t>010106010106  4MF 증기배관공사</t>
  </si>
  <si>
    <t>010106010107  5F 증기배관공사</t>
  </si>
  <si>
    <t>010106010108  6F 증기배관공사</t>
  </si>
  <si>
    <t>010106010109  7F 증기배관공사</t>
  </si>
  <si>
    <t>010106010201  B1F 냉수배관공사</t>
  </si>
  <si>
    <t>010106010202  1F 냉수배관공사</t>
  </si>
  <si>
    <t>010106010203  2F 냉수배관공사</t>
  </si>
  <si>
    <t>010106010204  3F 냉수배관공사</t>
  </si>
  <si>
    <t>010106010205  4F 냉수배관공사</t>
  </si>
  <si>
    <t>010106010206  4MF 냉수배관공사</t>
  </si>
  <si>
    <t>010106010301  1F 폐열회수배관공사</t>
  </si>
  <si>
    <t>010106010302  2F 폐열회수배관공사</t>
  </si>
  <si>
    <t>010106010303  3F 폐열회수배관공사</t>
  </si>
  <si>
    <t>010106010304  4F 폐열회수배관공사</t>
  </si>
  <si>
    <t>010106010305  4MF 폐열회수배관공사</t>
  </si>
  <si>
    <t>010106010401  B1F 드레인배관공사</t>
  </si>
  <si>
    <t>010106010402  1F 드레인배관공사</t>
  </si>
  <si>
    <t>010106010403  2F 드레인배관공사</t>
  </si>
  <si>
    <t>010106010404  3F 드레인배관공사</t>
  </si>
  <si>
    <t>010106010405  4F 드레인배관공사</t>
  </si>
  <si>
    <t>010106010406  4MF 드레인배관공사</t>
  </si>
  <si>
    <t>010106010501  B1F WSS 배관공사</t>
  </si>
  <si>
    <t>010106010502  1F WSS 배관공사</t>
  </si>
  <si>
    <t>010106010503  2F WSS 배관공사</t>
  </si>
  <si>
    <t>010106010601  1F CDA배관공사</t>
  </si>
  <si>
    <t>010106010602  2F CDA배관공사</t>
  </si>
  <si>
    <t>010106010603  3F CDA배관공사</t>
  </si>
  <si>
    <t>010106010604  4F CDA배관공사</t>
  </si>
  <si>
    <t>010106010701  2F 일반배기덕트설치공사</t>
  </si>
  <si>
    <t>010106020101  B1F 증기배관공사</t>
  </si>
  <si>
    <t>010106020102  1F 증기배관공사</t>
  </si>
  <si>
    <t>010106020103  2F 증기배관공사</t>
  </si>
  <si>
    <t>010106020104  3F 증기배관공사</t>
  </si>
  <si>
    <t>010106020105  5F 증기배관공사</t>
  </si>
  <si>
    <t>010106020106  6F 증기배관공사</t>
  </si>
  <si>
    <t>010106020107  7F 증기배관공사</t>
  </si>
  <si>
    <t>010106020201  1F 냉수배관공사</t>
  </si>
  <si>
    <t>010106020202  2F 냉수배관공사</t>
  </si>
  <si>
    <t>010106020203  3F 냉수배관공사</t>
  </si>
  <si>
    <t>010106020301  1F 폐열회수배관공사</t>
  </si>
  <si>
    <t>010106020302  2F 폐열회수배관공사</t>
  </si>
  <si>
    <t>010106020303  3F 폐열회수배관공사</t>
  </si>
  <si>
    <t>010106020401  B1F 드레인배관공사</t>
  </si>
  <si>
    <t>010106020402  1F 드레인배관공사</t>
  </si>
  <si>
    <t>010106020403  2F 드레인배관공사</t>
  </si>
  <si>
    <t>010106020404  3F 드레인배관공사</t>
  </si>
  <si>
    <t>010106020501  B1F WSS 배관공사</t>
  </si>
  <si>
    <t>010106020502  1F WSS 배관공사</t>
  </si>
  <si>
    <t>010106020503  3F WSS 배관공사</t>
  </si>
  <si>
    <t>010106020601  1F CDA배관공사</t>
  </si>
  <si>
    <t>010106020602  2F CDA배관공사</t>
  </si>
  <si>
    <t>010106020603  3F CDA배관공사</t>
  </si>
  <si>
    <t>010106020701  B1F ROW 배관공사</t>
  </si>
  <si>
    <t>010106020801  1F 일반배기덕트설치공사</t>
  </si>
  <si>
    <t>010106020802  2F 일반배기덕트설치공사</t>
  </si>
  <si>
    <t>010107010101  1F 증기배관공사</t>
  </si>
  <si>
    <t>010107010102  2F 증기배관공사</t>
  </si>
  <si>
    <t>010107010103  3F 증기배관공사</t>
  </si>
  <si>
    <t>010107010104  4F 증기배관공사</t>
  </si>
  <si>
    <t>010107010105  4MF 증기배관공사</t>
  </si>
  <si>
    <t>010107010201  1F 냉수배관공사</t>
  </si>
  <si>
    <t>010107010202  2F 냉수배관공사</t>
  </si>
  <si>
    <t>010107010203  3F 냉수배관공사</t>
  </si>
  <si>
    <t>010107010204  4F 냉수배관공사</t>
  </si>
  <si>
    <t>010107010205  4MF 냉수배관공사</t>
  </si>
  <si>
    <t>010107010301  1F 폐열회수배관공사</t>
  </si>
  <si>
    <t>010107010302  2F 폐열회수배관공사</t>
  </si>
  <si>
    <t>010107010303  3F 폐열회수배관공사</t>
  </si>
  <si>
    <t>010107010304  4F 폐열회수배관공사</t>
  </si>
  <si>
    <t>010107010305  4MF 폐열회수배관공사</t>
  </si>
  <si>
    <t>010107010401  1F 드레인배관공사</t>
  </si>
  <si>
    <t>010107010402  2F 드레인배관공사</t>
  </si>
  <si>
    <t>010107010403  3F 드레인배관공사</t>
  </si>
  <si>
    <t>010107010404  4F 드레인배관공사</t>
  </si>
  <si>
    <t>010107010405  4MF 드레인배관공사</t>
  </si>
  <si>
    <t>010107010501  1F WSS 배관공사</t>
  </si>
  <si>
    <t>010107010502  2F WSS 배관공사</t>
  </si>
  <si>
    <t>010107010503  3F WSS 배관공사</t>
  </si>
  <si>
    <t>010107010504  4F WSS배관공사</t>
  </si>
  <si>
    <t>010107010505  4MF WSS배관공사</t>
  </si>
  <si>
    <t>010107010601  1F 공조덕트설치공사</t>
  </si>
  <si>
    <t>010107010602  2F 공조덕트설치공사</t>
  </si>
  <si>
    <t>010107010603  3F 공조덕트설치공사</t>
  </si>
  <si>
    <t>010107010604  4F 공조덕트설치공사</t>
  </si>
  <si>
    <t>010107010701  1F 일반배기덕트설치공사</t>
  </si>
  <si>
    <t>010107010702  3F 일반배기덕트설치공사</t>
  </si>
  <si>
    <t>010107010703  4F 일반배기덕트설치공사</t>
  </si>
  <si>
    <t>010107020101  3F 증기배관공사</t>
  </si>
  <si>
    <t>010107020102  4F 증기배관공사</t>
  </si>
  <si>
    <t>010107020103  4MF 증기배관공사</t>
  </si>
  <si>
    <t>010107020104  6F 증기배관공사</t>
  </si>
  <si>
    <t>010107020201  3F 냉수배관공사</t>
  </si>
  <si>
    <t>010107020202  4F 냉수배관공사</t>
  </si>
  <si>
    <t>010107020203  4MF 냉수배관공사</t>
  </si>
  <si>
    <t>010107020204  6F 냉수배관공사</t>
  </si>
  <si>
    <t>010107020301  3F 폐열회수배관공사</t>
  </si>
  <si>
    <t>010107020302  4F 폐열회수배관공사</t>
  </si>
  <si>
    <t>010107020303  4MF 폐열회수배관공사</t>
  </si>
  <si>
    <t>010107020304  6F 폐열회수배관공사</t>
  </si>
  <si>
    <t>010107020401  3F 드레인배관공사</t>
  </si>
  <si>
    <t>010107020402  4F 드레인배관공사</t>
  </si>
  <si>
    <t>010107020403  4MF 드레인배관공사</t>
  </si>
  <si>
    <t>010107020404  6F 드레인배관공사</t>
  </si>
  <si>
    <t>010107020501  3F WSS 배관공사</t>
  </si>
  <si>
    <t>010107020502  4F WSS배관공사</t>
  </si>
  <si>
    <t>010107020503  4MF WSS배관공사</t>
  </si>
  <si>
    <t>010107020601  3F 공조덕트설치공사</t>
  </si>
  <si>
    <t>010107020602  4F 공조덕트설치공사</t>
  </si>
  <si>
    <t>010107020603  6F 공조덕트설치공사</t>
  </si>
  <si>
    <t>010107020701  3F 일반배기덕트설치공사</t>
  </si>
  <si>
    <t>010108010101  4F 냉수배관공사</t>
  </si>
  <si>
    <t>010108010201  4F 드레인배관공사</t>
  </si>
  <si>
    <t>010108010301  4F 공조덕트설치공사</t>
  </si>
  <si>
    <t>010108020101  4F 냉수배관공사</t>
  </si>
  <si>
    <t>010108020201  4F 드레인배관공사</t>
  </si>
  <si>
    <t>010108020301  4F 공조덕트설치공사</t>
  </si>
  <si>
    <t>010109010101  3F DCC배관공사</t>
  </si>
  <si>
    <t>010109010201  2F 드레인배관공사</t>
  </si>
  <si>
    <t>010109010202  3F 드레인배관공사</t>
  </si>
  <si>
    <t>010109020101  3F DCC배관공사</t>
  </si>
  <si>
    <t>010109020201  2F 드레인배관공사</t>
  </si>
  <si>
    <t>010109020202  3F 드레인배관공사</t>
  </si>
  <si>
    <t>010109030101  3F DCC배관공사</t>
  </si>
  <si>
    <t>010109030201  2F 드레인배관공사</t>
  </si>
  <si>
    <t>010109030202  3F 드레인배관공사</t>
  </si>
  <si>
    <t>010109040101  3F DCC배관공사</t>
  </si>
  <si>
    <t>010109040201  2F 드레인배관공사</t>
  </si>
  <si>
    <t>010109040202  3F 드레인배관공사</t>
  </si>
  <si>
    <t>0101100101  2F H-VAC배관공사</t>
  </si>
  <si>
    <t>0101100102  3F H-VAC배관공사</t>
  </si>
  <si>
    <t>0101100201  1F H-VAC배관공사</t>
  </si>
  <si>
    <t>0101100202  2F H-VAC배관공사</t>
  </si>
  <si>
    <t>0101100203  3F H-VAC배관공사</t>
  </si>
  <si>
    <t>0101100301  1F H-VAC배관공사</t>
  </si>
  <si>
    <t>0101100302  2F H-VAC배관공사</t>
  </si>
  <si>
    <t>0101100303  3F H-VAC배관공사</t>
  </si>
  <si>
    <t>0101100401  B1F H-VAC배관공사</t>
  </si>
  <si>
    <t>0101100402  1F H-VAC배관공사</t>
  </si>
  <si>
    <t>0101100403  2F H-VAC배관공사</t>
  </si>
  <si>
    <t>0101100404  3F H-VAC배관공사</t>
  </si>
  <si>
    <t>0101100405  4F H-VAC배관공사</t>
  </si>
  <si>
    <t>0101100406  4MF H-VAC배관공사</t>
  </si>
  <si>
    <t>010201  장비설치공사</t>
  </si>
  <si>
    <t>01020201  2F 냉수배관공사</t>
  </si>
  <si>
    <t>01020301  2F PCW배관공사</t>
  </si>
  <si>
    <t>01020401  2층 급수급탕배관공사</t>
  </si>
  <si>
    <t>01020501  2F 드레인배관공사</t>
  </si>
  <si>
    <t>01020601  2F WALK WAY</t>
  </si>
  <si>
    <t>0104  PIPE EXPANSION JOINT 공사</t>
  </si>
  <si>
    <t>010501  HVAC (F04)</t>
  </si>
  <si>
    <t>010502  HVAC (F03)</t>
  </si>
  <si>
    <t>0106  T.A.B</t>
  </si>
  <si>
    <t>010102010101  1F 증기배관공사</t>
  </si>
  <si>
    <t>010102010102  2F 증기배관공사</t>
  </si>
  <si>
    <t>010102010103  3F 증기배관공사</t>
  </si>
  <si>
    <t>010102010201  1F 냉각수배관공사</t>
  </si>
  <si>
    <t>010102010202  2F 냉각수배관공사</t>
  </si>
  <si>
    <t>010102010203  3F 냉각수배관공사</t>
  </si>
  <si>
    <t>010102010301  1F 냉수배관공사</t>
  </si>
  <si>
    <t>010102010302  2F 냉수배관공사</t>
  </si>
  <si>
    <t>010102010303  3F 냉수배관공사</t>
  </si>
  <si>
    <t>010102010401  1F 폐열회수배관공사</t>
  </si>
  <si>
    <t>010102010402  2F 폐열회수배관공사</t>
  </si>
  <si>
    <t>010102010403  3F 폐열회수배관공사</t>
  </si>
  <si>
    <t>010102010501  1F 드레인배관공사</t>
  </si>
  <si>
    <t>010102010502  2F 드레인배관공사</t>
  </si>
  <si>
    <t>010102010503  3F 드레인배관공사</t>
  </si>
  <si>
    <t>010102010601  1F WSS배관공사</t>
  </si>
  <si>
    <t>010102010602  2F WSS배관공사</t>
  </si>
  <si>
    <t>010102010603  3F WSS배관공사</t>
  </si>
  <si>
    <t>010102010701  1F EHP드레인배관공사</t>
  </si>
  <si>
    <t>010102010702  2F EHP드레인배관공사</t>
  </si>
  <si>
    <t>010102010703  3F EHP드레인배관공사</t>
  </si>
  <si>
    <t>010102020101  2F 공조덕트설치공사</t>
  </si>
  <si>
    <t>010102020102  3F 공조덕트설치공사</t>
  </si>
  <si>
    <t>010102020201  1F 일반배기덕트설치공사</t>
  </si>
  <si>
    <t>010102020202  2F 일반배기덕트설치공사</t>
  </si>
  <si>
    <t>010102020203  3F 일반배기덕트설치공사</t>
  </si>
  <si>
    <t>010102020301  2F CABINET덕트설치공사</t>
  </si>
  <si>
    <t>010102020302  3F CABINET덕트설치공사</t>
  </si>
  <si>
    <t>010102020401  2F EMERGENCY덕트설치공사</t>
  </si>
  <si>
    <t>010102020402  3F EMERGENCY덕트설치공사</t>
  </si>
  <si>
    <t>010102040101  1F 급수급탕배관공사</t>
  </si>
  <si>
    <t>010102040102  2F 급수급탕배관공사</t>
  </si>
  <si>
    <t>010102040103  3F 급수급탕배관공사</t>
  </si>
  <si>
    <t>010102040201  1F IW배관공사</t>
  </si>
  <si>
    <t>010102040202  2F IW배관공사</t>
  </si>
  <si>
    <t>010102040203  3F IW배관공사</t>
  </si>
  <si>
    <t>010102040301  1F UPW배관공사</t>
  </si>
  <si>
    <t>010102040302  2F UPW배관공사</t>
  </si>
  <si>
    <t>010102040303  3F UPW배관공사</t>
  </si>
  <si>
    <t>010102040401  1F NPW배관공사</t>
  </si>
  <si>
    <t>010102040402  2F NPW배관공사</t>
  </si>
  <si>
    <t>010102040403  3F NPW배관공사</t>
  </si>
  <si>
    <t>010102040501  1F ROW배관공사</t>
  </si>
  <si>
    <t>010102040601  1F 오배수배관공사</t>
  </si>
  <si>
    <t>010102040602  2F 오배수배관공사</t>
  </si>
  <si>
    <t>010102040603  3층 오배수배관공사</t>
  </si>
  <si>
    <t>010102040701  1F WW배관공사</t>
  </si>
  <si>
    <t>010102040702  2F WW배관공사</t>
  </si>
  <si>
    <t>010102040703  3F WW배관공사</t>
  </si>
  <si>
    <t>010102040801  1F REW배관공사</t>
  </si>
  <si>
    <t>010102040802  2F REW배관공사</t>
  </si>
  <si>
    <t>010102040803  3F REW배관공사</t>
  </si>
  <si>
    <t>0101020501  1F WALK WAY 설치공사</t>
  </si>
  <si>
    <t>0101020502  3F WALK WAY 설치공사</t>
  </si>
  <si>
    <t>010103010101  4F 증기배관공사</t>
  </si>
  <si>
    <t>010103010102  5F 증기배관공사</t>
  </si>
  <si>
    <t>010103010103  7F 증기배관공사</t>
  </si>
  <si>
    <t>010103010104  8F 증기배관공사</t>
  </si>
  <si>
    <t>010103010105  9F 증기배관공사</t>
  </si>
  <si>
    <t>010103010201  4F 냉각수배관공사</t>
  </si>
  <si>
    <t>010103010202  5F 냉각수배관공사</t>
  </si>
  <si>
    <t>010103010203  7F 냉각수배관공사</t>
  </si>
  <si>
    <t>010103010204  8F 냉각수배관공사</t>
  </si>
  <si>
    <t>010103010205  9F 냉각수배관공사</t>
  </si>
  <si>
    <t>010103010301  4F 냉수배관공사</t>
  </si>
  <si>
    <t>010103010302  5F 냉수배관공사</t>
  </si>
  <si>
    <t>010103010303  7F 냉수배관공사</t>
  </si>
  <si>
    <t>010103010304  8F 냉수배관공사</t>
  </si>
  <si>
    <t>010103010305  9F 냉수배관공사</t>
  </si>
  <si>
    <t>010103010401  4F 폐열회수배관공사</t>
  </si>
  <si>
    <t>010103010402  5F 폐열회수배관공사</t>
  </si>
  <si>
    <t>010103010501  4F 드레인배관공사</t>
  </si>
  <si>
    <t>010103010502  5F 드레인배관공사</t>
  </si>
  <si>
    <t>010103010503  7F 드레인배관공사</t>
  </si>
  <si>
    <t>010103010504  8F 드레인배관공사</t>
  </si>
  <si>
    <t>010103010505  9F 드레인배관공사</t>
  </si>
  <si>
    <t>010103010601  4F WSS배관공사</t>
  </si>
  <si>
    <t>010103010602  5F WSS배관공사</t>
  </si>
  <si>
    <t>010103010701  4F EHP드레인배관공사</t>
  </si>
  <si>
    <t>010103010702  5F EHP드레인배관공사</t>
  </si>
  <si>
    <t>010103010703  7F EHP드레인배관공사</t>
  </si>
  <si>
    <t>010103010704  8F EHP드레인배관공사</t>
  </si>
  <si>
    <t>010103010705  9F EHP드레인배관공사</t>
  </si>
  <si>
    <t>010103020101  4F 공조덕트설치공사</t>
  </si>
  <si>
    <t>010103020102  5F 공조덕트설치공사</t>
  </si>
  <si>
    <t>010103020201  4F 일반배기덕트설치공사</t>
  </si>
  <si>
    <t>010103020202  5F 일반배기덕트설치공사</t>
  </si>
  <si>
    <t>010103020203  6F 일반배기덕트설치공사</t>
  </si>
  <si>
    <t>010103020204  7F 일반배기덕트설치공사</t>
  </si>
  <si>
    <t>010103020205  8F 일반배기덕트설치공사</t>
  </si>
  <si>
    <t>010103020206  9F 일반배기덕트설치공사</t>
  </si>
  <si>
    <t>010103020301  4F CABINET덕트설치공사</t>
  </si>
  <si>
    <t>010103020302  5F CABINET덕트설치공사</t>
  </si>
  <si>
    <t>010103020303  7F CABINET덕트설치공사</t>
  </si>
  <si>
    <t>010103020304  8F CABINET덕트설치공사</t>
  </si>
  <si>
    <t>010103020401  4F EMERGENCY덕트설치공사</t>
  </si>
  <si>
    <t>010103020402  5F EMERGENCY덕트설치공사</t>
  </si>
  <si>
    <t>010103020403  7F EMERGENCY덕트설치공사</t>
  </si>
  <si>
    <t>010103020404  8F EMERGENCY덕트설치공사</t>
  </si>
  <si>
    <t>010103030101  4F DUCT DRAIN HF배관공사</t>
  </si>
  <si>
    <t>010103030102  5F DUCT DRAIN HF배관공사</t>
  </si>
  <si>
    <t>010103030103  7F DUCT DRAIN HF배관공사</t>
  </si>
  <si>
    <t>010103030104  8F DUCT DRAIN HF배관공사</t>
  </si>
  <si>
    <t>010103040101  4F 급수급탕배관공사</t>
  </si>
  <si>
    <t>010103040102  5F 급수급탕배관공사</t>
  </si>
  <si>
    <t>010103040103  7F 급수급탕배관공사</t>
  </si>
  <si>
    <t>010103040104  8F 급수급탕배관공사</t>
  </si>
  <si>
    <t>010103040105  9F 급수급탕배관공사</t>
  </si>
  <si>
    <t>010103040201  4F IW배관공사</t>
  </si>
  <si>
    <t>010103040202  5F IW배관공사</t>
  </si>
  <si>
    <t>010103040203  7F IW배관공사</t>
  </si>
  <si>
    <t>010103040204  8F IW배관공사</t>
  </si>
  <si>
    <t>010103040205  9F IW배관공사</t>
  </si>
  <si>
    <t>010103040301  4F NPW배관공사</t>
  </si>
  <si>
    <t>010103040302  5F NPW배관공사</t>
  </si>
  <si>
    <t>010103040401  4층 오배수배관공사</t>
  </si>
  <si>
    <t>010103040402  5층 오배수배관공사</t>
  </si>
  <si>
    <t>010103040403  7층 오배수배관공사</t>
  </si>
  <si>
    <t>010103040404  8층 오배수배관공사</t>
  </si>
  <si>
    <t>010103040405  9층 오배수배관공사</t>
  </si>
  <si>
    <t>010103040501  4F REW배관공사</t>
  </si>
  <si>
    <t>010103040502  5F REW배관공사</t>
  </si>
  <si>
    <t>0101030501  4F WALK WAY 설치공사</t>
  </si>
  <si>
    <t>0101030502  5F WALK WAY 설치공사</t>
  </si>
  <si>
    <t>0101030503  8F WALK WAY 설치공사</t>
  </si>
  <si>
    <t>010104010101  4층 SS/R배관공사</t>
  </si>
  <si>
    <t>010104020101  1층 CW배관공사</t>
  </si>
  <si>
    <t>010104020102  2층 CW배관공사</t>
  </si>
  <si>
    <t>010104020103  3층 CW배관공사</t>
  </si>
  <si>
    <t>010104020104  4층 CW배관공사</t>
  </si>
  <si>
    <t>010104020201  1층 NPW배관공사</t>
  </si>
  <si>
    <t>010104020202  2층 NPW배관공사</t>
  </si>
  <si>
    <t>010104020203  3층 NPW배관공사</t>
  </si>
  <si>
    <t>010104020204  4층 NPW배관공사</t>
  </si>
  <si>
    <t>010104020301  1층 REW배관공사</t>
  </si>
  <si>
    <t>010104020302  2층 REW배관공사</t>
  </si>
  <si>
    <t>010104020303  3층 REW배관공사</t>
  </si>
  <si>
    <t>010104020304  4층 REW배관공사</t>
  </si>
  <si>
    <t>010104020401  1층 IW배관공사</t>
  </si>
  <si>
    <t>010104020402  2층 IW배관공사</t>
  </si>
  <si>
    <t>010104020403  3층 IW배관공사</t>
  </si>
  <si>
    <t>010104020404  4층 IW배관공사</t>
  </si>
  <si>
    <t>010104020501  1층 UPW배관공사</t>
  </si>
  <si>
    <t>010104020502  2층 UPW배관공사</t>
  </si>
  <si>
    <t>010105010101  B1F PD배관공사</t>
  </si>
  <si>
    <t>010105020101  B1F 일반배기덕트철거공사</t>
  </si>
  <si>
    <t>010105020201  B1F PD배관철거공사</t>
  </si>
  <si>
    <t>0102020101  3F 냉수배관공사</t>
  </si>
  <si>
    <t>0102020201  3F PCW배관공사</t>
  </si>
  <si>
    <t>0102020301  3F 드레인배관공사</t>
  </si>
  <si>
    <t>0102020401  3F CTW배관공사</t>
  </si>
  <si>
    <t>0102020501  3F ROW배관공사</t>
  </si>
  <si>
    <t>0102020601  3F WALK WAY 설치공사</t>
  </si>
  <si>
    <t>0102030101  5F 냉수배관공사</t>
  </si>
  <si>
    <t>0102030201  5F PCW배관공사</t>
  </si>
  <si>
    <t>0102030301  5F 드레인배관공사</t>
  </si>
  <si>
    <t>0102030401  5F CTW배관공사</t>
  </si>
  <si>
    <t>0102030501  5F ROW배관공사</t>
  </si>
  <si>
    <t>0102030601  5F WALK WAY 설치공사</t>
  </si>
  <si>
    <t>010301  HVAC PIPING VIBRATION</t>
  </si>
  <si>
    <t>010302  HVAC DUCT VIBRATION</t>
  </si>
  <si>
    <t>010501  ROOF 동파방지열선</t>
  </si>
  <si>
    <t>010601  HVAC-3 EHP 설치 공사</t>
  </si>
  <si>
    <t>010602  HVAC-4 EHP 설치 공사</t>
  </si>
  <si>
    <t>010701  2F ACID+ALKALI</t>
  </si>
  <si>
    <t>010702  3F ACID+ALKALI</t>
  </si>
  <si>
    <t>010703  4F ACID+ALKALI</t>
  </si>
  <si>
    <t>0108  사이포닉 우배수 배관공사</t>
  </si>
  <si>
    <t>0109  PIPE EXPANSION JOINT 공사</t>
  </si>
  <si>
    <t>0107020101  B2F CW배관공사</t>
  </si>
  <si>
    <t>0107020102  B1F CW배관공사</t>
  </si>
  <si>
    <t>0107020201  B2F NPW배관공사</t>
  </si>
  <si>
    <t>0107020202  B1F NPW배관공사</t>
  </si>
  <si>
    <t>0107020301  B2F REW배관공사</t>
  </si>
  <si>
    <t>0107020302  B1F REW배관공사</t>
  </si>
  <si>
    <t>0107020303  1F REW배관공사</t>
  </si>
  <si>
    <t>0107020401  B2F IW배관공사</t>
  </si>
  <si>
    <t>0107020402  B1F IW배관공사</t>
  </si>
  <si>
    <t>0107020501  B2F UPW배관공사</t>
  </si>
  <si>
    <t>0107020502  B1F UPW배관공사</t>
  </si>
  <si>
    <t>0107020601  B2F 드레인배관공사</t>
  </si>
  <si>
    <t>0108010101  PIT층 CW배관공사</t>
  </si>
  <si>
    <t>0108010201  PIT층 NPW배관공사</t>
  </si>
  <si>
    <t>0108010301  PIT층 REW배관공사</t>
  </si>
  <si>
    <t>0108010401  PIT층 IW배관공사</t>
  </si>
  <si>
    <t>0108010501  PIT층 UPW배관공사</t>
  </si>
  <si>
    <t>010101  소화장비설치공사</t>
  </si>
  <si>
    <t>01010201  옥외소화배관공사</t>
  </si>
  <si>
    <t>01010202 상수도소화배관공사</t>
  </si>
  <si>
    <t>01010203 FW 배관공사</t>
  </si>
  <si>
    <t>01010301  소화기구설치공사</t>
  </si>
  <si>
    <t>01010302  옥내소화배관공사</t>
  </si>
  <si>
    <t>01010303  스프링클러배관공사</t>
  </si>
  <si>
    <t>01010304  살수장애스프링클러배관공사</t>
  </si>
  <si>
    <t>01010305  드레인배관설치공사</t>
  </si>
  <si>
    <t>0101030105  제연덕트설치공사</t>
  </si>
  <si>
    <t>01010401  소화펌프실배관공사</t>
  </si>
  <si>
    <t>01010402  소화기구설치공사</t>
  </si>
  <si>
    <t>01010403  옥내소화배관공사</t>
  </si>
  <si>
    <t>01010404  스프링클러배관공사</t>
  </si>
  <si>
    <t>01010405  살수장애스프링클러배관공사</t>
  </si>
  <si>
    <t>01010406  드레인배관설치공사</t>
  </si>
  <si>
    <t>01010407  제연덕트설치공사</t>
  </si>
  <si>
    <t>01010408  MOV설치공사</t>
  </si>
  <si>
    <t>01010501  소화기구설치공사</t>
  </si>
  <si>
    <t>01010502  옥내소화배관공사</t>
  </si>
  <si>
    <t>01010503  스프링클러배관공사 **</t>
  </si>
  <si>
    <t>01010504  살수장애스프링클러배관공사</t>
  </si>
  <si>
    <t>01010505  드레인배관설치공사</t>
  </si>
  <si>
    <t>01010506  제연덕트설치공사</t>
  </si>
  <si>
    <t>01010507  MOV설치공사</t>
  </si>
  <si>
    <t>01010601  소화기구설치공사</t>
  </si>
  <si>
    <t>01010602  옥내소화배관공사</t>
  </si>
  <si>
    <t>01010603  스프링클러배관공사 **</t>
  </si>
  <si>
    <t>01010604  살수장애스프링클러배관공사</t>
  </si>
  <si>
    <t>01010605  드레인배관설치공사</t>
  </si>
  <si>
    <t>01010606  제연덕트설치공사</t>
  </si>
  <si>
    <t>01010607  MOV설치공사</t>
  </si>
  <si>
    <t>01010701  소화기구설치공사</t>
  </si>
  <si>
    <t>01010702  옥내소화배관공사</t>
  </si>
  <si>
    <t>01010703  스프링클러배관공사 **</t>
  </si>
  <si>
    <t>01010704  살수장애스프링클러배관공사</t>
  </si>
  <si>
    <t>01010705  드레인배관설치공사</t>
  </si>
  <si>
    <t>01010707  MOV설치공사</t>
  </si>
  <si>
    <t>01010801  소화기구설치공사</t>
  </si>
  <si>
    <t>01010802  옥내소화배관공사</t>
  </si>
  <si>
    <t>01010803  스프링클러배관공사</t>
  </si>
  <si>
    <t>01010804  살수장애스프링클러배관공사</t>
  </si>
  <si>
    <t>01010805  드레인배관설치공사</t>
  </si>
  <si>
    <t>01010806  제연덕트설치공사</t>
  </si>
  <si>
    <t>01010901  소화기구설치공사</t>
  </si>
  <si>
    <t>01010902  옥내소화배관공사</t>
  </si>
  <si>
    <t>01010903  스프링클러배관공사</t>
  </si>
  <si>
    <t>01010904  살수장애스프링클러배관공사</t>
  </si>
  <si>
    <t>01010905  드레인배관설치공사</t>
  </si>
  <si>
    <t>01010906  제연덕트설치공사</t>
  </si>
  <si>
    <t>01011001  소화기구설치공사</t>
  </si>
  <si>
    <t>01011002  옥내소화배관공사</t>
  </si>
  <si>
    <t>01011003  스프링클러배관공사</t>
  </si>
  <si>
    <t>01011004  살수장애스프링클러배관공사</t>
  </si>
  <si>
    <t>01011005  드레인배관설치공사</t>
  </si>
  <si>
    <t>01011006  제연덕트설치공사</t>
  </si>
  <si>
    <t>01011101  소화기구설치공사</t>
  </si>
  <si>
    <t>01011102  옥내소화배관공사</t>
  </si>
  <si>
    <t>01011103  스프링클러배관공사</t>
  </si>
  <si>
    <t>01011104  살수장애스프링클러배관공사</t>
  </si>
  <si>
    <t>01011105  드레인배관설치공사</t>
  </si>
  <si>
    <t>01011106  제연덕트설치공사</t>
  </si>
  <si>
    <t>01011201  소화기구설치공사</t>
  </si>
  <si>
    <t>01011202  옥내소화배관공사</t>
  </si>
  <si>
    <t>01011203  스프링클러배관공사</t>
  </si>
  <si>
    <t>01011204  살수장애스프링클러배관공사</t>
  </si>
  <si>
    <t>01011205  물분무배관공사</t>
  </si>
  <si>
    <t>01011206  드레인배관설치공사</t>
  </si>
  <si>
    <t>01011207  IN DUCT</t>
  </si>
  <si>
    <t>01011208  제연덕트설치공사</t>
  </si>
  <si>
    <t>01011209  MOV설치공사</t>
  </si>
  <si>
    <t>01011301  소화기구설치공사</t>
  </si>
  <si>
    <t>01011302  옥내소화배관공사</t>
  </si>
  <si>
    <t>01011303  스프링클러배관공사</t>
  </si>
  <si>
    <t>01011304  살수장애스프링클러배관공사</t>
  </si>
  <si>
    <t>01011305  드레인배관설치공사</t>
  </si>
  <si>
    <t>01011306  제연덕트설치공사</t>
  </si>
  <si>
    <t>01011401  소화기구설치공사</t>
  </si>
  <si>
    <t>01011402  옥내소화배관공사</t>
  </si>
  <si>
    <t>01011404  제연덕트설치공사</t>
  </si>
  <si>
    <t>01011501  소화가스공사 (모듈러)</t>
  </si>
  <si>
    <t>01011502  소화가스공사 (집합관A,B)</t>
  </si>
  <si>
    <t>01011503  소화가스공사 (집합관L)</t>
  </si>
  <si>
    <t>01011504  소화가스공사 (집합관R)</t>
  </si>
  <si>
    <t>01011601  소화열선공사 (1F F03)</t>
  </si>
  <si>
    <t>01011602  소화열선공사 (1F F04)</t>
  </si>
  <si>
    <t>01011603  소화열선공사 (3F F04)</t>
  </si>
  <si>
    <t>01011604  소화열선공사 (ROOF F03)</t>
  </si>
  <si>
    <t>01011605  소화열선공사 (ROOF F04)</t>
  </si>
  <si>
    <t>01011606  소화열선공사 (ROOF F05)</t>
  </si>
  <si>
    <t>01011607  소화열선공사 (ROOFTOP F03)</t>
  </si>
  <si>
    <t>01011608  소화열선공사 (ROOFTOP F04)</t>
  </si>
  <si>
    <t>010117  소화내진공사</t>
  </si>
  <si>
    <t>010118  가변풍량제어시스템(부속실용)</t>
  </si>
  <si>
    <t>010201  제연 T.A.B</t>
  </si>
  <si>
    <t>010202  도어팬테스트</t>
  </si>
  <si>
    <t>010203  성능위주설계 심의보고서</t>
  </si>
  <si>
    <t>01010301 소화펌프실배관공사</t>
  </si>
  <si>
    <t>01010302  소화기구설치공사</t>
  </si>
  <si>
    <t>01010303  옥내소화배관공사</t>
  </si>
  <si>
    <t>01010304  스프링클러배관공사</t>
  </si>
  <si>
    <t>01010305  살수장애스프링클러배관공사</t>
  </si>
  <si>
    <t>01010306  드레인배관설치공사</t>
  </si>
  <si>
    <t>01010401  소화기구설치공사</t>
  </si>
  <si>
    <t>01010402  옥내소화배관공사</t>
  </si>
  <si>
    <t>'01010403  스프링클러배관공사</t>
  </si>
  <si>
    <t>01010404  살수장애스프링클러배관공사</t>
  </si>
  <si>
    <t>'01010502  옥내소화배관공사</t>
  </si>
  <si>
    <t>01010503  스프링클러배관공사</t>
  </si>
  <si>
    <t>01010505  물분무배관공사</t>
  </si>
  <si>
    <t>'01010506  드레인배관설치공사</t>
  </si>
  <si>
    <t>01010507  제연덕트설치공사</t>
  </si>
  <si>
    <t>'01010508  MOV설치공사</t>
  </si>
  <si>
    <t>'01010602  옥내소화배관공사</t>
  </si>
  <si>
    <t>01010603  스프링클러배관공사</t>
  </si>
  <si>
    <t>'01010703  스프링클러배관공사</t>
  </si>
  <si>
    <t>01010706  제연덕트설치공사</t>
  </si>
  <si>
    <t>'01011201  소화기구설치공사</t>
  </si>
  <si>
    <t>01011502  소화가스공사 (집합관)</t>
  </si>
  <si>
    <t>01011601  소화열선공사 (2F)</t>
  </si>
  <si>
    <t>01011602  소화열선공사 (3F)</t>
  </si>
  <si>
    <t>01011603  소화열선공사 (4F)</t>
  </si>
  <si>
    <t>01011604  소화열선공사 (5-6F)</t>
  </si>
  <si>
    <t>01011605  소화열선공사 (7F)</t>
  </si>
  <si>
    <t>01011606  소화열선공사 (8F)</t>
  </si>
  <si>
    <t>01011607  소화열선공사 (9F)</t>
  </si>
  <si>
    <t>A1-1. CDA STS 304 AP</t>
  </si>
  <si>
    <t>A1-2. GN2 STS 304 AP</t>
  </si>
  <si>
    <t>A1-3. GN2 STS 316L BA</t>
  </si>
  <si>
    <t>A1-4. PAr, PHe, PO2, PCO2, PH2, PN2 STS 316L EP</t>
  </si>
  <si>
    <t>A1-5. PVAC STS 304 5S</t>
  </si>
  <si>
    <t>A1-6. BULK GAS PURGE STS 304 5S</t>
  </si>
  <si>
    <t>A1-7. GN2(용접용) STS 304 AP</t>
  </si>
  <si>
    <t>A1-8-1. H2 VMB Hook- up</t>
  </si>
  <si>
    <t>A1-8-2. Mixer RM 공급 H2 Hook- up</t>
  </si>
  <si>
    <t>A1-9. 고압 CN2</t>
  </si>
  <si>
    <t>A1-10. 고압CO2 VENT</t>
  </si>
  <si>
    <t>A1-11-1. GO2, GCO2 STS 304 AP</t>
  </si>
  <si>
    <t>A7-1-1. Process Gas Line</t>
  </si>
  <si>
    <t>A7-1-2. Vent Line</t>
  </si>
  <si>
    <t>A7-1-3. PGS Hook up</t>
  </si>
  <si>
    <t>A8-1. SUS304 BA PIPING FOR ALMS LINE</t>
  </si>
  <si>
    <t>A8-2. ALMS System</t>
  </si>
  <si>
    <t>A9-1. CDA STS 304 AP</t>
  </si>
  <si>
    <t>A9-2. GN2 STS 304 AP</t>
  </si>
  <si>
    <t>A9-3. GN2 STS 316L BA</t>
  </si>
  <si>
    <t>A9-4. PAr, PHe, PO2, PCO2, PH2, PN2 STS 316L EP</t>
  </si>
  <si>
    <t>A9-5. PVAC STS 304 5S</t>
  </si>
  <si>
    <t>B1-1. Bulk Gas STS304 5S</t>
  </si>
  <si>
    <t>B1-2. Bulk Gas STS304 AP</t>
  </si>
  <si>
    <t>B1-3. Bulk Gas STS316L EP</t>
  </si>
  <si>
    <t>B1-4. Bulk Gas STS316L BA</t>
  </si>
  <si>
    <t>B1-5. PN2 PCV 차음재 설치 공사</t>
  </si>
  <si>
    <t>B1-6. HEADER 설치 공사</t>
  </si>
  <si>
    <t>A1-1. CDA STS 304 AP (기존건물)</t>
  </si>
  <si>
    <t>A1-2. GN2 STS 304 AP (기존건물)</t>
  </si>
  <si>
    <t>A1-3. GN2 STS 316L BA (기존건물)</t>
  </si>
  <si>
    <t>A1-4. PAr, PHe, PO2, PCO2, PH2, PN2 STS 316L EP (기존건물)</t>
  </si>
  <si>
    <t>A1-5. PVAC STS 304 5S (기존건물)</t>
  </si>
  <si>
    <t>A1-6. HVAC STS 304 5S (VENT LINE) (기존건물)</t>
  </si>
  <si>
    <t>A1-6. STS 304 5S (Bulk Gas Purge 전용) (기존건물)</t>
  </si>
  <si>
    <t>A1-7. GN2(용접용) STS 304 AP (기존건물)</t>
  </si>
  <si>
    <t>A1-8. P-VAC VENT (기존건물)</t>
  </si>
  <si>
    <t>A1-9-1. GO2, GCO2 STS 304 AP (기존건물)</t>
  </si>
  <si>
    <t>A1-10. VENT STS304 5S (기존건물)</t>
  </si>
  <si>
    <t>A7-1-1. Process Gas Line (기존건물)</t>
  </si>
  <si>
    <t>A8-1. SUS304 BA PIPING FOR ALMS LINE (기존건물)</t>
  </si>
  <si>
    <t>A8-2. ALMS System (기존건물)</t>
  </si>
  <si>
    <t>A9-1. CDA STS 304 AP (기존건물)</t>
  </si>
  <si>
    <t>A9-2. GN2 STS 304 AP (기존건물)</t>
  </si>
  <si>
    <t>A9-3. GN2 STS 316L BA (기존건물)</t>
  </si>
  <si>
    <t>A9-4. PAr, PHe, PO2, PCO2, PH2, PN2 STS 316L EP (기존건물)</t>
  </si>
  <si>
    <t>A9-5. PVAC STS 304 5S (기존건물)</t>
  </si>
  <si>
    <t>A1-1. CDA STS 304 AP (기존공동구)</t>
  </si>
  <si>
    <t>A3-1. PVDF PIPING FOR UPW LINE</t>
  </si>
  <si>
    <t>A3-2. UPW가설 LINE</t>
  </si>
  <si>
    <t>A4-1. 무기계 Chemical PFA+Clear PVC</t>
  </si>
  <si>
    <t>A4-2. SLURRY Chemical PFA+Clear PVC</t>
  </si>
  <si>
    <t>A4-3. 유기계 Chemical STS316L EP RA10</t>
  </si>
  <si>
    <t>A4-4. Chemical CIB, VMB Hook-Up</t>
  </si>
  <si>
    <t>A4-5. NaOH STS 304 SCH 10S</t>
  </si>
  <si>
    <t>A4-6. De-Nox용 ECO-DN20-6 PFA+Clear PVC</t>
  </si>
  <si>
    <t>A4-7. 유기 이중관_EUV PFA+STS304 5S</t>
  </si>
  <si>
    <t>A4-8. SC-1 CIB(과압방지 Drain)_PFA+Clear PVC</t>
  </si>
  <si>
    <t>A4-9. NaOH STS 304 SCH 10S</t>
  </si>
  <si>
    <t>A5-1. H2SO4, H3PO4, CuSO4 STS+TEFLON COATING</t>
  </si>
  <si>
    <t>A5-2. INPRIA STS+TEFLON COATING</t>
  </si>
  <si>
    <t>A2-1. STS304 10S PIPING FOR 13℃ PCW</t>
  </si>
  <si>
    <t>A2-2. STS304 10S PIPING FOR 20℃ PCW</t>
  </si>
  <si>
    <t>A2-3. STS304 10S PIPING FOR NPW</t>
  </si>
  <si>
    <t>A2-4. STS304 10S PIPING FOR RO</t>
  </si>
  <si>
    <t>A6-1. PE PIPING FOR WASTE WATER LINE</t>
  </si>
  <si>
    <t>A6-2. STS304 5S PIPING FOR WASTE WATER LINE</t>
  </si>
  <si>
    <t>A6-3-1. Body Eye Shower Hook-Up(Booth)_MR</t>
  </si>
  <si>
    <t>A6-3-2. Body Eye Shower Hook-Up(Pump)_MR</t>
  </si>
  <si>
    <t>A6-3-3. Body Eye Shower Hook-Up(Booth)_C/R 2F, 3F, 부속룸</t>
  </si>
  <si>
    <t>A6-3-4. Body Eye Shower Hook-Up(Pump)_C/R 1F, CMP 2F</t>
  </si>
  <si>
    <t>A6-4. WW-ACID STS+TEFLON COATING</t>
  </si>
  <si>
    <t>A6-5. PE PIPING FOR 우수 RETURN LINE</t>
  </si>
  <si>
    <t>A6-1. PE PIPING FOR WASTE WATER LINE (기존건물)</t>
  </si>
  <si>
    <t>A6-2. STS304 10S PIPING FOR WASTE WATER LINE (기존건물)</t>
  </si>
  <si>
    <t>A10-1. WASTE WATER PE LINE 선공사</t>
  </si>
  <si>
    <t>A10-2. WASTE WATER STS LINE 선공사</t>
  </si>
  <si>
    <t>A10-1. WASTE WATER STS LINE 선공사 (기존건물)</t>
  </si>
  <si>
    <t>공종명 (Line명)</t>
    <phoneticPr fontId="3" type="noConversion"/>
  </si>
  <si>
    <t>소공종명 (WBS 소공종)</t>
    <phoneticPr fontId="3" type="noConversion"/>
  </si>
  <si>
    <t>세공종명 (WBS 세공종)</t>
    <phoneticPr fontId="3" type="noConversion"/>
  </si>
  <si>
    <t>M15X Ph4 IBL PJT</t>
  </si>
  <si>
    <t>U.H.D</t>
  </si>
  <si>
    <t>3LC</t>
  </si>
  <si>
    <t>8LC</t>
  </si>
  <si>
    <t>관리자07</t>
    <phoneticPr fontId="3" type="noConversion"/>
  </si>
  <si>
    <t>관리자08</t>
    <phoneticPr fontId="3" type="noConversion"/>
  </si>
  <si>
    <t>관리자09</t>
    <phoneticPr fontId="3" type="noConversion"/>
  </si>
  <si>
    <t>H/C 장비기사</t>
  </si>
  <si>
    <t>T/C 장비기사</t>
  </si>
  <si>
    <t>T/C 정비기사</t>
  </si>
  <si>
    <t>PC조립공</t>
  </si>
  <si>
    <t>PC후속공</t>
  </si>
  <si>
    <t>A/F Post 설치</t>
  </si>
  <si>
    <t>S/C M16 Bolt 설치</t>
  </si>
  <si>
    <t>S/C SQ Pipe 설치</t>
  </si>
  <si>
    <t>M15X_PH4_041</t>
    <phoneticPr fontId="3" type="noConversion"/>
  </si>
  <si>
    <t>M15X_PH4_UT_ 중원엔지니어링_UT배관공사_FAB</t>
    <phoneticPr fontId="3" type="noConversion"/>
  </si>
  <si>
    <t>중원엔지니어링FAB</t>
    <phoneticPr fontId="3" type="noConversion"/>
  </si>
  <si>
    <t>배관 양중 및 용접 작업
서포트 렉 설치 작업</t>
    <phoneticPr fontId="3" type="noConversion"/>
  </si>
  <si>
    <t>보통인부</t>
    <phoneticPr fontId="3" type="noConversion"/>
  </si>
  <si>
    <t>NPW 배관 공사</t>
  </si>
  <si>
    <t>M</t>
    <phoneticPr fontId="3" type="noConversion"/>
  </si>
  <si>
    <t>F03 5F</t>
    <phoneticPr fontId="3" type="noConversion"/>
  </si>
  <si>
    <t>F03 6F</t>
    <phoneticPr fontId="3" type="noConversion"/>
  </si>
  <si>
    <t>F03 7F</t>
    <phoneticPr fontId="3" type="noConversion"/>
  </si>
  <si>
    <t>F04 6F</t>
    <phoneticPr fontId="3" type="noConversion"/>
  </si>
  <si>
    <t>F04 7F</t>
    <phoneticPr fontId="3" type="noConversion"/>
  </si>
  <si>
    <t>CUB 1F</t>
    <phoneticPr fontId="3" type="noConversion"/>
  </si>
  <si>
    <t>CUB 4F</t>
    <phoneticPr fontId="3" type="noConversion"/>
  </si>
  <si>
    <t>CUB 7F</t>
    <phoneticPr fontId="3" type="noConversion"/>
  </si>
  <si>
    <t>CUB 8F</t>
    <phoneticPr fontId="3" type="noConversion"/>
  </si>
  <si>
    <r>
      <t xml:space="preserve">PCW </t>
    </r>
    <r>
      <rPr>
        <sz val="9"/>
        <color theme="1"/>
        <rFont val="맑은 고딕"/>
        <family val="3"/>
        <charset val="129"/>
      </rPr>
      <t xml:space="preserve">20 </t>
    </r>
    <r>
      <rPr>
        <sz val="9"/>
        <color theme="1"/>
        <rFont val="Microsoft GothicNeo"/>
        <family val="3"/>
        <charset val="129"/>
      </rPr>
      <t>배관 공사</t>
    </r>
    <phoneticPr fontId="3" type="noConversion"/>
  </si>
  <si>
    <r>
      <t xml:space="preserve">PCW </t>
    </r>
    <r>
      <rPr>
        <sz val="9"/>
        <color theme="1"/>
        <rFont val="맑은 고딕"/>
        <family val="3"/>
        <charset val="129"/>
      </rPr>
      <t xml:space="preserve">20(SCR) </t>
    </r>
    <r>
      <rPr>
        <sz val="9"/>
        <color theme="1"/>
        <rFont val="Microsoft GothicNeo"/>
        <family val="3"/>
        <charset val="129"/>
      </rPr>
      <t>배관 공사</t>
    </r>
    <phoneticPr fontId="3" type="noConversion"/>
  </si>
  <si>
    <r>
      <t xml:space="preserve">PCW </t>
    </r>
    <r>
      <rPr>
        <sz val="9"/>
        <color theme="1"/>
        <rFont val="맑은 고딕"/>
        <family val="3"/>
        <charset val="129"/>
      </rPr>
      <t xml:space="preserve">13 </t>
    </r>
    <r>
      <rPr>
        <sz val="9"/>
        <color theme="1"/>
        <rFont val="Microsoft GothicNeo"/>
        <family val="3"/>
        <charset val="129"/>
      </rPr>
      <t>배관 공사</t>
    </r>
    <phoneticPr fontId="3" type="noConversion"/>
  </si>
  <si>
    <t>F02 5F</t>
    <phoneticPr fontId="3" type="noConversion"/>
  </si>
  <si>
    <t>F02 6F</t>
    <phoneticPr fontId="3" type="noConversion"/>
  </si>
  <si>
    <r>
      <rPr>
        <sz val="9"/>
        <color theme="1"/>
        <rFont val="맑은 고딕"/>
        <family val="3"/>
        <charset val="129"/>
      </rPr>
      <t>RO</t>
    </r>
    <r>
      <rPr>
        <sz val="9"/>
        <color theme="1"/>
        <rFont val="Microsoft GothicNeo"/>
        <family val="3"/>
        <charset val="129"/>
      </rPr>
      <t xml:space="preserve"> 배관 공사</t>
    </r>
    <phoneticPr fontId="3" type="noConversion"/>
  </si>
  <si>
    <t>F03 D/S</t>
    <phoneticPr fontId="3" type="noConversion"/>
  </si>
  <si>
    <t>F04 D/S</t>
    <phoneticPr fontId="3" type="noConversion"/>
  </si>
  <si>
    <t>CUB D/S</t>
    <phoneticPr fontId="3" type="noConversion"/>
  </si>
  <si>
    <t>RO배관공사</t>
    <phoneticPr fontId="3" type="noConversion"/>
  </si>
  <si>
    <t>PCW배관공사</t>
    <phoneticPr fontId="3" type="noConversion"/>
  </si>
  <si>
    <t xml:space="preserve">6F AIR PLENUM </t>
    <phoneticPr fontId="3" type="noConversion"/>
  </si>
  <si>
    <t>6F AIR PLENUM PCW20 배관 양중</t>
    <phoneticPr fontId="3" type="noConversion"/>
  </si>
  <si>
    <t>7F GANTRY</t>
    <phoneticPr fontId="3" type="noConversion"/>
  </si>
  <si>
    <t>7F GANTRY 비계설치 작업</t>
    <phoneticPr fontId="3" type="noConversion"/>
  </si>
  <si>
    <t>6F CMP</t>
    <phoneticPr fontId="3" type="noConversion"/>
  </si>
  <si>
    <t>6F CMP PCW20 배관 설치중</t>
    <phoneticPr fontId="3" type="noConversion"/>
  </si>
  <si>
    <t>정래혁</t>
    <phoneticPr fontId="3" type="noConversion"/>
  </si>
  <si>
    <t xml:space="preserve">F02 5F/PCW 20 배관 </t>
  </si>
  <si>
    <t>김덕범</t>
    <phoneticPr fontId="3" type="noConversion"/>
  </si>
  <si>
    <t>김성덕</t>
    <phoneticPr fontId="3" type="noConversion"/>
  </si>
  <si>
    <t>권영우</t>
    <phoneticPr fontId="3" type="noConversion"/>
  </si>
  <si>
    <t>김동한</t>
    <phoneticPr fontId="3" type="noConversion"/>
  </si>
  <si>
    <t>김상대</t>
    <phoneticPr fontId="3" type="noConversion"/>
  </si>
  <si>
    <t xml:space="preserve">F03 6F/PCW 20 배관 </t>
  </si>
  <si>
    <t>허상봉</t>
    <phoneticPr fontId="3" type="noConversion"/>
  </si>
  <si>
    <t>곽경록</t>
    <phoneticPr fontId="3" type="noConversion"/>
  </si>
  <si>
    <t>장덕길</t>
    <phoneticPr fontId="3" type="noConversion"/>
  </si>
  <si>
    <t>김연희</t>
    <phoneticPr fontId="3" type="noConversion"/>
  </si>
  <si>
    <t>김헌</t>
    <phoneticPr fontId="3" type="noConversion"/>
  </si>
  <si>
    <t>조성진</t>
    <phoneticPr fontId="3" type="noConversion"/>
  </si>
  <si>
    <t>최윤석</t>
    <phoneticPr fontId="3" type="noConversion"/>
  </si>
  <si>
    <t>최윤성</t>
    <phoneticPr fontId="3" type="noConversion"/>
  </si>
  <si>
    <t>윤재철</t>
    <phoneticPr fontId="3" type="noConversion"/>
  </si>
  <si>
    <t>서준호</t>
    <phoneticPr fontId="3" type="noConversion"/>
  </si>
  <si>
    <t>민영광</t>
    <phoneticPr fontId="3" type="noConversion"/>
  </si>
  <si>
    <r>
      <t xml:space="preserve">현장 </t>
    </r>
    <r>
      <rPr>
        <sz val="9"/>
        <color theme="1"/>
        <rFont val="맑은 고딕"/>
        <family val="3"/>
        <charset val="129"/>
      </rPr>
      <t xml:space="preserve">공사 </t>
    </r>
    <r>
      <rPr>
        <sz val="9"/>
        <color theme="1"/>
        <rFont val="나눔고딕"/>
        <family val="3"/>
        <charset val="129"/>
      </rPr>
      <t>관리 감독</t>
    </r>
    <phoneticPr fontId="3" type="noConversion"/>
  </si>
  <si>
    <r>
      <t>현장</t>
    </r>
    <r>
      <rPr>
        <sz val="9"/>
        <color theme="1"/>
        <rFont val="맑은 고딕"/>
        <family val="3"/>
        <charset val="129"/>
      </rPr>
      <t xml:space="preserve"> 안전</t>
    </r>
    <r>
      <rPr>
        <sz val="9"/>
        <color theme="1"/>
        <rFont val="나눔고딕"/>
        <family val="3"/>
        <charset val="129"/>
      </rPr>
      <t xml:space="preserve"> 관리 감독</t>
    </r>
    <phoneticPr fontId="3" type="noConversion"/>
  </si>
  <si>
    <r>
      <t xml:space="preserve">현장 </t>
    </r>
    <r>
      <rPr>
        <sz val="9"/>
        <color theme="1"/>
        <rFont val="맑은 고딕"/>
        <family val="3"/>
        <charset val="129"/>
      </rPr>
      <t xml:space="preserve">품질 </t>
    </r>
    <r>
      <rPr>
        <sz val="9"/>
        <color theme="1"/>
        <rFont val="나눔고딕"/>
        <family val="3"/>
        <charset val="129"/>
      </rPr>
      <t>관리 감독</t>
    </r>
    <phoneticPr fontId="3" type="noConversion"/>
  </si>
  <si>
    <t>임남수</t>
    <phoneticPr fontId="3" type="noConversion"/>
  </si>
  <si>
    <t>이지훈</t>
    <phoneticPr fontId="3" type="noConversion"/>
  </si>
  <si>
    <t>옹민우</t>
    <phoneticPr fontId="3" type="noConversion"/>
  </si>
  <si>
    <t>성기현</t>
    <phoneticPr fontId="3" type="noConversion"/>
  </si>
  <si>
    <t>김영섭</t>
    <phoneticPr fontId="3" type="noConversion"/>
  </si>
  <si>
    <t>보통인부</t>
  </si>
  <si>
    <t>박이노</t>
    <phoneticPr fontId="3" type="noConversion"/>
  </si>
  <si>
    <t>정선혁</t>
    <phoneticPr fontId="3" type="noConversion"/>
  </si>
  <si>
    <t>한기용</t>
    <phoneticPr fontId="3" type="noConversion"/>
  </si>
  <si>
    <t>송민</t>
    <phoneticPr fontId="3" type="noConversion"/>
  </si>
  <si>
    <t>박강훈</t>
    <phoneticPr fontId="3" type="noConversion"/>
  </si>
  <si>
    <t>이혜선</t>
    <phoneticPr fontId="3" type="noConversion"/>
  </si>
  <si>
    <t>A2-2. STS304 10S PIPING FOR 20℃ PCW</t>
    <phoneticPr fontId="3" type="noConversion"/>
  </si>
  <si>
    <r>
      <t>A2-2. STS304 10S PIPING FOR 20</t>
    </r>
    <r>
      <rPr>
        <sz val="9"/>
        <color theme="1"/>
        <rFont val="Segoe UI Symbol"/>
        <family val="3"/>
      </rPr>
      <t>℃</t>
    </r>
    <r>
      <rPr>
        <sz val="9"/>
        <color theme="1"/>
        <rFont val="Calibri"/>
        <family val="3"/>
      </rPr>
      <t xml:space="preserve"> PCW</t>
    </r>
    <phoneticPr fontId="3" type="noConversion"/>
  </si>
  <si>
    <t xml:space="preserve">F03 7F/PCW 20 배관 </t>
  </si>
  <si>
    <t>상부 PIPE 배열 및 용접,크롤라크레인 양중</t>
    <phoneticPr fontId="3" type="noConversion"/>
  </si>
  <si>
    <t>신재호</t>
    <phoneticPr fontId="3" type="noConversion"/>
  </si>
  <si>
    <t>김병현</t>
    <phoneticPr fontId="3" type="noConversion"/>
  </si>
  <si>
    <t>윤종익</t>
    <phoneticPr fontId="3" type="noConversion"/>
  </si>
  <si>
    <t>김한준</t>
    <phoneticPr fontId="3" type="noConversion"/>
  </si>
  <si>
    <t>황성희</t>
    <phoneticPr fontId="3" type="noConversion"/>
  </si>
  <si>
    <t>안병교</t>
    <phoneticPr fontId="3" type="noConversion"/>
  </si>
  <si>
    <t>박시홍</t>
    <phoneticPr fontId="3" type="noConversion"/>
  </si>
  <si>
    <t>윤준호</t>
    <phoneticPr fontId="3" type="noConversion"/>
  </si>
  <si>
    <t xml:space="preserve">F03 5F/PCW 13 배관 </t>
  </si>
  <si>
    <t>SUPT 및 PIPE 라인 마킹작업</t>
  </si>
  <si>
    <t>이효섭</t>
    <phoneticPr fontId="3" type="noConversion"/>
  </si>
  <si>
    <t>김강혁</t>
    <phoneticPr fontId="3" type="noConversion"/>
  </si>
  <si>
    <t>정재현</t>
    <phoneticPr fontId="3" type="noConversion"/>
  </si>
  <si>
    <t>장태수</t>
    <phoneticPr fontId="3" type="noConversion"/>
  </si>
  <si>
    <t xml:space="preserve">F03 D/S/PCW 13 배관 </t>
  </si>
  <si>
    <t>DS구간 SUPT 마킹 및 타공,케미칼앙카 인입검사 지원</t>
  </si>
  <si>
    <t>오재형</t>
    <phoneticPr fontId="3" type="noConversion"/>
  </si>
  <si>
    <t>오경상</t>
    <phoneticPr fontId="3" type="noConversion"/>
  </si>
  <si>
    <t>이정현</t>
    <phoneticPr fontId="3" type="noConversion"/>
  </si>
  <si>
    <t>최승현</t>
    <phoneticPr fontId="3" type="noConversion"/>
  </si>
  <si>
    <t>김용학</t>
    <phoneticPr fontId="3" type="noConversion"/>
  </si>
  <si>
    <t>김경배</t>
    <phoneticPr fontId="3" type="noConversion"/>
  </si>
  <si>
    <t>김경대</t>
    <phoneticPr fontId="3" type="noConversion"/>
  </si>
  <si>
    <t>여민혁</t>
    <phoneticPr fontId="3" type="noConversion"/>
  </si>
  <si>
    <t>박재범</t>
    <phoneticPr fontId="3" type="noConversion"/>
  </si>
  <si>
    <t>이종숙</t>
    <phoneticPr fontId="3" type="noConversion"/>
  </si>
  <si>
    <t>최성순</t>
    <phoneticPr fontId="3" type="noConversion"/>
  </si>
  <si>
    <t>배관공</t>
    <phoneticPr fontId="3" type="noConversion"/>
  </si>
  <si>
    <t>용접공</t>
    <phoneticPr fontId="3" type="noConversion"/>
  </si>
  <si>
    <t>보통인부</t>
    <phoneticPr fontId="3" type="noConversion"/>
  </si>
  <si>
    <t>화기감시자</t>
    <phoneticPr fontId="3" type="noConversion"/>
  </si>
  <si>
    <t>CMP 구간 PIPE 용접 및 배열</t>
  </si>
  <si>
    <t>이선정</t>
    <phoneticPr fontId="3" type="noConversion"/>
  </si>
  <si>
    <t>함동훈</t>
    <phoneticPr fontId="3" type="noConversion"/>
  </si>
  <si>
    <t>김성률</t>
    <phoneticPr fontId="3" type="noConversion"/>
  </si>
  <si>
    <t>정용경</t>
    <phoneticPr fontId="3" type="noConversion"/>
  </si>
  <si>
    <t>전경선</t>
    <phoneticPr fontId="3" type="noConversion"/>
  </si>
  <si>
    <t>6F 복도구간 PIPE 배열 및 용접</t>
  </si>
  <si>
    <t>배국주</t>
    <phoneticPr fontId="3" type="noConversion"/>
  </si>
  <si>
    <t>이선구</t>
    <phoneticPr fontId="3" type="noConversion"/>
  </si>
  <si>
    <t>유재민</t>
    <phoneticPr fontId="3" type="noConversion"/>
  </si>
  <si>
    <t>전종철</t>
    <phoneticPr fontId="3" type="noConversion"/>
  </si>
  <si>
    <t>손문조</t>
    <phoneticPr fontId="3" type="noConversion"/>
  </si>
  <si>
    <t>유도원</t>
    <phoneticPr fontId="3" type="noConversion"/>
  </si>
  <si>
    <t>송동우</t>
    <phoneticPr fontId="3" type="noConversion"/>
  </si>
  <si>
    <t>조완준</t>
    <phoneticPr fontId="3" type="noConversion"/>
  </si>
  <si>
    <t>이성주</t>
    <phoneticPr fontId="3" type="noConversion"/>
  </si>
  <si>
    <t>김수</t>
    <phoneticPr fontId="3" type="noConversion"/>
  </si>
  <si>
    <t>이상무</t>
    <phoneticPr fontId="3" type="noConversion"/>
  </si>
  <si>
    <t>김언기</t>
    <phoneticPr fontId="3" type="noConversion"/>
  </si>
  <si>
    <t>송진태</t>
    <phoneticPr fontId="3" type="noConversion"/>
  </si>
  <si>
    <t>유창</t>
    <phoneticPr fontId="3" type="noConversion"/>
  </si>
  <si>
    <t>김희영</t>
    <phoneticPr fontId="3" type="noConversion"/>
  </si>
  <si>
    <t>이도희</t>
    <phoneticPr fontId="3" type="noConversion"/>
  </si>
  <si>
    <t xml:space="preserve">CUB 7F/PCW 20 배관 </t>
  </si>
  <si>
    <r>
      <t>7F X35,Y14/겐트리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나눔고딕"/>
        <family val="3"/>
        <charset val="129"/>
      </rPr>
      <t>비계수정,설치</t>
    </r>
    <phoneticPr fontId="3" type="noConversion"/>
  </si>
  <si>
    <t>장동필</t>
    <phoneticPr fontId="3" type="noConversion"/>
  </si>
  <si>
    <t>나정원</t>
    <phoneticPr fontId="3" type="noConversion"/>
  </si>
  <si>
    <t>이성진</t>
    <phoneticPr fontId="3" type="noConversion"/>
  </si>
  <si>
    <t>석창호</t>
    <phoneticPr fontId="3" type="noConversion"/>
  </si>
  <si>
    <t>김기용</t>
    <phoneticPr fontId="3" type="noConversion"/>
  </si>
  <si>
    <t>김성진</t>
    <phoneticPr fontId="3" type="noConversion"/>
  </si>
  <si>
    <t>이우철</t>
    <phoneticPr fontId="3" type="noConversion"/>
  </si>
  <si>
    <t>한성만</t>
    <phoneticPr fontId="3" type="noConversion"/>
  </si>
  <si>
    <t>정진희</t>
    <phoneticPr fontId="3" type="noConversion"/>
  </si>
  <si>
    <t>박유리</t>
    <phoneticPr fontId="3" type="noConversion"/>
  </si>
  <si>
    <t>김명남</t>
    <phoneticPr fontId="3" type="noConversion"/>
  </si>
  <si>
    <t>정초희</t>
    <phoneticPr fontId="3" type="noConversion"/>
  </si>
  <si>
    <t>전휘</t>
    <phoneticPr fontId="3" type="noConversion"/>
  </si>
  <si>
    <t>장진원</t>
    <phoneticPr fontId="3" type="noConversion"/>
  </si>
  <si>
    <t>신성철</t>
    <phoneticPr fontId="3" type="noConversion"/>
  </si>
  <si>
    <t>안은정</t>
    <phoneticPr fontId="3" type="noConversion"/>
  </si>
  <si>
    <t>박동호</t>
    <phoneticPr fontId="3" type="noConversion"/>
  </si>
  <si>
    <t>박영호</t>
    <phoneticPr fontId="3" type="noConversion"/>
  </si>
  <si>
    <t>민병만</t>
    <phoneticPr fontId="3" type="noConversion"/>
  </si>
  <si>
    <t>장형필</t>
    <phoneticPr fontId="3" type="noConversion"/>
  </si>
  <si>
    <t>최지현</t>
    <phoneticPr fontId="3" type="noConversion"/>
  </si>
  <si>
    <t>한석현</t>
    <phoneticPr fontId="3" type="noConversion"/>
  </si>
  <si>
    <t>하재민</t>
    <phoneticPr fontId="3" type="noConversion"/>
  </si>
  <si>
    <t>김희섭</t>
    <phoneticPr fontId="3" type="noConversion"/>
  </si>
  <si>
    <t>최근준</t>
    <phoneticPr fontId="3" type="noConversion"/>
  </si>
  <si>
    <t>이창숙</t>
    <phoneticPr fontId="3" type="noConversion"/>
  </si>
  <si>
    <t>나성은</t>
    <phoneticPr fontId="3" type="noConversion"/>
  </si>
  <si>
    <t>이상옥</t>
    <phoneticPr fontId="3" type="noConversion"/>
  </si>
  <si>
    <t>신원준</t>
    <phoneticPr fontId="3" type="noConversion"/>
  </si>
  <si>
    <t>최지영</t>
    <phoneticPr fontId="3" type="noConversion"/>
  </si>
  <si>
    <t>이보름</t>
    <phoneticPr fontId="3" type="noConversion"/>
  </si>
  <si>
    <t>최병출</t>
    <phoneticPr fontId="3" type="noConversion"/>
  </si>
  <si>
    <t>김정우</t>
    <phoneticPr fontId="3" type="noConversion"/>
  </si>
  <si>
    <t>김세웅</t>
    <phoneticPr fontId="3" type="noConversion"/>
  </si>
  <si>
    <t>정효진</t>
    <phoneticPr fontId="3" type="noConversion"/>
  </si>
  <si>
    <t>김인식</t>
    <phoneticPr fontId="3" type="noConversion"/>
  </si>
  <si>
    <t>윤성길</t>
    <phoneticPr fontId="3" type="noConversion"/>
  </si>
  <si>
    <t>이선호</t>
    <phoneticPr fontId="3" type="noConversion"/>
  </si>
  <si>
    <t>송태진</t>
    <phoneticPr fontId="3" type="noConversion"/>
  </si>
  <si>
    <t>이덕성</t>
    <phoneticPr fontId="3" type="noConversion"/>
  </si>
  <si>
    <t>최원일</t>
    <phoneticPr fontId="3" type="noConversion"/>
  </si>
  <si>
    <t>노형식</t>
    <phoneticPr fontId="3" type="noConversion"/>
  </si>
  <si>
    <t>류두현</t>
    <phoneticPr fontId="3" type="noConversion"/>
  </si>
  <si>
    <t xml:space="preserve">F02 6F/PCW 20 배관 </t>
  </si>
  <si>
    <t>6F X33~34 Y9-12 PCW20배관 양중 작업</t>
    <phoneticPr fontId="3" type="noConversion"/>
  </si>
  <si>
    <t>이재광</t>
    <phoneticPr fontId="3" type="noConversion"/>
  </si>
  <si>
    <t>최관수</t>
    <phoneticPr fontId="3" type="noConversion"/>
  </si>
  <si>
    <t>황창한</t>
    <phoneticPr fontId="3" type="noConversion"/>
  </si>
  <si>
    <t>이지수</t>
    <phoneticPr fontId="3" type="noConversion"/>
  </si>
  <si>
    <t>정재인</t>
    <phoneticPr fontId="3" type="noConversion"/>
  </si>
  <si>
    <t>조민규</t>
    <phoneticPr fontId="3" type="noConversion"/>
  </si>
  <si>
    <t>박성식</t>
    <phoneticPr fontId="3" type="noConversion"/>
  </si>
  <si>
    <t>최재봉</t>
    <phoneticPr fontId="3" type="noConversion"/>
  </si>
  <si>
    <t>김보산</t>
    <phoneticPr fontId="3" type="noConversion"/>
  </si>
  <si>
    <t>서형걸</t>
    <phoneticPr fontId="3" type="noConversion"/>
  </si>
  <si>
    <t>서태준</t>
    <phoneticPr fontId="3" type="noConversion"/>
  </si>
  <si>
    <t>김견희</t>
    <phoneticPr fontId="3" type="noConversion"/>
  </si>
  <si>
    <t>이향석</t>
    <phoneticPr fontId="3" type="noConversion"/>
  </si>
  <si>
    <t>신호수</t>
    <phoneticPr fontId="3" type="noConversion"/>
  </si>
  <si>
    <t>5F X46 9-12, X44-47, X47 Y5-8  PCW20배관 양중 작업</t>
    <phoneticPr fontId="3" type="noConversion"/>
  </si>
  <si>
    <t>주선호</t>
    <phoneticPr fontId="3" type="noConversion"/>
  </si>
  <si>
    <t>신형식</t>
    <phoneticPr fontId="3" type="noConversion"/>
  </si>
  <si>
    <t>이철진</t>
    <phoneticPr fontId="3" type="noConversion"/>
  </si>
  <si>
    <t>윤영학</t>
    <phoneticPr fontId="3" type="noConversion"/>
  </si>
  <si>
    <t>고덕철</t>
    <phoneticPr fontId="3" type="noConversion"/>
  </si>
  <si>
    <t>유완철</t>
    <phoneticPr fontId="3" type="noConversion"/>
  </si>
  <si>
    <t>김현지</t>
    <phoneticPr fontId="3" type="noConversion"/>
  </si>
  <si>
    <t>김영희</t>
    <phoneticPr fontId="3" type="noConversion"/>
  </si>
  <si>
    <t>이주현</t>
    <phoneticPr fontId="3" type="noConversion"/>
  </si>
  <si>
    <t>정미경</t>
    <phoneticPr fontId="3" type="noConversion"/>
  </si>
  <si>
    <t>아한우</t>
    <phoneticPr fontId="3" type="noConversion"/>
  </si>
  <si>
    <t>김순영</t>
    <phoneticPr fontId="3" type="noConversion"/>
  </si>
  <si>
    <t>진종언</t>
    <phoneticPr fontId="3" type="noConversion"/>
  </si>
  <si>
    <t>이운기</t>
    <phoneticPr fontId="3" type="noConversion"/>
  </si>
  <si>
    <t>육종영</t>
    <phoneticPr fontId="3" type="noConversion"/>
  </si>
  <si>
    <t>강이석</t>
    <phoneticPr fontId="3" type="noConversion"/>
  </si>
  <si>
    <t>강재원</t>
    <phoneticPr fontId="3" type="noConversion"/>
  </si>
  <si>
    <t>이소은</t>
    <phoneticPr fontId="3" type="noConversion"/>
  </si>
  <si>
    <t>박민수</t>
    <phoneticPr fontId="3" type="noConversion"/>
  </si>
  <si>
    <t>이종욱</t>
    <phoneticPr fontId="3" type="noConversion"/>
  </si>
  <si>
    <t>한준희</t>
    <phoneticPr fontId="3" type="noConversion"/>
  </si>
  <si>
    <t>이우균</t>
    <phoneticPr fontId="3" type="noConversion"/>
  </si>
  <si>
    <t>박주희</t>
    <phoneticPr fontId="3" type="noConversion"/>
  </si>
  <si>
    <t>박미석</t>
    <phoneticPr fontId="3" type="noConversion"/>
  </si>
  <si>
    <t>유현식</t>
    <phoneticPr fontId="3" type="noConversion"/>
  </si>
  <si>
    <t>이영희</t>
    <phoneticPr fontId="3" type="noConversion"/>
  </si>
  <si>
    <t>오지훈</t>
    <phoneticPr fontId="3" type="noConversion"/>
  </si>
  <si>
    <t>이은택</t>
    <phoneticPr fontId="3" type="noConversion"/>
  </si>
  <si>
    <t>강노윤</t>
    <phoneticPr fontId="3" type="noConversion"/>
  </si>
  <si>
    <t>신경진</t>
    <phoneticPr fontId="3" type="noConversion"/>
  </si>
  <si>
    <t>전은황</t>
    <phoneticPr fontId="3" type="noConversion"/>
  </si>
  <si>
    <t>이수빈</t>
    <phoneticPr fontId="3" type="noConversion"/>
  </si>
  <si>
    <t>박선우</t>
    <phoneticPr fontId="3" type="noConversion"/>
  </si>
  <si>
    <t>권예지</t>
    <phoneticPr fontId="3" type="noConversion"/>
  </si>
  <si>
    <t>F02 5층 SUB FAB
F02 6층 AIR PLENUM
F03 6층 CMP
F03 7층 GANTRY</t>
    <phoneticPr fontId="3" type="noConversion"/>
  </si>
  <si>
    <t>PCW20 배관 양중
PCW20 배관 양중
PCW20 배관 양중 및 용접 작업
비계 설치 작업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</si>
</sst>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&quot;관리자 : &quot;General&quot;명&quot;"/>
    <numFmt numFmtId="178" formatCode="&quot;근로자 : &quot;General&quot;명&quot;"/>
    <numFmt numFmtId="179" formatCode="&quot;총 : &quot;General&quot;명&quot;"/>
    <numFmt numFmtId="180" formatCode="yyyy/mm/dd\,\ aaa"/>
    <numFmt numFmtId="181" formatCode="&quot;BP&quot;00"/>
    <numFmt numFmtId="182" formatCode="0.0%"/>
    <numFmt numFmtId="183" formatCode="&quot;   Date : &quot;yyyy\.\ mm\.\ dd\(aaa\)"/>
    <numFmt numFmtId="184" formatCode="yyyy\.\ mm\.\ dd\(aaa\)"/>
    <numFmt numFmtId="185" formatCode="0.0%\ ;;&quot;- &quot;"/>
  </numFmts>
  <fonts count="72">
    <font>
      <sz val="11"/>
      <color theme="1"/>
      <name val="맑은 고딕"/>
      <family val="2"/>
      <charset val="129"/>
      <scheme val="minor"/>
    </font>
    <font>
      <sz val="11"/>
      <color theme="1"/>
      <name val="Microsoft GothicNeo"/>
      <family val="2"/>
      <charset val="129"/>
    </font>
    <font>
      <sz val="11"/>
      <color theme="1"/>
      <name val="Microsoft 고딕Neo"/>
      <family val="2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color theme="1"/>
      <name val="Microsoft GothicNeo"/>
      <family val="3"/>
      <charset val="129"/>
    </font>
    <font>
      <b/>
      <sz val="8"/>
      <color theme="1"/>
      <name val="Microsoft GothicNeo"/>
      <family val="3"/>
      <charset val="129"/>
    </font>
    <font>
      <b/>
      <sz val="16"/>
      <color theme="1"/>
      <name val="Microsoft GothicNeo"/>
      <family val="2"/>
      <charset val="129"/>
    </font>
    <font>
      <sz val="16"/>
      <color theme="1"/>
      <name val="Microsoft GothicNeo"/>
      <family val="3"/>
      <charset val="129"/>
    </font>
    <font>
      <b/>
      <sz val="9"/>
      <name val="Microsoft GothicNeo"/>
      <family val="3"/>
      <charset val="129"/>
    </font>
    <font>
      <sz val="9"/>
      <color theme="1"/>
      <name val="Microsoft GothicNeo"/>
      <family val="3"/>
      <charset val="129"/>
    </font>
    <font>
      <sz val="9"/>
      <color theme="1"/>
      <name val="Microsoft GothicNeo"/>
      <family val="2"/>
      <charset val="129"/>
    </font>
    <font>
      <b/>
      <sz val="9"/>
      <color theme="1"/>
      <name val="Microsoft GothicNeo"/>
      <family val="3"/>
      <charset val="129"/>
    </font>
    <font>
      <sz val="8"/>
      <color theme="1"/>
      <name val="맑은 고딕"/>
      <family val="3"/>
      <charset val="129"/>
    </font>
    <font>
      <sz val="12"/>
      <color rgb="FF334885"/>
      <name val="Microsoft GothicNeo"/>
      <family val="3"/>
      <charset val="129"/>
    </font>
    <font>
      <sz val="12"/>
      <color rgb="FF000000"/>
      <name val="Microsoft GothicNeo"/>
      <family val="3"/>
      <charset val="129"/>
    </font>
    <font>
      <sz val="11"/>
      <color theme="1"/>
      <name val="Microsoft GothicNeo"/>
      <family val="3"/>
      <charset val="129"/>
    </font>
    <font>
      <sz val="11"/>
      <color theme="1"/>
      <name val="Microsoft GothicNeo"/>
      <family val="2"/>
      <charset val="129"/>
    </font>
    <font>
      <sz val="11"/>
      <color theme="1"/>
      <name val="Segoe UI Symbol"/>
      <family val="2"/>
    </font>
    <font>
      <sz val="11"/>
      <color rgb="FF334885"/>
      <name val="Microsoft GothicNeo"/>
      <family val="3"/>
      <charset val="129"/>
    </font>
    <font>
      <sz val="11"/>
      <color rgb="FF000000"/>
      <name val="Microsoft GothicNeo"/>
      <family val="3"/>
      <charset val="129"/>
    </font>
    <font>
      <sz val="11"/>
      <color theme="1"/>
      <name val="Arial Unicode MS"/>
      <family val="2"/>
      <charset val="129"/>
    </font>
    <font>
      <sz val="11"/>
      <color rgb="FF334885"/>
      <name val="Arial Unicode MS"/>
      <family val="3"/>
      <charset val="129"/>
    </font>
    <font>
      <sz val="11"/>
      <color theme="1"/>
      <name val="Segoe UI Symbol"/>
      <family val="3"/>
    </font>
    <font>
      <u/>
      <sz val="10"/>
      <color indexed="36"/>
      <name val="Arial"/>
      <family val="2"/>
    </font>
    <font>
      <sz val="8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sz val="11"/>
      <name val="Microsoft GothicNeo"/>
      <family val="2"/>
      <charset val="129"/>
    </font>
    <font>
      <b/>
      <sz val="26"/>
      <name val="Microsoft GothicNeo"/>
      <family val="3"/>
      <charset val="129"/>
    </font>
    <font>
      <u/>
      <sz val="10"/>
      <color indexed="36"/>
      <name val="Microsoft GothicNeo"/>
      <family val="3"/>
      <charset val="129"/>
    </font>
    <font>
      <b/>
      <sz val="13"/>
      <name val="Microsoft GothicNeo"/>
      <family val="3"/>
      <charset val="129"/>
    </font>
    <font>
      <sz val="12"/>
      <color theme="1"/>
      <name val="맑은 고딕"/>
      <family val="2"/>
      <charset val="129"/>
      <scheme val="minor"/>
    </font>
    <font>
      <b/>
      <u/>
      <sz val="28"/>
      <name val="맑은 고딕"/>
      <family val="2"/>
      <charset val="129"/>
      <scheme val="minor"/>
    </font>
    <font>
      <b/>
      <u/>
      <sz val="28"/>
      <name val="맑은 고딕"/>
      <family val="3"/>
      <charset val="129"/>
      <scheme val="minor"/>
    </font>
    <font>
      <b/>
      <u/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26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  <font>
      <b/>
      <sz val="15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b/>
      <sz val="16"/>
      <color theme="1"/>
      <name val="Microsoft GothicNeo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10"/>
      <color theme="1"/>
      <name val="Microsoft GothicNeo"/>
      <family val="3"/>
      <charset val="129"/>
    </font>
    <font>
      <b/>
      <sz val="10"/>
      <color theme="1"/>
      <name val="Microsoft GothicNeo"/>
      <family val="2"/>
      <charset val="129"/>
    </font>
    <font>
      <b/>
      <sz val="10"/>
      <color theme="1"/>
      <name val="Microsoft GothicNeo"/>
      <family val="3"/>
      <charset val="129"/>
    </font>
    <font>
      <sz val="8"/>
      <color theme="1"/>
      <name val="Microsoft 고딕Neo"/>
      <family val="3"/>
      <charset val="129"/>
    </font>
    <font>
      <b/>
      <sz val="8"/>
      <color theme="1" tint="0.249977111117893"/>
      <name val="Microsoft GothicNeo"/>
      <family val="3"/>
      <charset val="129"/>
    </font>
    <font>
      <sz val="8"/>
      <color theme="1" tint="0.249977111117893"/>
      <name val="Microsoft GothicNeo"/>
      <family val="3"/>
      <charset val="129"/>
    </font>
    <font>
      <sz val="9"/>
      <color theme="1"/>
      <name val="맑은 고딕"/>
      <family val="3"/>
      <charset val="129"/>
    </font>
    <font>
      <sz val="9"/>
      <color theme="1"/>
      <name val="나눔고딕"/>
      <family val="3"/>
      <charset val="129"/>
    </font>
    <font>
      <b/>
      <sz val="14"/>
      <color theme="1"/>
      <name val="나눔고딕"/>
      <family val="3"/>
      <charset val="129"/>
    </font>
    <font>
      <b/>
      <sz val="9"/>
      <color theme="1"/>
      <name val="나눔고딕"/>
      <family val="3"/>
      <charset val="129"/>
    </font>
    <font>
      <sz val="8"/>
      <color rgb="FFFF0000"/>
      <name val="나눔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sz val="9"/>
      <color rgb="FF000000"/>
      <name val="Microsoft GothicNeo"/>
      <family val="2"/>
      <charset val="129"/>
    </font>
    <font>
      <sz val="9"/>
      <color theme="1"/>
      <name val="Segoe UI Symbol"/>
      <family val="3"/>
    </font>
    <font>
      <sz val="9"/>
      <color theme="1"/>
      <name val="Calibri"/>
      <family val="3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ECF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1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auto="1"/>
      </right>
      <top style="hair">
        <color indexed="64"/>
      </top>
      <bottom/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auto="1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double">
        <color indexed="64"/>
      </right>
      <top style="hair">
        <color auto="1"/>
      </top>
      <bottom/>
      <diagonal/>
    </border>
    <border>
      <left/>
      <right style="hair">
        <color indexed="64"/>
      </right>
      <top style="hair">
        <color auto="1"/>
      </top>
      <bottom/>
      <diagonal/>
    </border>
    <border>
      <left style="thin">
        <color indexed="64"/>
      </left>
      <right style="double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top"/>
      <protection locked="0"/>
    </xf>
    <xf numFmtId="176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0" fontId="67" fillId="0" borderId="0"/>
  </cellStyleXfs>
  <cellXfs count="362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80" fontId="6" fillId="0" borderId="0" xfId="0" applyNumberFormat="1" applyFont="1">
      <alignment vertical="center"/>
    </xf>
    <xf numFmtId="0" fontId="7" fillId="0" borderId="0" xfId="0" applyFont="1">
      <alignment vertical="center"/>
    </xf>
    <xf numFmtId="0" fontId="6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Continuous" vertical="center"/>
    </xf>
    <xf numFmtId="0" fontId="9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11" fillId="0" borderId="3" xfId="0" applyFont="1" applyBorder="1">
      <alignment vertical="center"/>
    </xf>
    <xf numFmtId="0" fontId="11" fillId="2" borderId="47" xfId="0" applyFont="1" applyFill="1" applyBorder="1">
      <alignment vertical="center"/>
    </xf>
    <xf numFmtId="176" fontId="11" fillId="2" borderId="44" xfId="0" applyNumberFormat="1" applyFont="1" applyFill="1" applyBorder="1">
      <alignment vertical="center"/>
    </xf>
    <xf numFmtId="176" fontId="11" fillId="2" borderId="45" xfId="0" applyNumberFormat="1" applyFont="1" applyFill="1" applyBorder="1">
      <alignment vertical="center"/>
    </xf>
    <xf numFmtId="176" fontId="11" fillId="2" borderId="46" xfId="0" applyNumberFormat="1" applyFont="1" applyFill="1" applyBorder="1">
      <alignment vertical="center"/>
    </xf>
    <xf numFmtId="0" fontId="11" fillId="2" borderId="32" xfId="0" applyFont="1" applyFill="1" applyBorder="1">
      <alignment vertical="center"/>
    </xf>
    <xf numFmtId="0" fontId="11" fillId="2" borderId="32" xfId="0" applyFont="1" applyFill="1" applyBorder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181" fontId="11" fillId="0" borderId="17" xfId="0" applyNumberFormat="1" applyFont="1" applyBorder="1" applyAlignment="1">
      <alignment horizontal="left" vertical="center"/>
    </xf>
    <xf numFmtId="0" fontId="13" fillId="2" borderId="3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53" xfId="0" applyFont="1" applyFill="1" applyBorder="1">
      <alignment vertical="center"/>
    </xf>
    <xf numFmtId="0" fontId="13" fillId="2" borderId="54" xfId="0" applyFont="1" applyFill="1" applyBorder="1" applyAlignment="1">
      <alignment horizontal="center" vertical="center"/>
    </xf>
    <xf numFmtId="0" fontId="11" fillId="3" borderId="55" xfId="0" applyFont="1" applyFill="1" applyBorder="1">
      <alignment vertical="center"/>
    </xf>
    <xf numFmtId="0" fontId="11" fillId="0" borderId="15" xfId="0" applyFont="1" applyBorder="1">
      <alignment vertical="center"/>
    </xf>
    <xf numFmtId="0" fontId="11" fillId="2" borderId="58" xfId="0" applyFont="1" applyFill="1" applyBorder="1">
      <alignment vertical="center"/>
    </xf>
    <xf numFmtId="176" fontId="11" fillId="2" borderId="24" xfId="0" applyNumberFormat="1" applyFont="1" applyFill="1" applyBorder="1">
      <alignment vertical="center"/>
    </xf>
    <xf numFmtId="0" fontId="13" fillId="2" borderId="14" xfId="0" applyFont="1" applyFill="1" applyBorder="1" applyAlignment="1">
      <alignment horizontal="right" vertical="center" indent="3"/>
    </xf>
    <xf numFmtId="0" fontId="11" fillId="0" borderId="1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3" xfId="0" applyFont="1" applyBorder="1">
      <alignment vertical="center"/>
    </xf>
    <xf numFmtId="49" fontId="15" fillId="4" borderId="3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76" fontId="11" fillId="5" borderId="64" xfId="0" applyNumberFormat="1" applyFont="1" applyFill="1" applyBorder="1">
      <alignment vertical="center"/>
    </xf>
    <xf numFmtId="176" fontId="11" fillId="5" borderId="65" xfId="0" applyNumberFormat="1" applyFont="1" applyFill="1" applyBorder="1">
      <alignment vertical="center"/>
    </xf>
    <xf numFmtId="176" fontId="11" fillId="5" borderId="66" xfId="0" applyNumberFormat="1" applyFont="1" applyFill="1" applyBorder="1">
      <alignment vertical="center"/>
    </xf>
    <xf numFmtId="176" fontId="11" fillId="5" borderId="25" xfId="0" applyNumberFormat="1" applyFont="1" applyFill="1" applyBorder="1">
      <alignment vertical="center"/>
    </xf>
    <xf numFmtId="49" fontId="20" fillId="4" borderId="32" xfId="1" applyNumberFormat="1" applyFont="1" applyFill="1" applyBorder="1" applyAlignment="1">
      <alignment horizontal="center" vertical="center"/>
    </xf>
    <xf numFmtId="49" fontId="21" fillId="0" borderId="41" xfId="1" applyNumberFormat="1" applyFont="1" applyBorder="1" applyAlignment="1">
      <alignment horizontal="center" vertical="center"/>
    </xf>
    <xf numFmtId="49" fontId="21" fillId="0" borderId="43" xfId="1" applyNumberFormat="1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21" fillId="0" borderId="46" xfId="1" applyNumberFormat="1" applyFont="1" applyBorder="1" applyAlignment="1">
      <alignment horizontal="center" vertical="center"/>
    </xf>
    <xf numFmtId="49" fontId="21" fillId="0" borderId="34" xfId="1" applyNumberFormat="1" applyFont="1" applyBorder="1" applyAlignment="1">
      <alignment horizontal="center" vertical="center"/>
    </xf>
    <xf numFmtId="49" fontId="21" fillId="0" borderId="5" xfId="1" applyNumberFormat="1" applyFont="1" applyBorder="1" applyAlignment="1">
      <alignment horizontal="center" vertical="center"/>
    </xf>
    <xf numFmtId="49" fontId="21" fillId="0" borderId="4" xfId="1" applyNumberFormat="1" applyFont="1" applyBorder="1" applyAlignment="1">
      <alignment horizontal="center" vertical="center"/>
    </xf>
    <xf numFmtId="49" fontId="21" fillId="0" borderId="70" xfId="1" applyNumberFormat="1" applyFont="1" applyBorder="1" applyAlignment="1">
      <alignment horizontal="center" vertical="center"/>
    </xf>
    <xf numFmtId="49" fontId="21" fillId="0" borderId="71" xfId="1" applyNumberFormat="1" applyFont="1" applyBorder="1" applyAlignment="1">
      <alignment horizontal="center" vertical="center"/>
    </xf>
    <xf numFmtId="49" fontId="20" fillId="4" borderId="35" xfId="1" applyNumberFormat="1" applyFont="1" applyFill="1" applyBorder="1" applyAlignment="1">
      <alignment horizontal="center" vertical="center" wrapText="1"/>
    </xf>
    <xf numFmtId="49" fontId="20" fillId="4" borderId="37" xfId="1" applyNumberFormat="1" applyFont="1" applyFill="1" applyBorder="1" applyAlignment="1">
      <alignment horizontal="center" vertical="center"/>
    </xf>
    <xf numFmtId="49" fontId="16" fillId="0" borderId="41" xfId="1" applyNumberFormat="1" applyFont="1" applyBorder="1" applyAlignment="1">
      <alignment horizontal="center" vertical="center"/>
    </xf>
    <xf numFmtId="49" fontId="16" fillId="0" borderId="43" xfId="1" applyNumberFormat="1" applyFont="1" applyBorder="1" applyAlignment="1">
      <alignment horizontal="center" vertical="center"/>
    </xf>
    <xf numFmtId="49" fontId="16" fillId="0" borderId="44" xfId="1" applyNumberFormat="1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49" fontId="16" fillId="0" borderId="34" xfId="1" applyNumberFormat="1" applyFont="1" applyBorder="1" applyAlignment="1">
      <alignment horizontal="center" vertical="center"/>
    </xf>
    <xf numFmtId="49" fontId="16" fillId="0" borderId="5" xfId="1" applyNumberFormat="1" applyFont="1" applyBorder="1" applyAlignment="1">
      <alignment horizontal="center" vertical="center"/>
    </xf>
    <xf numFmtId="49" fontId="16" fillId="0" borderId="4" xfId="1" applyNumberFormat="1" applyFont="1" applyBorder="1" applyAlignment="1">
      <alignment horizontal="center" vertical="center"/>
    </xf>
    <xf numFmtId="49" fontId="16" fillId="0" borderId="70" xfId="1" applyNumberFormat="1" applyFont="1" applyBorder="1" applyAlignment="1">
      <alignment horizontal="center" vertical="center"/>
    </xf>
    <xf numFmtId="49" fontId="16" fillId="0" borderId="71" xfId="1" applyNumberFormat="1" applyFont="1" applyBorder="1" applyAlignment="1">
      <alignment horizontal="center" vertical="center"/>
    </xf>
    <xf numFmtId="49" fontId="15" fillId="4" borderId="35" xfId="1" applyNumberFormat="1" applyFont="1" applyFill="1" applyBorder="1" applyAlignment="1">
      <alignment horizontal="center" vertical="center"/>
    </xf>
    <xf numFmtId="49" fontId="15" fillId="4" borderId="37" xfId="1" applyNumberFormat="1" applyFont="1" applyFill="1" applyBorder="1" applyAlignment="1">
      <alignment horizontal="center" vertical="center"/>
    </xf>
    <xf numFmtId="49" fontId="21" fillId="0" borderId="71" xfId="1" applyNumberFormat="1" applyFont="1" applyBorder="1" applyAlignment="1">
      <alignment horizontal="left" vertical="center" indent="1"/>
    </xf>
    <xf numFmtId="49" fontId="21" fillId="0" borderId="43" xfId="1" applyNumberFormat="1" applyFont="1" applyBorder="1" applyAlignment="1">
      <alignment horizontal="left" vertical="center" indent="1"/>
    </xf>
    <xf numFmtId="49" fontId="21" fillId="0" borderId="46" xfId="1" applyNumberFormat="1" applyFont="1" applyBorder="1" applyAlignment="1">
      <alignment horizontal="left" vertical="center" indent="1"/>
    </xf>
    <xf numFmtId="0" fontId="17" fillId="0" borderId="72" xfId="0" applyFont="1" applyBorder="1">
      <alignment vertical="center"/>
    </xf>
    <xf numFmtId="0" fontId="18" fillId="0" borderId="72" xfId="0" applyFont="1" applyBorder="1">
      <alignment vertical="center"/>
    </xf>
    <xf numFmtId="49" fontId="23" fillId="4" borderId="32" xfId="1" applyNumberFormat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11" fillId="0" borderId="0" xfId="0" applyFont="1">
      <alignment vertical="center"/>
    </xf>
    <xf numFmtId="0" fontId="28" fillId="6" borderId="0" xfId="0" applyFont="1" applyFill="1" applyAlignment="1"/>
    <xf numFmtId="0" fontId="29" fillId="6" borderId="0" xfId="0" applyFont="1" applyFill="1">
      <alignment vertical="center"/>
    </xf>
    <xf numFmtId="0" fontId="30" fillId="6" borderId="0" xfId="6" applyFont="1" applyFill="1" applyAlignment="1" applyProtection="1"/>
    <xf numFmtId="0" fontId="31" fillId="6" borderId="0" xfId="0" applyFont="1" applyFill="1" applyAlignment="1"/>
    <xf numFmtId="0" fontId="32" fillId="0" borderId="0" xfId="0" applyFont="1">
      <alignment vertical="center"/>
    </xf>
    <xf numFmtId="0" fontId="27" fillId="7" borderId="63" xfId="0" applyFont="1" applyFill="1" applyBorder="1" applyAlignment="1">
      <alignment horizontal="left" vertical="center"/>
    </xf>
    <xf numFmtId="0" fontId="36" fillId="0" borderId="0" xfId="0" applyFont="1">
      <alignment vertical="center"/>
    </xf>
    <xf numFmtId="0" fontId="36" fillId="0" borderId="88" xfId="0" applyFont="1" applyBorder="1">
      <alignment vertical="center"/>
    </xf>
    <xf numFmtId="0" fontId="36" fillId="0" borderId="32" xfId="0" applyFont="1" applyBorder="1" applyAlignment="1">
      <alignment horizontal="center" vertical="center"/>
    </xf>
    <xf numFmtId="0" fontId="38" fillId="6" borderId="73" xfId="0" applyFont="1" applyFill="1" applyBorder="1" applyAlignment="1"/>
    <xf numFmtId="0" fontId="38" fillId="6" borderId="74" xfId="0" applyFont="1" applyFill="1" applyBorder="1" applyAlignment="1"/>
    <xf numFmtId="14" fontId="39" fillId="6" borderId="74" xfId="0" applyNumberFormat="1" applyFont="1" applyFill="1" applyBorder="1" applyAlignment="1"/>
    <xf numFmtId="0" fontId="39" fillId="6" borderId="74" xfId="0" applyFont="1" applyFill="1" applyBorder="1" applyAlignment="1" applyProtection="1">
      <protection locked="0"/>
    </xf>
    <xf numFmtId="0" fontId="40" fillId="6" borderId="75" xfId="0" applyFont="1" applyFill="1" applyBorder="1" applyAlignment="1"/>
    <xf numFmtId="0" fontId="38" fillId="6" borderId="76" xfId="0" applyFont="1" applyFill="1" applyBorder="1" applyAlignment="1"/>
    <xf numFmtId="0" fontId="38" fillId="6" borderId="0" xfId="0" applyFont="1" applyFill="1" applyAlignment="1"/>
    <xf numFmtId="0" fontId="38" fillId="6" borderId="77" xfId="0" applyFont="1" applyFill="1" applyBorder="1" applyAlignment="1"/>
    <xf numFmtId="0" fontId="40" fillId="6" borderId="0" xfId="0" applyFont="1" applyFill="1" applyAlignment="1"/>
    <xf numFmtId="183" fontId="42" fillId="6" borderId="76" xfId="0" applyNumberFormat="1" applyFont="1" applyFill="1" applyBorder="1" applyAlignment="1"/>
    <xf numFmtId="183" fontId="42" fillId="6" borderId="77" xfId="0" applyNumberFormat="1" applyFont="1" applyFill="1" applyBorder="1" applyAlignment="1"/>
    <xf numFmtId="0" fontId="42" fillId="6" borderId="76" xfId="0" applyFont="1" applyFill="1" applyBorder="1" applyAlignment="1"/>
    <xf numFmtId="0" fontId="42" fillId="6" borderId="77" xfId="0" applyFont="1" applyFill="1" applyBorder="1" applyAlignment="1"/>
    <xf numFmtId="0" fontId="44" fillId="6" borderId="0" xfId="0" applyFont="1" applyFill="1" applyAlignment="1"/>
    <xf numFmtId="0" fontId="45" fillId="6" borderId="0" xfId="0" applyFont="1" applyFill="1" applyAlignment="1"/>
    <xf numFmtId="0" fontId="46" fillId="6" borderId="0" xfId="0" applyFont="1" applyFill="1" applyAlignment="1"/>
    <xf numFmtId="0" fontId="38" fillId="6" borderId="85" xfId="0" applyFont="1" applyFill="1" applyBorder="1" applyAlignment="1"/>
    <xf numFmtId="0" fontId="38" fillId="6" borderId="78" xfId="0" applyFont="1" applyFill="1" applyBorder="1" applyAlignment="1"/>
    <xf numFmtId="0" fontId="46" fillId="6" borderId="78" xfId="0" applyFont="1" applyFill="1" applyBorder="1" applyAlignment="1"/>
    <xf numFmtId="0" fontId="46" fillId="6" borderId="86" xfId="0" applyFont="1" applyFill="1" applyBorder="1" applyAlignment="1"/>
    <xf numFmtId="0" fontId="6" fillId="0" borderId="23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1" fillId="0" borderId="18" xfId="0" applyFont="1" applyBorder="1">
      <alignment vertical="center"/>
    </xf>
    <xf numFmtId="0" fontId="11" fillId="0" borderId="23" xfId="0" applyFont="1" applyBorder="1" applyAlignment="1">
      <alignment horizontal="center" vertical="center"/>
    </xf>
    <xf numFmtId="0" fontId="27" fillId="7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27" fillId="7" borderId="27" xfId="0" applyFont="1" applyFill="1" applyBorder="1" applyAlignment="1">
      <alignment horizontal="left" vertical="center"/>
    </xf>
    <xf numFmtId="0" fontId="27" fillId="7" borderId="20" xfId="0" applyFont="1" applyFill="1" applyBorder="1" applyAlignment="1">
      <alignment horizontal="left" vertical="center"/>
    </xf>
    <xf numFmtId="0" fontId="35" fillId="0" borderId="20" xfId="0" applyFont="1" applyBorder="1" applyAlignment="1">
      <alignment horizontal="center" vertical="center"/>
    </xf>
    <xf numFmtId="0" fontId="36" fillId="0" borderId="20" xfId="0" applyFont="1" applyBorder="1">
      <alignment vertical="center"/>
    </xf>
    <xf numFmtId="0" fontId="47" fillId="0" borderId="0" xfId="0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14" fontId="36" fillId="0" borderId="32" xfId="0" applyNumberFormat="1" applyFont="1" applyBorder="1" applyAlignment="1">
      <alignment horizontal="center" vertical="center"/>
    </xf>
    <xf numFmtId="0" fontId="49" fillId="0" borderId="0" xfId="0" applyFont="1" applyAlignment="1">
      <alignment horizontal="centerContinuous" vertical="center"/>
    </xf>
    <xf numFmtId="176" fontId="12" fillId="0" borderId="0" xfId="7" applyFont="1">
      <alignment vertical="center"/>
    </xf>
    <xf numFmtId="182" fontId="11" fillId="0" borderId="0" xfId="8" applyNumberFormat="1" applyFont="1">
      <alignment vertical="center"/>
    </xf>
    <xf numFmtId="0" fontId="13" fillId="2" borderId="97" xfId="0" applyFont="1" applyFill="1" applyBorder="1" applyAlignment="1">
      <alignment horizontal="center" vertical="center"/>
    </xf>
    <xf numFmtId="0" fontId="13" fillId="2" borderId="98" xfId="0" applyFont="1" applyFill="1" applyBorder="1" applyAlignment="1">
      <alignment horizontal="center" vertical="center"/>
    </xf>
    <xf numFmtId="176" fontId="11" fillId="5" borderId="103" xfId="0" applyNumberFormat="1" applyFont="1" applyFill="1" applyBorder="1">
      <alignment vertical="center"/>
    </xf>
    <xf numFmtId="176" fontId="11" fillId="2" borderId="83" xfId="0" applyNumberFormat="1" applyFont="1" applyFill="1" applyBorder="1">
      <alignment vertical="center"/>
    </xf>
    <xf numFmtId="176" fontId="11" fillId="5" borderId="102" xfId="0" applyNumberFormat="1" applyFont="1" applyFill="1" applyBorder="1">
      <alignment vertical="center"/>
    </xf>
    <xf numFmtId="176" fontId="11" fillId="2" borderId="104" xfId="0" applyNumberFormat="1" applyFont="1" applyFill="1" applyBorder="1">
      <alignment vertical="center"/>
    </xf>
    <xf numFmtId="0" fontId="11" fillId="0" borderId="108" xfId="0" applyFont="1" applyBorder="1">
      <alignment vertical="center"/>
    </xf>
    <xf numFmtId="0" fontId="11" fillId="0" borderId="34" xfId="0" applyFont="1" applyBorder="1" applyProtection="1">
      <alignment vertical="center"/>
      <protection locked="0"/>
    </xf>
    <xf numFmtId="0" fontId="11" fillId="0" borderId="49" xfId="0" applyFont="1" applyBorder="1" applyProtection="1">
      <alignment vertical="center"/>
      <protection locked="0"/>
    </xf>
    <xf numFmtId="0" fontId="12" fillId="0" borderId="34" xfId="0" applyFont="1" applyBorder="1" applyProtection="1">
      <alignment vertical="center"/>
      <protection locked="0"/>
    </xf>
    <xf numFmtId="176" fontId="11" fillId="0" borderId="34" xfId="0" applyNumberFormat="1" applyFont="1" applyBorder="1" applyProtection="1">
      <alignment vertical="center"/>
      <protection locked="0"/>
    </xf>
    <xf numFmtId="0" fontId="11" fillId="0" borderId="6" xfId="0" applyFont="1" applyBorder="1" applyProtection="1">
      <alignment vertical="center"/>
      <protection locked="0"/>
    </xf>
    <xf numFmtId="0" fontId="11" fillId="0" borderId="92" xfId="0" applyFont="1" applyBorder="1" applyProtection="1">
      <alignment vertical="center"/>
      <protection locked="0"/>
    </xf>
    <xf numFmtId="176" fontId="11" fillId="0" borderId="81" xfId="0" applyNumberFormat="1" applyFont="1" applyBorder="1" applyProtection="1">
      <alignment vertical="center"/>
      <protection locked="0"/>
    </xf>
    <xf numFmtId="176" fontId="11" fillId="0" borderId="42" xfId="0" applyNumberFormat="1" applyFont="1" applyBorder="1" applyProtection="1">
      <alignment vertical="center"/>
      <protection locked="0"/>
    </xf>
    <xf numFmtId="176" fontId="11" fillId="0" borderId="43" xfId="0" applyNumberFormat="1" applyFont="1" applyBorder="1" applyProtection="1">
      <alignment vertical="center"/>
      <protection locked="0"/>
    </xf>
    <xf numFmtId="176" fontId="11" fillId="0" borderId="93" xfId="0" applyNumberFormat="1" applyFont="1" applyBorder="1" applyProtection="1">
      <alignment vertical="center"/>
      <protection locked="0"/>
    </xf>
    <xf numFmtId="176" fontId="11" fillId="0" borderId="60" xfId="0" applyNumberFormat="1" applyFont="1" applyBorder="1" applyProtection="1">
      <alignment vertical="center"/>
      <protection locked="0"/>
    </xf>
    <xf numFmtId="176" fontId="11" fillId="0" borderId="61" xfId="0" applyNumberFormat="1" applyFont="1" applyBorder="1" applyProtection="1">
      <alignment vertical="center"/>
      <protection locked="0"/>
    </xf>
    <xf numFmtId="176" fontId="11" fillId="0" borderId="100" xfId="0" applyNumberFormat="1" applyFont="1" applyBorder="1" applyProtection="1">
      <alignment vertical="center"/>
      <protection locked="0"/>
    </xf>
    <xf numFmtId="176" fontId="11" fillId="0" borderId="101" xfId="0" applyNumberFormat="1" applyFont="1" applyBorder="1" applyProtection="1">
      <alignment vertical="center"/>
      <protection locked="0"/>
    </xf>
    <xf numFmtId="0" fontId="11" fillId="0" borderId="4" xfId="0" applyFont="1" applyBorder="1" applyProtection="1">
      <alignment vertical="center"/>
      <protection locked="0"/>
    </xf>
    <xf numFmtId="176" fontId="11" fillId="0" borderId="4" xfId="7" applyFont="1" applyBorder="1" applyProtection="1">
      <alignment vertical="center"/>
      <protection locked="0"/>
    </xf>
    <xf numFmtId="176" fontId="11" fillId="0" borderId="18" xfId="7" applyFont="1" applyBorder="1" applyProtection="1">
      <alignment vertical="center"/>
      <protection locked="0"/>
    </xf>
    <xf numFmtId="0" fontId="11" fillId="0" borderId="18" xfId="0" applyFont="1" applyBorder="1" applyProtection="1">
      <alignment vertical="center"/>
      <protection locked="0"/>
    </xf>
    <xf numFmtId="176" fontId="11" fillId="8" borderId="41" xfId="0" applyNumberFormat="1" applyFont="1" applyFill="1" applyBorder="1">
      <alignment vertical="center"/>
    </xf>
    <xf numFmtId="176" fontId="11" fillId="8" borderId="42" xfId="0" applyNumberFormat="1" applyFont="1" applyFill="1" applyBorder="1">
      <alignment vertical="center"/>
    </xf>
    <xf numFmtId="176" fontId="11" fillId="8" borderId="43" xfId="0" applyNumberFormat="1" applyFont="1" applyFill="1" applyBorder="1">
      <alignment vertical="center"/>
    </xf>
    <xf numFmtId="176" fontId="11" fillId="8" borderId="100" xfId="0" applyNumberFormat="1" applyFont="1" applyFill="1" applyBorder="1">
      <alignment vertical="center"/>
    </xf>
    <xf numFmtId="176" fontId="11" fillId="8" borderId="81" xfId="0" applyNumberFormat="1" applyFont="1" applyFill="1" applyBorder="1">
      <alignment vertical="center"/>
    </xf>
    <xf numFmtId="176" fontId="11" fillId="8" borderId="59" xfId="0" applyNumberFormat="1" applyFont="1" applyFill="1" applyBorder="1">
      <alignment vertical="center"/>
    </xf>
    <xf numFmtId="176" fontId="11" fillId="8" borderId="60" xfId="0" applyNumberFormat="1" applyFont="1" applyFill="1" applyBorder="1">
      <alignment vertical="center"/>
    </xf>
    <xf numFmtId="176" fontId="11" fillId="8" borderId="61" xfId="0" applyNumberFormat="1" applyFont="1" applyFill="1" applyBorder="1">
      <alignment vertical="center"/>
    </xf>
    <xf numFmtId="176" fontId="11" fillId="8" borderId="101" xfId="0" applyNumberFormat="1" applyFont="1" applyFill="1" applyBorder="1">
      <alignment vertical="center"/>
    </xf>
    <xf numFmtId="176" fontId="11" fillId="8" borderId="93" xfId="0" applyNumberFormat="1" applyFont="1" applyFill="1" applyBorder="1">
      <alignment vertical="center"/>
    </xf>
    <xf numFmtId="176" fontId="52" fillId="0" borderId="93" xfId="0" applyNumberFormat="1" applyFont="1" applyBorder="1">
      <alignment vertical="center"/>
    </xf>
    <xf numFmtId="176" fontId="52" fillId="0" borderId="60" xfId="0" applyNumberFormat="1" applyFont="1" applyBorder="1">
      <alignment vertical="center"/>
    </xf>
    <xf numFmtId="176" fontId="52" fillId="0" borderId="61" xfId="0" applyNumberFormat="1" applyFont="1" applyBorder="1">
      <alignment vertical="center"/>
    </xf>
    <xf numFmtId="176" fontId="52" fillId="0" borderId="101" xfId="0" applyNumberFormat="1" applyFont="1" applyBorder="1">
      <alignment vertical="center"/>
    </xf>
    <xf numFmtId="176" fontId="11" fillId="8" borderId="4" xfId="7" applyFont="1" applyFill="1" applyBorder="1">
      <alignment vertical="center"/>
    </xf>
    <xf numFmtId="176" fontId="11" fillId="8" borderId="18" xfId="7" applyFont="1" applyFill="1" applyBorder="1">
      <alignment vertical="center"/>
    </xf>
    <xf numFmtId="185" fontId="11" fillId="8" borderId="4" xfId="8" applyNumberFormat="1" applyFont="1" applyFill="1" applyBorder="1">
      <alignment vertical="center"/>
    </xf>
    <xf numFmtId="185" fontId="11" fillId="8" borderId="18" xfId="8" applyNumberFormat="1" applyFont="1" applyFill="1" applyBorder="1">
      <alignment vertical="center"/>
    </xf>
    <xf numFmtId="185" fontId="11" fillId="8" borderId="6" xfId="8" applyNumberFormat="1" applyFont="1" applyFill="1" applyBorder="1">
      <alignment vertical="center"/>
    </xf>
    <xf numFmtId="0" fontId="6" fillId="3" borderId="0" xfId="0" applyFont="1" applyFill="1">
      <alignment vertical="center"/>
    </xf>
    <xf numFmtId="0" fontId="55" fillId="3" borderId="0" xfId="0" applyFont="1" applyFill="1">
      <alignment vertical="center"/>
    </xf>
    <xf numFmtId="0" fontId="56" fillId="8" borderId="13" xfId="1" applyFont="1" applyFill="1" applyBorder="1" applyAlignment="1">
      <alignment horizontal="center" vertical="center"/>
    </xf>
    <xf numFmtId="0" fontId="56" fillId="8" borderId="6" xfId="1" applyFont="1" applyFill="1" applyBorder="1" applyAlignment="1">
      <alignment horizontal="center" vertical="center"/>
    </xf>
    <xf numFmtId="176" fontId="56" fillId="8" borderId="6" xfId="2" applyNumberFormat="1" applyFont="1" applyFill="1" applyBorder="1" applyAlignment="1">
      <alignment horizontal="center" vertical="center"/>
    </xf>
    <xf numFmtId="0" fontId="56" fillId="8" borderId="6" xfId="1" applyFont="1" applyFill="1" applyBorder="1" applyAlignment="1">
      <alignment horizontal="center" vertical="center" shrinkToFit="1"/>
    </xf>
    <xf numFmtId="177" fontId="57" fillId="8" borderId="8" xfId="5" applyNumberFormat="1" applyFont="1" applyFill="1" applyBorder="1" applyAlignment="1">
      <alignment horizontal="left" vertical="center" wrapText="1"/>
    </xf>
    <xf numFmtId="177" fontId="57" fillId="8" borderId="4" xfId="5" applyNumberFormat="1" applyFont="1" applyFill="1" applyBorder="1" applyAlignment="1">
      <alignment horizontal="left" vertical="center" wrapText="1"/>
    </xf>
    <xf numFmtId="177" fontId="57" fillId="8" borderId="4" xfId="5" applyNumberFormat="1" applyFont="1" applyFill="1" applyBorder="1" applyAlignment="1" applyProtection="1">
      <alignment horizontal="left" vertical="center" wrapText="1"/>
    </xf>
    <xf numFmtId="178" fontId="57" fillId="8" borderId="13" xfId="5" applyNumberFormat="1" applyFont="1" applyFill="1" applyBorder="1" applyAlignment="1">
      <alignment horizontal="left" vertical="center" wrapText="1"/>
    </xf>
    <xf numFmtId="178" fontId="57" fillId="8" borderId="6" xfId="5" applyNumberFormat="1" applyFont="1" applyFill="1" applyBorder="1" applyAlignment="1">
      <alignment horizontal="left" vertical="center" wrapText="1"/>
    </xf>
    <xf numFmtId="178" fontId="57" fillId="8" borderId="6" xfId="5" applyNumberFormat="1" applyFont="1" applyFill="1" applyBorder="1" applyAlignment="1" applyProtection="1">
      <alignment horizontal="left" vertical="center" wrapText="1"/>
    </xf>
    <xf numFmtId="0" fontId="6" fillId="0" borderId="1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7" fillId="9" borderId="2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23" xfId="0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10" fillId="9" borderId="53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176" fontId="10" fillId="9" borderId="51" xfId="7" applyFont="1" applyFill="1" applyBorder="1" applyAlignment="1">
      <alignment horizontal="center" vertical="center"/>
    </xf>
    <xf numFmtId="0" fontId="10" fillId="9" borderId="23" xfId="0" applyFont="1" applyFill="1" applyBorder="1" applyAlignment="1">
      <alignment horizontal="center" vertical="center"/>
    </xf>
    <xf numFmtId="0" fontId="10" fillId="9" borderId="18" xfId="0" applyFont="1" applyFill="1" applyBorder="1" applyAlignment="1">
      <alignment horizontal="center" vertical="center"/>
    </xf>
    <xf numFmtId="0" fontId="10" fillId="9" borderId="18" xfId="0" applyFont="1" applyFill="1" applyBorder="1">
      <alignment vertical="center"/>
    </xf>
    <xf numFmtId="176" fontId="10" fillId="9" borderId="62" xfId="7" applyFont="1" applyFill="1" applyBorder="1" applyAlignment="1">
      <alignment horizontal="center" vertical="center"/>
    </xf>
    <xf numFmtId="182" fontId="10" fillId="9" borderId="62" xfId="8" applyNumberFormat="1" applyFont="1" applyFill="1" applyBorder="1" applyAlignment="1">
      <alignment horizontal="center" vertical="center"/>
    </xf>
    <xf numFmtId="0" fontId="32" fillId="9" borderId="32" xfId="0" applyFont="1" applyFill="1" applyBorder="1" applyAlignment="1">
      <alignment horizontal="center" vertical="center"/>
    </xf>
    <xf numFmtId="0" fontId="36" fillId="9" borderId="32" xfId="0" applyFont="1" applyFill="1" applyBorder="1" applyAlignment="1">
      <alignment horizontal="center" vertical="center"/>
    </xf>
    <xf numFmtId="0" fontId="58" fillId="0" borderId="4" xfId="0" applyFont="1" applyBorder="1" applyAlignment="1" applyProtection="1">
      <alignment horizontal="center" vertical="center"/>
      <protection locked="0"/>
    </xf>
    <xf numFmtId="0" fontId="58" fillId="0" borderId="4" xfId="0" applyFont="1" applyBorder="1" applyProtection="1">
      <alignment vertical="center"/>
      <protection locked="0"/>
    </xf>
    <xf numFmtId="0" fontId="59" fillId="0" borderId="0" xfId="0" applyFont="1">
      <alignment vertical="center"/>
    </xf>
    <xf numFmtId="0" fontId="59" fillId="0" borderId="0" xfId="0" applyFont="1" applyAlignment="1">
      <alignment horizontal="center" vertical="center"/>
    </xf>
    <xf numFmtId="0" fontId="60" fillId="0" borderId="0" xfId="0" applyFont="1">
      <alignment vertical="center"/>
    </xf>
    <xf numFmtId="0" fontId="61" fillId="0" borderId="0" xfId="0" applyFont="1" applyAlignment="1">
      <alignment horizontal="center" vertical="center"/>
    </xf>
    <xf numFmtId="14" fontId="61" fillId="0" borderId="0" xfId="0" applyNumberFormat="1" applyFont="1">
      <alignment vertical="center"/>
    </xf>
    <xf numFmtId="0" fontId="62" fillId="0" borderId="0" xfId="0" applyFont="1">
      <alignment vertical="center"/>
    </xf>
    <xf numFmtId="0" fontId="61" fillId="8" borderId="109" xfId="0" applyFont="1" applyFill="1" applyBorder="1" applyAlignment="1">
      <alignment horizontal="center" vertical="center"/>
    </xf>
    <xf numFmtId="0" fontId="61" fillId="8" borderId="108" xfId="0" applyFont="1" applyFill="1" applyBorder="1" applyAlignment="1">
      <alignment horizontal="center" vertical="center"/>
    </xf>
    <xf numFmtId="0" fontId="61" fillId="8" borderId="108" xfId="0" applyFont="1" applyFill="1" applyBorder="1" applyAlignment="1">
      <alignment horizontal="center" vertical="center" wrapText="1"/>
    </xf>
    <xf numFmtId="0" fontId="61" fillId="8" borderId="110" xfId="0" applyFont="1" applyFill="1" applyBorder="1" applyAlignment="1">
      <alignment horizontal="center" vertical="center"/>
    </xf>
    <xf numFmtId="0" fontId="59" fillId="0" borderId="111" xfId="0" applyFont="1" applyBorder="1" applyAlignment="1">
      <alignment horizontal="center" vertical="center"/>
    </xf>
    <xf numFmtId="0" fontId="59" fillId="0" borderId="33" xfId="0" applyFont="1" applyBorder="1" applyAlignment="1">
      <alignment horizontal="center" vertical="center"/>
    </xf>
    <xf numFmtId="0" fontId="59" fillId="0" borderId="33" xfId="0" applyFont="1" applyBorder="1">
      <alignment vertical="center"/>
    </xf>
    <xf numFmtId="0" fontId="59" fillId="0" borderId="48" xfId="0" applyFont="1" applyBorder="1">
      <alignment vertical="center"/>
    </xf>
    <xf numFmtId="0" fontId="59" fillId="0" borderId="69" xfId="0" applyFont="1" applyBorder="1" applyAlignment="1">
      <alignment horizontal="center" vertical="center"/>
    </xf>
    <xf numFmtId="0" fontId="59" fillId="0" borderId="34" xfId="0" applyFont="1" applyBorder="1" applyAlignment="1">
      <alignment horizontal="center" vertical="center"/>
    </xf>
    <xf numFmtId="0" fontId="59" fillId="0" borderId="34" xfId="0" applyFont="1" applyBorder="1">
      <alignment vertical="center"/>
    </xf>
    <xf numFmtId="0" fontId="59" fillId="0" borderId="49" xfId="0" applyFont="1" applyBorder="1">
      <alignment vertical="center"/>
    </xf>
    <xf numFmtId="0" fontId="63" fillId="0" borderId="34" xfId="0" applyFont="1" applyBorder="1" applyAlignment="1">
      <alignment horizontal="center" vertical="center"/>
    </xf>
    <xf numFmtId="0" fontId="64" fillId="0" borderId="34" xfId="0" applyFont="1" applyBorder="1" applyAlignment="1">
      <alignment horizontal="center" vertical="center"/>
    </xf>
    <xf numFmtId="0" fontId="65" fillId="0" borderId="0" xfId="0" applyFont="1" applyAlignment="1">
      <alignment horizontal="left" vertical="center"/>
    </xf>
    <xf numFmtId="0" fontId="65" fillId="0" borderId="0" xfId="0" applyFont="1" applyAlignment="1">
      <alignment horizontal="left" vertical="center" indent="1"/>
    </xf>
    <xf numFmtId="0" fontId="65" fillId="0" borderId="0" xfId="0" applyFont="1" applyAlignment="1">
      <alignment horizontal="left" vertical="center" indent="3"/>
    </xf>
    <xf numFmtId="0" fontId="66" fillId="0" borderId="0" xfId="0" applyFont="1" applyAlignment="1">
      <alignment horizontal="left" vertical="center" indent="1"/>
    </xf>
    <xf numFmtId="0" fontId="68" fillId="10" borderId="112" xfId="9" applyFont="1" applyFill="1" applyBorder="1" applyAlignment="1">
      <alignment horizontal="center" vertical="center" wrapText="1"/>
    </xf>
    <xf numFmtId="0" fontId="67" fillId="0" borderId="0" xfId="9"/>
    <xf numFmtId="0" fontId="68" fillId="6" borderId="112" xfId="9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 wrapText="1"/>
    </xf>
    <xf numFmtId="0" fontId="10" fillId="11" borderId="51" xfId="0" applyFont="1" applyFill="1" applyBorder="1" applyAlignment="1">
      <alignment horizontal="centerContinuous" vertical="center"/>
    </xf>
    <xf numFmtId="0" fontId="10" fillId="11" borderId="18" xfId="0" applyFont="1" applyFill="1" applyBorder="1" applyAlignment="1">
      <alignment horizontal="center" vertical="center" wrapText="1"/>
    </xf>
    <xf numFmtId="0" fontId="10" fillId="11" borderId="62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>
      <alignment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>
      <alignment vertical="center"/>
    </xf>
    <xf numFmtId="176" fontId="69" fillId="13" borderId="38" xfId="0" applyNumberFormat="1" applyFont="1" applyFill="1" applyBorder="1">
      <alignment vertical="center"/>
    </xf>
    <xf numFmtId="176" fontId="69" fillId="13" borderId="39" xfId="0" applyNumberFormat="1" applyFont="1" applyFill="1" applyBorder="1">
      <alignment vertical="center"/>
    </xf>
    <xf numFmtId="176" fontId="69" fillId="13" borderId="40" xfId="0" applyNumberFormat="1" applyFont="1" applyFill="1" applyBorder="1">
      <alignment vertical="center"/>
    </xf>
    <xf numFmtId="176" fontId="69" fillId="13" borderId="99" xfId="0" applyNumberFormat="1" applyFont="1" applyFill="1" applyBorder="1">
      <alignment vertical="center"/>
    </xf>
    <xf numFmtId="176" fontId="69" fillId="0" borderId="79" xfId="0" applyNumberFormat="1" applyFont="1" applyBorder="1" applyProtection="1">
      <alignment vertical="center"/>
      <protection locked="0"/>
    </xf>
    <xf numFmtId="176" fontId="69" fillId="0" borderId="39" xfId="0" applyNumberFormat="1" applyFont="1" applyBorder="1" applyProtection="1">
      <alignment vertical="center"/>
      <protection locked="0"/>
    </xf>
    <xf numFmtId="176" fontId="69" fillId="0" borderId="40" xfId="0" applyNumberFormat="1" applyFont="1" applyBorder="1" applyProtection="1">
      <alignment vertical="center"/>
      <protection locked="0"/>
    </xf>
    <xf numFmtId="176" fontId="69" fillId="0" borderId="99" xfId="0" applyNumberFormat="1" applyFont="1" applyBorder="1">
      <alignment vertical="center"/>
    </xf>
    <xf numFmtId="176" fontId="69" fillId="13" borderId="79" xfId="0" applyNumberFormat="1" applyFont="1" applyFill="1" applyBorder="1">
      <alignment vertical="center"/>
    </xf>
    <xf numFmtId="176" fontId="69" fillId="13" borderId="56" xfId="0" applyNumberFormat="1" applyFont="1" applyFill="1" applyBorder="1">
      <alignment vertical="center"/>
    </xf>
    <xf numFmtId="176" fontId="69" fillId="13" borderId="41" xfId="0" applyNumberFormat="1" applyFont="1" applyFill="1" applyBorder="1">
      <alignment vertical="center"/>
    </xf>
    <xf numFmtId="176" fontId="69" fillId="13" borderId="42" xfId="0" applyNumberFormat="1" applyFont="1" applyFill="1" applyBorder="1">
      <alignment vertical="center"/>
    </xf>
    <xf numFmtId="176" fontId="69" fillId="13" borderId="43" xfId="0" applyNumberFormat="1" applyFont="1" applyFill="1" applyBorder="1">
      <alignment vertical="center"/>
    </xf>
    <xf numFmtId="176" fontId="69" fillId="13" borderId="100" xfId="0" applyNumberFormat="1" applyFont="1" applyFill="1" applyBorder="1">
      <alignment vertical="center"/>
    </xf>
    <xf numFmtId="176" fontId="69" fillId="0" borderId="81" xfId="0" applyNumberFormat="1" applyFont="1" applyBorder="1" applyProtection="1">
      <alignment vertical="center"/>
      <protection locked="0"/>
    </xf>
    <xf numFmtId="176" fontId="69" fillId="0" borderId="42" xfId="0" applyNumberFormat="1" applyFont="1" applyBorder="1" applyProtection="1">
      <alignment vertical="center"/>
      <protection locked="0"/>
    </xf>
    <xf numFmtId="176" fontId="69" fillId="0" borderId="43" xfId="0" applyNumberFormat="1" applyFont="1" applyBorder="1" applyProtection="1">
      <alignment vertical="center"/>
      <protection locked="0"/>
    </xf>
    <xf numFmtId="176" fontId="69" fillId="0" borderId="100" xfId="0" applyNumberFormat="1" applyFont="1" applyBorder="1">
      <alignment vertical="center"/>
    </xf>
    <xf numFmtId="176" fontId="69" fillId="13" borderId="81" xfId="0" applyNumberFormat="1" applyFont="1" applyFill="1" applyBorder="1">
      <alignment vertical="center"/>
    </xf>
    <xf numFmtId="176" fontId="69" fillId="13" borderId="57" xfId="0" applyNumberFormat="1" applyFont="1" applyFill="1" applyBorder="1">
      <alignment vertical="center"/>
    </xf>
    <xf numFmtId="176" fontId="69" fillId="13" borderId="44" xfId="0" applyNumberFormat="1" applyFont="1" applyFill="1" applyBorder="1">
      <alignment vertical="center"/>
    </xf>
    <xf numFmtId="176" fontId="69" fillId="13" borderId="45" xfId="0" applyNumberFormat="1" applyFont="1" applyFill="1" applyBorder="1">
      <alignment vertical="center"/>
    </xf>
    <xf numFmtId="176" fontId="69" fillId="13" borderId="46" xfId="0" applyNumberFormat="1" applyFont="1" applyFill="1" applyBorder="1">
      <alignment vertical="center"/>
    </xf>
    <xf numFmtId="176" fontId="69" fillId="13" borderId="104" xfId="0" applyNumberFormat="1" applyFont="1" applyFill="1" applyBorder="1">
      <alignment vertical="center"/>
    </xf>
    <xf numFmtId="176" fontId="69" fillId="0" borderId="83" xfId="0" applyNumberFormat="1" applyFont="1" applyBorder="1" applyProtection="1">
      <alignment vertical="center"/>
      <protection locked="0"/>
    </xf>
    <xf numFmtId="176" fontId="69" fillId="0" borderId="45" xfId="0" applyNumberFormat="1" applyFont="1" applyBorder="1" applyProtection="1">
      <alignment vertical="center"/>
      <protection locked="0"/>
    </xf>
    <xf numFmtId="176" fontId="69" fillId="0" borderId="46" xfId="0" applyNumberFormat="1" applyFont="1" applyBorder="1" applyProtection="1">
      <alignment vertical="center"/>
      <protection locked="0"/>
    </xf>
    <xf numFmtId="176" fontId="69" fillId="0" borderId="104" xfId="0" applyNumberFormat="1" applyFont="1" applyBorder="1">
      <alignment vertical="center"/>
    </xf>
    <xf numFmtId="176" fontId="69" fillId="13" borderId="83" xfId="0" applyNumberFormat="1" applyFont="1" applyFill="1" applyBorder="1">
      <alignment vertical="center"/>
    </xf>
    <xf numFmtId="176" fontId="69" fillId="13" borderId="24" xfId="0" applyNumberFormat="1" applyFont="1" applyFill="1" applyBorder="1">
      <alignment vertical="center"/>
    </xf>
    <xf numFmtId="176" fontId="69" fillId="13" borderId="70" xfId="0" applyNumberFormat="1" applyFont="1" applyFill="1" applyBorder="1">
      <alignment vertical="center"/>
    </xf>
    <xf numFmtId="176" fontId="69" fillId="13" borderId="105" xfId="0" applyNumberFormat="1" applyFont="1" applyFill="1" applyBorder="1">
      <alignment vertical="center"/>
    </xf>
    <xf numFmtId="176" fontId="69" fillId="13" borderId="71" xfId="0" applyNumberFormat="1" applyFont="1" applyFill="1" applyBorder="1">
      <alignment vertical="center"/>
    </xf>
    <xf numFmtId="176" fontId="69" fillId="13" borderId="106" xfId="0" applyNumberFormat="1" applyFont="1" applyFill="1" applyBorder="1">
      <alignment vertical="center"/>
    </xf>
    <xf numFmtId="176" fontId="69" fillId="0" borderId="107" xfId="0" applyNumberFormat="1" applyFont="1" applyBorder="1" applyProtection="1">
      <alignment vertical="center"/>
      <protection locked="0"/>
    </xf>
    <xf numFmtId="176" fontId="69" fillId="0" borderId="105" xfId="0" applyNumberFormat="1" applyFont="1" applyBorder="1" applyProtection="1">
      <alignment vertical="center"/>
      <protection locked="0"/>
    </xf>
    <xf numFmtId="176" fontId="69" fillId="0" borderId="71" xfId="0" applyNumberFormat="1" applyFont="1" applyBorder="1" applyProtection="1">
      <alignment vertical="center"/>
      <protection locked="0"/>
    </xf>
    <xf numFmtId="176" fontId="69" fillId="0" borderId="106" xfId="0" applyNumberFormat="1" applyFont="1" applyBorder="1">
      <alignment vertical="center"/>
    </xf>
    <xf numFmtId="176" fontId="69" fillId="13" borderId="107" xfId="0" applyNumberFormat="1" applyFont="1" applyFill="1" applyBorder="1">
      <alignment vertical="center"/>
    </xf>
    <xf numFmtId="176" fontId="69" fillId="13" borderId="16" xfId="0" applyNumberFormat="1" applyFont="1" applyFill="1" applyBorder="1">
      <alignment vertical="center"/>
    </xf>
    <xf numFmtId="176" fontId="69" fillId="0" borderId="99" xfId="0" applyNumberFormat="1" applyFont="1" applyBorder="1" applyProtection="1">
      <alignment vertical="center"/>
      <protection locked="0"/>
    </xf>
    <xf numFmtId="0" fontId="69" fillId="0" borderId="34" xfId="0" applyFont="1" applyBorder="1" applyProtection="1">
      <alignment vertical="center"/>
      <protection locked="0"/>
    </xf>
    <xf numFmtId="0" fontId="69" fillId="0" borderId="49" xfId="0" applyFont="1" applyBorder="1" applyProtection="1">
      <alignment vertical="center"/>
      <protection locked="0"/>
    </xf>
    <xf numFmtId="176" fontId="69" fillId="0" borderId="100" xfId="0" applyNumberFormat="1" applyFont="1" applyBorder="1" applyProtection="1">
      <alignment vertical="center"/>
      <protection locked="0"/>
    </xf>
    <xf numFmtId="0" fontId="39" fillId="6" borderId="0" xfId="0" applyFont="1" applyFill="1" applyAlignment="1"/>
    <xf numFmtId="0" fontId="11" fillId="0" borderId="33" xfId="0" applyFont="1" applyBorder="1">
      <alignment vertical="center"/>
    </xf>
    <xf numFmtId="0" fontId="11" fillId="0" borderId="34" xfId="0" applyFont="1" applyBorder="1">
      <alignment vertical="center"/>
    </xf>
    <xf numFmtId="0" fontId="11" fillId="0" borderId="48" xfId="0" applyFont="1" applyBorder="1">
      <alignment vertical="center"/>
    </xf>
    <xf numFmtId="0" fontId="11" fillId="0" borderId="49" xfId="0" applyFont="1" applyBorder="1">
      <alignment vertical="center"/>
    </xf>
    <xf numFmtId="0" fontId="12" fillId="0" borderId="5" xfId="0" applyFont="1" applyBorder="1">
      <alignment vertical="center"/>
    </xf>
    <xf numFmtId="0" fontId="68" fillId="3" borderId="112" xfId="9" applyFont="1" applyFill="1" applyBorder="1" applyAlignment="1">
      <alignment horizontal="center" vertical="center"/>
    </xf>
    <xf numFmtId="0" fontId="58" fillId="0" borderId="33" xfId="0" applyFont="1" applyBorder="1" applyAlignment="1">
      <alignment horizontal="center" vertical="center"/>
    </xf>
    <xf numFmtId="0" fontId="58" fillId="0" borderId="34" xfId="0" applyFont="1" applyBorder="1" applyAlignment="1">
      <alignment horizontal="center" vertical="center"/>
    </xf>
    <xf numFmtId="0" fontId="59" fillId="0" borderId="34" xfId="0" applyFont="1" applyBorder="1" applyAlignment="1">
      <alignment vertical="center" wrapText="1"/>
    </xf>
    <xf numFmtId="0" fontId="58" fillId="0" borderId="34" xfId="0" applyFont="1" applyBorder="1">
      <alignment vertical="center"/>
    </xf>
    <xf numFmtId="0" fontId="12" fillId="0" borderId="34" xfId="0" applyFont="1" applyBorder="1">
      <alignment vertical="center"/>
    </xf>
    <xf numFmtId="0" fontId="12" fillId="0" borderId="49" xfId="0" applyFont="1" applyBorder="1" applyProtection="1">
      <alignment vertical="center"/>
      <protection locked="0"/>
    </xf>
    <xf numFmtId="0" fontId="11" fillId="0" borderId="5" xfId="0" applyFont="1" applyBorder="1" applyProtection="1">
      <alignment vertical="center"/>
      <protection locked="0"/>
    </xf>
    <xf numFmtId="0" fontId="59" fillId="0" borderId="5" xfId="0" applyFont="1" applyBorder="1">
      <alignment vertical="center"/>
    </xf>
    <xf numFmtId="176" fontId="11" fillId="5" borderId="33" xfId="0" applyNumberFormat="1" applyFont="1" applyFill="1" applyBorder="1">
      <alignment vertical="center"/>
    </xf>
    <xf numFmtId="176" fontId="11" fillId="5" borderId="34" xfId="0" applyNumberFormat="1" applyFont="1" applyFill="1" applyBorder="1">
      <alignment vertical="center"/>
    </xf>
    <xf numFmtId="176" fontId="11" fillId="2" borderId="5" xfId="0" applyNumberFormat="1" applyFont="1" applyFill="1" applyBorder="1">
      <alignment vertical="center"/>
    </xf>
    <xf numFmtId="183" fontId="38" fillId="6" borderId="81" xfId="0" applyNumberFormat="1" applyFont="1" applyFill="1" applyBorder="1" applyAlignment="1">
      <alignment horizontal="right" vertical="center" indent="1"/>
    </xf>
    <xf numFmtId="183" fontId="38" fillId="6" borderId="42" xfId="0" applyNumberFormat="1" applyFont="1" applyFill="1" applyBorder="1" applyAlignment="1">
      <alignment horizontal="right" vertical="center" indent="1"/>
    </xf>
    <xf numFmtId="183" fontId="43" fillId="6" borderId="42" xfId="0" applyNumberFormat="1" applyFont="1" applyFill="1" applyBorder="1" applyAlignment="1" applyProtection="1">
      <alignment horizontal="left" vertical="center" indent="1"/>
      <protection locked="0"/>
    </xf>
    <xf numFmtId="183" fontId="43" fillId="6" borderId="82" xfId="0" applyNumberFormat="1" applyFont="1" applyFill="1" applyBorder="1" applyAlignment="1" applyProtection="1">
      <alignment horizontal="left" vertical="center" indent="1"/>
      <protection locked="0"/>
    </xf>
    <xf numFmtId="183" fontId="38" fillId="6" borderId="83" xfId="0" applyNumberFormat="1" applyFont="1" applyFill="1" applyBorder="1" applyAlignment="1">
      <alignment horizontal="right" vertical="center" indent="1"/>
    </xf>
    <xf numFmtId="183" fontId="38" fillId="6" borderId="45" xfId="0" applyNumberFormat="1" applyFont="1" applyFill="1" applyBorder="1" applyAlignment="1">
      <alignment horizontal="right" vertical="center" indent="1"/>
    </xf>
    <xf numFmtId="183" fontId="43" fillId="6" borderId="45" xfId="0" applyNumberFormat="1" applyFont="1" applyFill="1" applyBorder="1" applyAlignment="1" applyProtection="1">
      <alignment horizontal="left" vertical="center" indent="1"/>
      <protection locked="0"/>
    </xf>
    <xf numFmtId="183" fontId="43" fillId="6" borderId="84" xfId="0" applyNumberFormat="1" applyFont="1" applyFill="1" applyBorder="1" applyAlignment="1" applyProtection="1">
      <alignment horizontal="left" vertical="center" indent="1"/>
      <protection locked="0"/>
    </xf>
    <xf numFmtId="0" fontId="38" fillId="6" borderId="0" xfId="0" applyFont="1" applyFill="1" applyAlignment="1">
      <alignment horizontal="center" vertical="center" textRotation="255"/>
    </xf>
    <xf numFmtId="0" fontId="38" fillId="6" borderId="0" xfId="0" applyFont="1" applyFill="1" applyAlignment="1">
      <alignment horizontal="center"/>
    </xf>
    <xf numFmtId="183" fontId="51" fillId="12" borderId="42" xfId="0" applyNumberFormat="1" applyFont="1" applyFill="1" applyBorder="1" applyAlignment="1" applyProtection="1">
      <alignment horizontal="left" vertical="center" indent="1"/>
      <protection locked="0"/>
    </xf>
    <xf numFmtId="183" fontId="51" fillId="12" borderId="82" xfId="0" applyNumberFormat="1" applyFont="1" applyFill="1" applyBorder="1" applyAlignment="1" applyProtection="1">
      <alignment horizontal="left" vertical="center" indent="1"/>
      <protection locked="0"/>
    </xf>
    <xf numFmtId="0" fontId="41" fillId="6" borderId="74" xfId="0" applyFont="1" applyFill="1" applyBorder="1" applyAlignment="1">
      <alignment horizontal="center" vertical="center"/>
    </xf>
    <xf numFmtId="0" fontId="41" fillId="6" borderId="0" xfId="0" applyFont="1" applyFill="1" applyAlignment="1">
      <alignment horizontal="center" vertical="center"/>
    </xf>
    <xf numFmtId="0" fontId="41" fillId="6" borderId="78" xfId="0" applyFont="1" applyFill="1" applyBorder="1" applyAlignment="1">
      <alignment horizontal="center" vertical="center"/>
    </xf>
    <xf numFmtId="183" fontId="38" fillId="6" borderId="79" xfId="0" applyNumberFormat="1" applyFont="1" applyFill="1" applyBorder="1" applyAlignment="1">
      <alignment horizontal="right" vertical="center" indent="1"/>
    </xf>
    <xf numFmtId="183" fontId="38" fillId="6" borderId="39" xfId="0" applyNumberFormat="1" applyFont="1" applyFill="1" applyBorder="1" applyAlignment="1">
      <alignment horizontal="right" vertical="center" indent="1"/>
    </xf>
    <xf numFmtId="184" fontId="43" fillId="6" borderId="39" xfId="0" applyNumberFormat="1" applyFont="1" applyFill="1" applyBorder="1" applyAlignment="1">
      <alignment horizontal="left" vertical="center" indent="1"/>
    </xf>
    <xf numFmtId="184" fontId="43" fillId="6" borderId="80" xfId="0" applyNumberFormat="1" applyFont="1" applyFill="1" applyBorder="1" applyAlignment="1">
      <alignment horizontal="left" vertical="center" indent="1"/>
    </xf>
    <xf numFmtId="0" fontId="43" fillId="6" borderId="42" xfId="0" applyFont="1" applyFill="1" applyBorder="1" applyAlignment="1" applyProtection="1">
      <alignment horizontal="left" vertical="center" indent="1"/>
      <protection locked="0"/>
    </xf>
    <xf numFmtId="0" fontId="43" fillId="6" borderId="82" xfId="0" applyFont="1" applyFill="1" applyBorder="1" applyAlignment="1" applyProtection="1">
      <alignment horizontal="left" vertical="center" indent="1"/>
      <protection locked="0"/>
    </xf>
    <xf numFmtId="0" fontId="7" fillId="9" borderId="9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56" fillId="8" borderId="10" xfId="1" applyFont="1" applyFill="1" applyBorder="1" applyAlignment="1">
      <alignment horizontal="center" vertical="center"/>
    </xf>
    <xf numFmtId="0" fontId="56" fillId="8" borderId="11" xfId="1" applyFont="1" applyFill="1" applyBorder="1" applyAlignment="1">
      <alignment horizontal="center" vertical="center"/>
    </xf>
    <xf numFmtId="0" fontId="56" fillId="8" borderId="9" xfId="1" applyFont="1" applyFill="1" applyBorder="1" applyAlignment="1">
      <alignment horizontal="center" vertical="center"/>
    </xf>
    <xf numFmtId="0" fontId="56" fillId="8" borderId="12" xfId="1" applyFont="1" applyFill="1" applyBorder="1" applyAlignment="1">
      <alignment horizontal="center" vertical="center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6" fillId="0" borderId="18" xfId="0" applyFont="1" applyBorder="1" applyAlignment="1" applyProtection="1">
      <alignment horizontal="center" vertical="center"/>
      <protection locked="0"/>
    </xf>
    <xf numFmtId="176" fontId="56" fillId="8" borderId="6" xfId="2" applyNumberFormat="1" applyFont="1" applyFill="1" applyBorder="1" applyAlignment="1">
      <alignment horizontal="center" vertical="center"/>
    </xf>
    <xf numFmtId="179" fontId="57" fillId="8" borderId="4" xfId="5" applyNumberFormat="1" applyFont="1" applyFill="1" applyBorder="1" applyAlignment="1">
      <alignment horizontal="center" vertical="center" wrapText="1"/>
    </xf>
    <xf numFmtId="179" fontId="57" fillId="8" borderId="6" xfId="5" applyNumberFormat="1" applyFont="1" applyFill="1" applyBorder="1" applyAlignment="1">
      <alignment horizontal="center" vertical="center" wrapText="1"/>
    </xf>
    <xf numFmtId="176" fontId="56" fillId="8" borderId="7" xfId="2" applyNumberFormat="1" applyFont="1" applyFill="1" applyBorder="1" applyAlignment="1">
      <alignment horizontal="center" vertical="center"/>
    </xf>
    <xf numFmtId="179" fontId="57" fillId="8" borderId="16" xfId="5" applyNumberFormat="1" applyFont="1" applyFill="1" applyBorder="1" applyAlignment="1">
      <alignment horizontal="center" vertical="center" wrapText="1"/>
    </xf>
    <xf numFmtId="179" fontId="57" fillId="8" borderId="7" xfId="5" applyNumberFormat="1" applyFont="1" applyFill="1" applyBorder="1" applyAlignment="1">
      <alignment horizontal="center" vertical="center" wrapText="1"/>
    </xf>
    <xf numFmtId="0" fontId="14" fillId="0" borderId="2" xfId="0" quotePrefix="1" applyFont="1" applyBorder="1" applyAlignment="1" applyProtection="1">
      <alignment horizontal="left" vertical="center" wrapText="1"/>
      <protection locked="0"/>
    </xf>
    <xf numFmtId="0" fontId="6" fillId="0" borderId="18" xfId="0" quotePrefix="1" applyFont="1" applyBorder="1" applyAlignment="1" applyProtection="1">
      <alignment horizontal="left" vertical="center" wrapText="1"/>
      <protection locked="0"/>
    </xf>
    <xf numFmtId="0" fontId="13" fillId="5" borderId="67" xfId="0" applyFont="1" applyFill="1" applyBorder="1" applyAlignment="1">
      <alignment horizontal="center" vertical="center"/>
    </xf>
    <xf numFmtId="0" fontId="13" fillId="5" borderId="68" xfId="0" applyFont="1" applyFill="1" applyBorder="1" applyAlignment="1">
      <alignment horizontal="center" vertical="center"/>
    </xf>
    <xf numFmtId="0" fontId="13" fillId="5" borderId="69" xfId="0" applyFont="1" applyFill="1" applyBorder="1" applyAlignment="1">
      <alignment horizontal="center" vertical="center"/>
    </xf>
    <xf numFmtId="0" fontId="10" fillId="9" borderId="50" xfId="0" applyFont="1" applyFill="1" applyBorder="1" applyAlignment="1">
      <alignment horizontal="center" vertical="center"/>
    </xf>
    <xf numFmtId="0" fontId="10" fillId="9" borderId="51" xfId="0" applyFont="1" applyFill="1" applyBorder="1" applyAlignment="1">
      <alignment horizontal="center" vertical="center"/>
    </xf>
    <xf numFmtId="0" fontId="10" fillId="9" borderId="52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0" fontId="10" fillId="9" borderId="54" xfId="0" applyFont="1" applyFill="1" applyBorder="1" applyAlignment="1">
      <alignment horizontal="center" vertical="center"/>
    </xf>
    <xf numFmtId="0" fontId="10" fillId="9" borderId="98" xfId="0" applyFont="1" applyFill="1" applyBorder="1" applyAlignment="1">
      <alignment horizontal="center" vertical="center"/>
    </xf>
    <xf numFmtId="0" fontId="53" fillId="2" borderId="94" xfId="0" applyFont="1" applyFill="1" applyBorder="1" applyAlignment="1">
      <alignment horizontal="center" vertical="center"/>
    </xf>
    <xf numFmtId="0" fontId="54" fillId="2" borderId="95" xfId="0" applyFont="1" applyFill="1" applyBorder="1" applyAlignment="1">
      <alignment horizontal="center" vertical="center"/>
    </xf>
    <xf numFmtId="0" fontId="54" fillId="2" borderId="96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32" fillId="0" borderId="87" xfId="0" applyFont="1" applyBorder="1" applyAlignment="1">
      <alignment horizontal="center" vertical="center"/>
    </xf>
    <xf numFmtId="0" fontId="32" fillId="0" borderId="89" xfId="0" applyFont="1" applyBorder="1" applyAlignment="1">
      <alignment horizontal="center" vertical="center"/>
    </xf>
    <xf numFmtId="0" fontId="32" fillId="0" borderId="90" xfId="0" applyFont="1" applyBorder="1" applyAlignment="1">
      <alignment horizontal="center" vertical="center"/>
    </xf>
    <xf numFmtId="0" fontId="32" fillId="0" borderId="91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184" fontId="37" fillId="0" borderId="20" xfId="0" applyNumberFormat="1" applyFont="1" applyBorder="1" applyAlignment="1">
      <alignment horizontal="right" vertical="center"/>
    </xf>
    <xf numFmtId="184" fontId="37" fillId="0" borderId="21" xfId="0" applyNumberFormat="1" applyFont="1" applyBorder="1" applyAlignment="1">
      <alignment horizontal="right" vertical="center"/>
    </xf>
    <xf numFmtId="0" fontId="32" fillId="0" borderId="29" xfId="0" quotePrefix="1" applyFont="1" applyBorder="1" applyAlignment="1">
      <alignment horizontal="center" vertical="center"/>
    </xf>
    <xf numFmtId="0" fontId="32" fillId="0" borderId="30" xfId="0" quotePrefix="1" applyFont="1" applyBorder="1" applyAlignment="1">
      <alignment horizontal="center" vertical="center"/>
    </xf>
    <xf numFmtId="0" fontId="32" fillId="0" borderId="31" xfId="0" quotePrefix="1" applyFont="1" applyBorder="1" applyAlignment="1">
      <alignment horizontal="center" vertical="center"/>
    </xf>
    <xf numFmtId="0" fontId="10" fillId="9" borderId="113" xfId="0" applyFont="1" applyFill="1" applyBorder="1" applyAlignment="1">
      <alignment horizontal="center" vertical="center"/>
    </xf>
  </cellXfs>
  <cellStyles count="10">
    <cellStyle name="Followed Hyperlink" xfId="6" xr:uid="{00000000-0005-0000-0000-000000000000}"/>
    <cellStyle name="백분율" xfId="8" builtinId="5"/>
    <cellStyle name="백분율 2" xfId="2" xr:uid="{00000000-0005-0000-0000-000002000000}"/>
    <cellStyle name="쉼표 [0]" xfId="7" builtinId="6"/>
    <cellStyle name="쉼표 [0] 2 2 2 2" xfId="3" xr:uid="{00000000-0005-0000-0000-000004000000}"/>
    <cellStyle name="쉼표 [0] 2 2 2 2 2 2" xfId="4" xr:uid="{00000000-0005-0000-0000-000005000000}"/>
    <cellStyle name="쉼표 [0] 2 2 2 2 2 2 2" xfId="5" xr:uid="{00000000-0005-0000-0000-000006000000}"/>
    <cellStyle name="표준" xfId="0" builtinId="0"/>
    <cellStyle name="표준 2" xfId="1" xr:uid="{00000000-0005-0000-0000-000008000000}"/>
    <cellStyle name="표준 3" xfId="9" xr:uid="{4D9CFBA4-A660-416F-AE2E-363D1CF21157}"/>
  </cellStyles>
  <dxfs count="20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나눔고딕"/>
        <family val="3"/>
        <charset val="129"/>
        <scheme val="none"/>
      </font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나눔고딕"/>
        <family val="3"/>
        <charset val="129"/>
        <scheme val="none"/>
      </font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나눔고딕"/>
        <family val="3"/>
        <charset val="129"/>
        <scheme val="none"/>
      </font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나눔고딕"/>
        <family val="3"/>
        <charset val="129"/>
        <scheme val="none"/>
      </font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나눔고딕"/>
        <family val="3"/>
        <charset val="129"/>
        <scheme val="none"/>
      </font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나눔고딕"/>
        <family val="3"/>
        <charset val="129"/>
        <scheme val="none"/>
      </font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나눔고딕"/>
        <family val="3"/>
        <charset val="129"/>
        <scheme val="none"/>
      </font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나눔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나눔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나눔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나눔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나눔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나눔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나눔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border>
        <top style="hair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나눔고딕"/>
        <family val="3"/>
        <charset val="129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나눔고딕"/>
        <family val="3"/>
        <charset val="129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theme="7" tint="0.79998168889431442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FFCC"/>
      <color rgb="FFFFCC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22" fmlaLink="$I$1" max="30000" min="1" page="10" val="1355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Spin" dx="22" fmlaLink="$I$1" max="30000" min="1" page="10" val="1355"/>
</file>

<file path=xl/ctrlProps/ctrlProp4.xml><?xml version="1.0" encoding="utf-8"?>
<formControlPr xmlns="http://schemas.microsoft.com/office/spreadsheetml/2009/9/main" objectType="Spin" dx="22" fmlaLink="$I$1" max="30000" min="1" page="10" val="1355"/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533400</xdr:colOff>
          <xdr:row>14</xdr:row>
          <xdr:rowOff>0</xdr:rowOff>
        </xdr:from>
        <xdr:to>
          <xdr:col>8</xdr:col>
          <xdr:colOff>695325</xdr:colOff>
          <xdr:row>14</xdr:row>
          <xdr:rowOff>361950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66675</xdr:colOff>
          <xdr:row>13</xdr:row>
          <xdr:rowOff>114300</xdr:rowOff>
        </xdr:from>
        <xdr:to>
          <xdr:col>9</xdr:col>
          <xdr:colOff>0</xdr:colOff>
          <xdr:row>13</xdr:row>
          <xdr:rowOff>495300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ko-KR" altLang="en-US" sz="1100" b="1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전일누계 복사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533400</xdr:colOff>
          <xdr:row>14</xdr:row>
          <xdr:rowOff>0</xdr:rowOff>
        </xdr:from>
        <xdr:to>
          <xdr:col>8</xdr:col>
          <xdr:colOff>695325</xdr:colOff>
          <xdr:row>14</xdr:row>
          <xdr:rowOff>361950</xdr:rowOff>
        </xdr:to>
        <xdr:sp macro="" textlink="">
          <xdr:nvSpPr>
            <xdr:cNvPr id="1027" name="Spinne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533400</xdr:colOff>
          <xdr:row>14</xdr:row>
          <xdr:rowOff>0</xdr:rowOff>
        </xdr:from>
        <xdr:to>
          <xdr:col>8</xdr:col>
          <xdr:colOff>695325</xdr:colOff>
          <xdr:row>14</xdr:row>
          <xdr:rowOff>361950</xdr:rowOff>
        </xdr:to>
        <xdr:sp macro="" textlink="">
          <xdr:nvSpPr>
            <xdr:cNvPr id="1029" name="Spinner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180975</xdr:colOff>
      <xdr:row>12</xdr:row>
      <xdr:rowOff>19051</xdr:rowOff>
    </xdr:from>
    <xdr:to>
      <xdr:col>8</xdr:col>
      <xdr:colOff>1657350</xdr:colOff>
      <xdr:row>16</xdr:row>
      <xdr:rowOff>57151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105400" y="3209926"/>
          <a:ext cx="5267325" cy="800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2000" b="1"/>
            <a:t>주요작업사항 자세히 기재 바랍니다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&gt;&gt;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어떤배관을 양중했는지 등 상세하게</a:t>
          </a:r>
          <a:endParaRPr lang="ko-KR" altLang="en-US" sz="20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104774</xdr:colOff>
      <xdr:row>42</xdr:row>
      <xdr:rowOff>38101</xdr:rowOff>
    </xdr:from>
    <xdr:to>
      <xdr:col>17</xdr:col>
      <xdr:colOff>676275</xdr:colOff>
      <xdr:row>47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1506199" y="8162926"/>
          <a:ext cx="6372226" cy="92392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1. SCOPE</a:t>
          </a:r>
          <a:r>
            <a:rPr lang="ko-KR" altLang="en-US" sz="1100" b="1"/>
            <a:t>는 설비가 아닌 </a:t>
          </a:r>
          <a:r>
            <a:rPr lang="en-US" altLang="ko-KR" sz="1100" b="1"/>
            <a:t>F02</a:t>
          </a:r>
          <a:r>
            <a:rPr lang="en-US" altLang="ko-KR" sz="1100" b="1" baseline="0"/>
            <a:t> . F03. F04 </a:t>
          </a:r>
          <a:r>
            <a:rPr lang="ko-KR" altLang="en-US" sz="1100" b="1" baseline="0"/>
            <a:t>와 층으로 나누어 작성해주세요</a:t>
          </a:r>
          <a:endParaRPr lang="en-US" altLang="ko-KR" sz="1100" b="1"/>
        </a:p>
        <a:p>
          <a:r>
            <a:rPr lang="en-US" altLang="ko-KR" sz="1100" b="1"/>
            <a:t>2. WBS</a:t>
          </a:r>
          <a:r>
            <a:rPr lang="en-US" altLang="ko-KR" sz="1100" b="1" baseline="0"/>
            <a:t> </a:t>
          </a:r>
          <a:r>
            <a:rPr lang="ko-KR" altLang="en-US" sz="1100" b="1" baseline="0"/>
            <a:t>작성을 위해 배관을 층별로 나누어 작성해주세요</a:t>
          </a:r>
          <a:endParaRPr lang="ko-KR" altLang="en-US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7</xdr:col>
      <xdr:colOff>0</xdr:colOff>
      <xdr:row>8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1727" y="2182091"/>
          <a:ext cx="8104909" cy="5455227"/>
        </a:xfrm>
        <a:prstGeom prst="rect">
          <a:avLst/>
        </a:prstGeom>
      </xdr:spPr>
    </xdr:pic>
    <xdr:clientData/>
  </xdr:twoCellAnchor>
  <xdr:twoCellAnchor editAs="oneCell">
    <xdr:from>
      <xdr:col>6</xdr:col>
      <xdr:colOff>1350817</xdr:colOff>
      <xdr:row>5</xdr:row>
      <xdr:rowOff>0</xdr:rowOff>
    </xdr:from>
    <xdr:to>
      <xdr:col>12</xdr:col>
      <xdr:colOff>1350817</xdr:colOff>
      <xdr:row>8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416635" y="2182091"/>
          <a:ext cx="8104909" cy="5455227"/>
        </a:xfrm>
        <a:prstGeom prst="rect">
          <a:avLst/>
        </a:prstGeom>
      </xdr:spPr>
    </xdr:pic>
    <xdr:clientData/>
  </xdr:twoCellAnchor>
  <xdr:twoCellAnchor editAs="oneCell">
    <xdr:from>
      <xdr:col>0</xdr:col>
      <xdr:colOff>302201</xdr:colOff>
      <xdr:row>11</xdr:row>
      <xdr:rowOff>-1</xdr:rowOff>
    </xdr:from>
    <xdr:to>
      <xdr:col>6</xdr:col>
      <xdr:colOff>1350817</xdr:colOff>
      <xdr:row>13</xdr:row>
      <xdr:rowOff>1808883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02201" y="8641772"/>
          <a:ext cx="8114434" cy="545522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13</xdr:col>
      <xdr:colOff>0</xdr:colOff>
      <xdr:row>14</xdr:row>
      <xdr:rowOff>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416636" y="8641773"/>
          <a:ext cx="8104909" cy="54552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SK%20Hynix%20M15%20Ph-3%20Project\20%20&#44277;&#51221;\00_Teams_&#51089;&#50629;&#51068;&#48372;_Back-up\02_&#54861;&#51060;&#50689;%20&#54532;&#47196;\%23%23&#51089;&#50629;&#51068;&#48372;\PH4%20&#51089;&#50629;&#51068;&#48372;%20&#49888;&#44508;%20250915\20250916_&#51089;&#50629;&#51068;&#48372;_&#50577;&#49885;_R0.xlsx" TargetMode="External"/><Relationship Id="rId1" Type="http://schemas.openxmlformats.org/officeDocument/2006/relationships/externalLinkPath" Target="file:///Y:\SK%20Hynix%20M15%20Ph-3%20Project\20%20&#44277;&#51221;\00_Teams_&#51089;&#50629;&#51068;&#48372;_Back-up\02_&#54861;&#51060;&#50689;%20&#54532;&#47196;\%23%23&#51089;&#50629;&#51068;&#48372;\PH4%20&#51089;&#50629;&#51068;&#48372;%20&#49888;&#44508;%20250915\20250916_&#51089;&#50629;&#51068;&#48372;_&#50577;&#49885;_R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1.출력인원 현황"/>
      <sheetName val="2.직종별 인원현황"/>
      <sheetName val="3.장비현황"/>
      <sheetName val="4.물량"/>
      <sheetName val="5.사진대지"/>
      <sheetName val="6.출력일보"/>
      <sheetName val="작성 방법"/>
      <sheetName val="WBS"/>
      <sheetName val="Code"/>
    </sheetNames>
    <sheetDataSet>
      <sheetData sheetId="0">
        <row r="15">
          <cell r="E15">
            <v>45869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D10A76-E5F0-4DBE-A2BE-840176A94FEA}" name="표2" displayName="표2" ref="A3:N166" totalsRowShown="0" headerRowDxfId="18" dataDxfId="16" headerRowBorderDxfId="17" tableBorderDxfId="15" totalsRowBorderDxfId="14">
  <tableColumns count="14">
    <tableColumn id="1" xr3:uid="{EC74114D-E7D3-46E9-A251-5DA6686879C7}" name="NO" dataDxfId="13"/>
    <tableColumn id="2" xr3:uid="{242F998F-DE9D-440C-A1DC-496D19967A7E}" name="작업자 성함" dataDxfId="12"/>
    <tableColumn id="3" xr3:uid="{FFDC7904-8EBB-4AAC-AEC9-29592E476C79}" name="직종구분" dataDxfId="11"/>
    <tableColumn id="14" xr3:uid="{E6306B7F-ECDF-41A5-BB7F-A93ADA59E784}" name="중공종명 (WBS 중공종)" dataDxfId="10"/>
    <tableColumn id="12" xr3:uid="{43FF686D-A8B5-4F30-A49E-A47A0C449BF7}" name="소공종명 (WBS 소공종)2" dataDxfId="9"/>
    <tableColumn id="13" xr3:uid="{CE5D5612-326C-48DD-9844-2EE2E71C8AA5}" name="세공종명 (WBS 세공종)" dataDxfId="8"/>
    <tableColumn id="4" xr3:uid="{8C3C19FF-0921-43F1-9E58-58B3A3B6F1F4}" name="작업 위치_코드" dataDxfId="7"/>
    <tableColumn id="5" xr3:uid="{84498FF8-76F9-4044-9D8E-1EB1BC691A4A}" name="금일 작업 사항" dataDxfId="6"/>
    <tableColumn id="6" xr3:uid="{17E88001-0374-4AA2-A4AD-456A2D8CC25A}" name="조출" dataDxfId="5"/>
    <tableColumn id="7" xr3:uid="{9B0DBF06-A67F-438C-9966-2677623351C3}" name="주간" dataDxfId="4"/>
    <tableColumn id="8" xr3:uid="{3FC4D056-AE38-4F76-A973-0DCC8D52F5BD}" name="연장" dataDxfId="3"/>
    <tableColumn id="9" xr3:uid="{F47915F5-24AE-402C-AB82-F4F0CF175049}" name="야간" dataDxfId="2"/>
    <tableColumn id="10" xr3:uid="{E02EB1A5-022D-4968-B1CB-88022D0BEEC7}" name="철야" dataDxfId="1"/>
    <tableColumn id="11" xr3:uid="{D415D86C-E0A4-46EF-9E28-F2EA22A02E8B}" name="비고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33"/>
  <sheetViews>
    <sheetView zoomScale="85" zoomScaleNormal="85" workbookViewId="0">
      <selection activeCell="J28" sqref="J28"/>
    </sheetView>
  </sheetViews>
  <sheetFormatPr defaultColWidth="9" defaultRowHeight="15"/>
  <cols>
    <col min="1" max="1" width="9.125" style="73" customWidth="1"/>
    <col min="2" max="2" width="9.25" style="73" customWidth="1"/>
    <col min="3" max="3" width="9.125" style="73" customWidth="1"/>
    <col min="4" max="4" width="3.875" style="73" customWidth="1"/>
    <col min="5" max="10" width="9.125" style="73" customWidth="1"/>
    <col min="11" max="32" width="2" style="73" customWidth="1"/>
    <col min="33" max="33" width="47.875" style="73" bestFit="1" customWidth="1"/>
    <col min="34" max="16384" width="9" style="73"/>
  </cols>
  <sheetData>
    <row r="1" spans="1:32" ht="17.25" customHeight="1" thickTop="1">
      <c r="A1" s="82"/>
      <c r="B1" s="83"/>
      <c r="C1" s="83"/>
      <c r="D1" s="83"/>
      <c r="E1" s="83"/>
      <c r="F1" s="83"/>
      <c r="G1" s="83"/>
      <c r="H1" s="84">
        <v>44562</v>
      </c>
      <c r="I1" s="85">
        <v>1355</v>
      </c>
      <c r="J1" s="86"/>
    </row>
    <row r="2" spans="1:32" ht="17.25" customHeight="1">
      <c r="A2" s="87"/>
      <c r="B2" s="88"/>
      <c r="C2" s="88"/>
      <c r="D2" s="88"/>
      <c r="E2" s="88"/>
      <c r="F2" s="88"/>
      <c r="G2" s="88"/>
      <c r="H2" s="88"/>
      <c r="I2" s="88"/>
      <c r="J2" s="89"/>
    </row>
    <row r="3" spans="1:32" ht="17.25" thickBot="1">
      <c r="A3" s="87"/>
      <c r="B3" s="88"/>
      <c r="C3" s="88"/>
      <c r="D3" s="88"/>
      <c r="E3" s="88"/>
      <c r="F3" s="88"/>
      <c r="G3" s="88"/>
      <c r="H3" s="88"/>
      <c r="I3" s="88"/>
      <c r="J3" s="89"/>
    </row>
    <row r="4" spans="1:32" ht="17.25" customHeight="1" thickTop="1">
      <c r="A4" s="87"/>
      <c r="B4" s="306" t="s">
        <v>636</v>
      </c>
      <c r="C4" s="306"/>
      <c r="D4" s="306"/>
      <c r="E4" s="306"/>
      <c r="F4" s="306"/>
      <c r="G4" s="306"/>
      <c r="H4" s="306"/>
      <c r="I4" s="306"/>
      <c r="J4" s="89"/>
    </row>
    <row r="5" spans="1:32" ht="17.25" customHeight="1">
      <c r="A5" s="87"/>
      <c r="B5" s="307"/>
      <c r="C5" s="307"/>
      <c r="D5" s="307"/>
      <c r="E5" s="307"/>
      <c r="F5" s="307"/>
      <c r="G5" s="307"/>
      <c r="H5" s="307"/>
      <c r="I5" s="307"/>
      <c r="J5" s="89"/>
    </row>
    <row r="6" spans="1:32" ht="17.25" customHeight="1">
      <c r="A6" s="87"/>
      <c r="B6" s="307"/>
      <c r="C6" s="307"/>
      <c r="D6" s="307"/>
      <c r="E6" s="307"/>
      <c r="F6" s="307"/>
      <c r="G6" s="307"/>
      <c r="H6" s="307"/>
      <c r="I6" s="307"/>
      <c r="J6" s="89"/>
    </row>
    <row r="7" spans="1:32" ht="17.25" customHeight="1">
      <c r="A7" s="87"/>
      <c r="B7" s="307"/>
      <c r="C7" s="307"/>
      <c r="D7" s="307"/>
      <c r="E7" s="307"/>
      <c r="F7" s="307"/>
      <c r="G7" s="307"/>
      <c r="H7" s="307"/>
      <c r="I7" s="307"/>
      <c r="J7" s="89"/>
    </row>
    <row r="8" spans="1:32" ht="33.75" thickBot="1">
      <c r="A8" s="87"/>
      <c r="B8" s="308"/>
      <c r="C8" s="308"/>
      <c r="D8" s="308"/>
      <c r="E8" s="308"/>
      <c r="F8" s="308"/>
      <c r="G8" s="308"/>
      <c r="H8" s="308"/>
      <c r="I8" s="308"/>
      <c r="J8" s="89"/>
      <c r="L8" s="74"/>
      <c r="AB8" s="75"/>
      <c r="AC8" s="75"/>
      <c r="AD8" s="75"/>
      <c r="AE8" s="75"/>
      <c r="AF8" s="75"/>
    </row>
    <row r="9" spans="1:32" ht="17.25" customHeight="1" thickTop="1">
      <c r="A9" s="87"/>
      <c r="B9" s="88"/>
      <c r="C9" s="88"/>
      <c r="D9" s="88"/>
      <c r="E9" s="88"/>
      <c r="F9" s="88"/>
      <c r="G9" s="88"/>
      <c r="H9" s="88"/>
      <c r="I9" s="88"/>
      <c r="J9" s="89"/>
      <c r="AB9" s="75"/>
      <c r="AC9" s="75"/>
      <c r="AD9" s="75"/>
      <c r="AE9" s="75"/>
      <c r="AF9" s="75"/>
    </row>
    <row r="10" spans="1:32" ht="17.25" customHeight="1">
      <c r="A10" s="87"/>
      <c r="B10" s="88"/>
      <c r="C10" s="88"/>
      <c r="D10" s="88"/>
      <c r="E10" s="88"/>
      <c r="F10" s="88"/>
      <c r="G10" s="88"/>
      <c r="H10" s="88"/>
      <c r="I10" s="88"/>
      <c r="J10" s="89"/>
    </row>
    <row r="11" spans="1:32" ht="17.25" customHeight="1">
      <c r="A11" s="87"/>
      <c r="B11" s="88"/>
      <c r="C11" s="88"/>
      <c r="D11" s="88"/>
      <c r="E11" s="88"/>
      <c r="F11" s="88"/>
      <c r="G11" s="88"/>
      <c r="H11" s="88"/>
      <c r="I11" s="88"/>
      <c r="J11" s="89"/>
    </row>
    <row r="12" spans="1:32" ht="17.25" customHeight="1">
      <c r="A12" s="87"/>
      <c r="B12" s="88"/>
      <c r="C12" s="88"/>
      <c r="D12" s="88"/>
      <c r="E12" s="88"/>
      <c r="F12" s="88"/>
      <c r="G12" s="88"/>
      <c r="H12" s="90"/>
      <c r="I12" s="88"/>
      <c r="J12" s="89"/>
    </row>
    <row r="13" spans="1:32" ht="17.25" customHeight="1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32" ht="44.25" customHeight="1">
      <c r="A14" s="87"/>
      <c r="B14" s="88"/>
      <c r="C14" s="88"/>
      <c r="D14" s="88"/>
      <c r="E14" s="88"/>
      <c r="F14" s="88"/>
      <c r="G14" s="88"/>
      <c r="H14" s="88"/>
      <c r="I14" s="88"/>
      <c r="J14" s="89"/>
    </row>
    <row r="15" spans="1:32" ht="21.75" customHeight="1">
      <c r="A15" s="91"/>
      <c r="B15" s="309" t="s">
        <v>637</v>
      </c>
      <c r="C15" s="310"/>
      <c r="D15" s="310"/>
      <c r="E15" s="311">
        <f>H1+I1</f>
        <v>45917</v>
      </c>
      <c r="F15" s="311"/>
      <c r="G15" s="311"/>
      <c r="H15" s="311"/>
      <c r="I15" s="312"/>
      <c r="J15" s="92"/>
      <c r="X15" s="75"/>
    </row>
    <row r="16" spans="1:32" ht="21.75" customHeight="1">
      <c r="A16" s="93"/>
      <c r="B16" s="294" t="s">
        <v>638</v>
      </c>
      <c r="C16" s="295"/>
      <c r="D16" s="295"/>
      <c r="E16" s="313" t="s">
        <v>1965</v>
      </c>
      <c r="F16" s="313"/>
      <c r="G16" s="313"/>
      <c r="H16" s="313"/>
      <c r="I16" s="314"/>
      <c r="J16" s="94"/>
    </row>
    <row r="17" spans="1:30" ht="21.75" customHeight="1">
      <c r="A17" s="93"/>
      <c r="B17" s="294" t="s">
        <v>639</v>
      </c>
      <c r="C17" s="295"/>
      <c r="D17" s="295"/>
      <c r="E17" s="304" t="s">
        <v>1950</v>
      </c>
      <c r="F17" s="304"/>
      <c r="G17" s="304"/>
      <c r="H17" s="304"/>
      <c r="I17" s="305"/>
      <c r="J17" s="94"/>
    </row>
    <row r="18" spans="1:30" ht="21.75" customHeight="1">
      <c r="A18" s="93"/>
      <c r="B18" s="294" t="s">
        <v>640</v>
      </c>
      <c r="C18" s="295"/>
      <c r="D18" s="295"/>
      <c r="E18" s="296" t="s">
        <v>23</v>
      </c>
      <c r="F18" s="296"/>
      <c r="G18" s="296"/>
      <c r="H18" s="296"/>
      <c r="I18" s="297"/>
      <c r="J18" s="94"/>
    </row>
    <row r="19" spans="1:30" ht="21.75" customHeight="1">
      <c r="A19" s="87"/>
      <c r="B19" s="298" t="s">
        <v>641</v>
      </c>
      <c r="C19" s="299"/>
      <c r="D19" s="299"/>
      <c r="E19" s="300" t="s">
        <v>1966</v>
      </c>
      <c r="F19" s="300"/>
      <c r="G19" s="300"/>
      <c r="H19" s="300"/>
      <c r="I19" s="301"/>
      <c r="J19" s="89"/>
    </row>
    <row r="20" spans="1:30" ht="29.25" customHeight="1">
      <c r="A20" s="87"/>
      <c r="B20" s="88"/>
      <c r="C20" s="88"/>
      <c r="D20" s="88"/>
      <c r="E20" s="276" t="s">
        <v>1967</v>
      </c>
      <c r="F20" s="88"/>
      <c r="G20" s="88"/>
      <c r="H20" s="88"/>
      <c r="I20" s="88"/>
      <c r="J20" s="89"/>
    </row>
    <row r="21" spans="1:30" ht="29.25" customHeight="1">
      <c r="A21" s="87"/>
      <c r="B21" s="88"/>
      <c r="C21" s="88"/>
      <c r="D21" s="88"/>
      <c r="E21" s="88"/>
      <c r="F21" s="88"/>
      <c r="G21" s="88"/>
      <c r="H21" s="88"/>
      <c r="I21" s="88"/>
      <c r="J21" s="89"/>
    </row>
    <row r="22" spans="1:30" ht="29.25" customHeight="1">
      <c r="A22" s="87"/>
      <c r="B22" s="88"/>
      <c r="C22" s="88"/>
      <c r="D22" s="302"/>
      <c r="E22" s="303"/>
      <c r="F22" s="303"/>
      <c r="G22" s="303"/>
      <c r="H22" s="303"/>
      <c r="I22" s="303"/>
      <c r="J22" s="89"/>
    </row>
    <row r="23" spans="1:30" ht="29.25" customHeight="1">
      <c r="A23" s="87"/>
      <c r="B23" s="88"/>
      <c r="C23" s="88"/>
      <c r="D23" s="302"/>
      <c r="E23" s="303"/>
      <c r="F23" s="303"/>
      <c r="G23" s="303"/>
      <c r="H23" s="303"/>
      <c r="I23" s="303"/>
      <c r="J23" s="89"/>
    </row>
    <row r="24" spans="1:30" ht="29.25" customHeight="1">
      <c r="A24" s="87"/>
      <c r="B24" s="88"/>
      <c r="C24" s="88"/>
      <c r="D24" s="88"/>
      <c r="E24" s="88"/>
      <c r="F24" s="88"/>
      <c r="G24" s="88"/>
      <c r="H24" s="88"/>
      <c r="I24" s="88"/>
      <c r="J24" s="89"/>
      <c r="AD24" s="75"/>
    </row>
    <row r="25" spans="1:30" ht="19.5">
      <c r="A25" s="87"/>
      <c r="B25" s="88"/>
      <c r="C25" s="95" t="s">
        <v>642</v>
      </c>
      <c r="D25" s="95"/>
      <c r="E25" s="95"/>
      <c r="F25" s="95" t="s">
        <v>643</v>
      </c>
      <c r="G25" s="88"/>
      <c r="H25" s="88"/>
      <c r="I25" s="88"/>
      <c r="J25" s="89"/>
    </row>
    <row r="26" spans="1:30" ht="19.5">
      <c r="A26" s="87"/>
      <c r="B26" s="88"/>
      <c r="C26" s="88"/>
      <c r="D26" s="95"/>
      <c r="E26" s="95"/>
      <c r="F26" s="95" t="s">
        <v>644</v>
      </c>
      <c r="G26" s="88"/>
      <c r="H26" s="88"/>
      <c r="I26" s="88"/>
      <c r="J26" s="89"/>
    </row>
    <row r="27" spans="1:30" ht="19.5">
      <c r="A27" s="87"/>
      <c r="B27" s="88"/>
      <c r="C27" s="88"/>
      <c r="D27" s="95"/>
      <c r="E27" s="95"/>
      <c r="F27" s="95" t="s">
        <v>645</v>
      </c>
      <c r="G27" s="88"/>
      <c r="H27" s="88"/>
      <c r="I27" s="88"/>
      <c r="J27" s="89"/>
    </row>
    <row r="28" spans="1:30" ht="24">
      <c r="A28" s="87"/>
      <c r="B28" s="88"/>
      <c r="C28" s="88"/>
      <c r="D28" s="95"/>
      <c r="E28" s="95"/>
      <c r="F28" s="95" t="s">
        <v>646</v>
      </c>
      <c r="G28" s="96"/>
      <c r="H28" s="97"/>
      <c r="I28" s="97"/>
      <c r="J28" s="89"/>
      <c r="O28" s="76"/>
    </row>
    <row r="29" spans="1:30" ht="24">
      <c r="A29" s="87"/>
      <c r="B29" s="88"/>
      <c r="C29" s="88"/>
      <c r="D29" s="95"/>
      <c r="E29" s="95"/>
      <c r="F29" s="95" t="s">
        <v>647</v>
      </c>
      <c r="G29" s="96"/>
      <c r="H29" s="97"/>
      <c r="I29" s="97"/>
      <c r="J29" s="89"/>
    </row>
    <row r="30" spans="1:30" ht="24">
      <c r="A30" s="87"/>
      <c r="B30" s="88"/>
      <c r="C30" s="88"/>
      <c r="D30" s="95"/>
      <c r="E30" s="95"/>
      <c r="F30" s="95"/>
      <c r="G30" s="96"/>
      <c r="H30" s="97"/>
      <c r="I30" s="97"/>
      <c r="J30" s="89"/>
    </row>
    <row r="31" spans="1:30" ht="24">
      <c r="A31" s="87"/>
      <c r="B31" s="88"/>
      <c r="C31" s="88"/>
      <c r="D31" s="95"/>
      <c r="E31" s="95"/>
      <c r="F31" s="95"/>
      <c r="G31" s="96"/>
      <c r="H31" s="97"/>
      <c r="I31" s="97"/>
      <c r="J31" s="89"/>
    </row>
    <row r="32" spans="1:30" ht="18" thickBot="1">
      <c r="A32" s="98"/>
      <c r="B32" s="99"/>
      <c r="C32" s="99"/>
      <c r="D32" s="99"/>
      <c r="E32" s="100"/>
      <c r="F32" s="100"/>
      <c r="G32" s="100"/>
      <c r="H32" s="100"/>
      <c r="I32" s="100"/>
      <c r="J32" s="101"/>
    </row>
    <row r="33" ht="15.75" thickTop="1"/>
  </sheetData>
  <mergeCells count="17">
    <mergeCell ref="B17:D17"/>
    <mergeCell ref="E17:I17"/>
    <mergeCell ref="B4:I8"/>
    <mergeCell ref="B15:D15"/>
    <mergeCell ref="E15:I15"/>
    <mergeCell ref="B16:D16"/>
    <mergeCell ref="E16:I16"/>
    <mergeCell ref="B18:D18"/>
    <mergeCell ref="E18:I18"/>
    <mergeCell ref="B19:D19"/>
    <mergeCell ref="E19:I19"/>
    <mergeCell ref="D22:D23"/>
    <mergeCell ref="E22:E23"/>
    <mergeCell ref="F22:F23"/>
    <mergeCell ref="G22:G23"/>
    <mergeCell ref="H22:H23"/>
    <mergeCell ref="I22:I23"/>
  </mergeCells>
  <phoneticPr fontId="3" type="noConversion"/>
  <dataValidations count="1">
    <dataValidation type="list" allowBlank="1" showInputMessage="1" showErrorMessage="1" sqref="E18:I18" xr:uid="{93FF2089-DCF0-46C3-864E-F8C2F00ACB21}">
      <formula1>"설비,UT,소방"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pinner 1">
              <controlPr defaultSize="0" autoPict="0">
                <anchor moveWithCells="1" sizeWithCells="1">
                  <from>
                    <xdr:col>8</xdr:col>
                    <xdr:colOff>533400</xdr:colOff>
                    <xdr:row>14</xdr:row>
                    <xdr:rowOff>0</xdr:rowOff>
                  </from>
                  <to>
                    <xdr:col>8</xdr:col>
                    <xdr:colOff>695325</xdr:colOff>
                    <xdr:row>14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전일데이터복사">
                <anchor moveWithCells="1" sizeWithCells="1">
                  <from>
                    <xdr:col>7</xdr:col>
                    <xdr:colOff>66675</xdr:colOff>
                    <xdr:row>13</xdr:row>
                    <xdr:rowOff>114300</xdr:rowOff>
                  </from>
                  <to>
                    <xdr:col>9</xdr:col>
                    <xdr:colOff>0</xdr:colOff>
                    <xdr:row>13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Spinner 3">
              <controlPr defaultSize="0" autoPict="0">
                <anchor moveWithCells="1" sizeWithCells="1">
                  <from>
                    <xdr:col>8</xdr:col>
                    <xdr:colOff>533400</xdr:colOff>
                    <xdr:row>14</xdr:row>
                    <xdr:rowOff>0</xdr:rowOff>
                  </from>
                  <to>
                    <xdr:col>8</xdr:col>
                    <xdr:colOff>695325</xdr:colOff>
                    <xdr:row>14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Spinner 5">
              <controlPr defaultSize="0" autoPict="0">
                <anchor moveWithCells="1" sizeWithCells="1">
                  <from>
                    <xdr:col>8</xdr:col>
                    <xdr:colOff>533400</xdr:colOff>
                    <xdr:row>14</xdr:row>
                    <xdr:rowOff>0</xdr:rowOff>
                  </from>
                  <to>
                    <xdr:col>8</xdr:col>
                    <xdr:colOff>695325</xdr:colOff>
                    <xdr:row>14</xdr:row>
                    <xdr:rowOff>361950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K7"/>
  <sheetViews>
    <sheetView showGridLines="0" tabSelected="1" topLeftCell="D1" zoomScaleNormal="100" workbookViewId="0">
      <selection activeCell="L6" sqref="L6"/>
    </sheetView>
  </sheetViews>
  <sheetFormatPr defaultColWidth="8.75" defaultRowHeight="15" customHeight="1" outlineLevelCol="1"/>
  <cols>
    <col min="1" max="1" width="3" style="1" customWidth="1"/>
    <col min="2" max="2" width="9.375" style="3" customWidth="1"/>
    <col min="3" max="3" width="7.5" style="3" customWidth="1"/>
    <col min="4" max="4" width="10.5" style="3" customWidth="1"/>
    <col min="5" max="5" width="12.5" style="1" customWidth="1"/>
    <col min="6" max="6" width="21.75" style="1" customWidth="1"/>
    <col min="7" max="9" width="24.875" style="1" customWidth="1"/>
    <col min="10" max="15" width="9.75" style="1" customWidth="1" outlineLevel="1"/>
    <col min="16" max="16" width="8.75" style="1" customWidth="1" outlineLevel="1"/>
    <col min="17" max="23" width="10.75" style="1" customWidth="1" outlineLevel="1"/>
    <col min="24" max="29" width="9.75" style="1" customWidth="1" outlineLevel="1"/>
    <col min="30" max="30" width="8.75" style="1" customWidth="1" outlineLevel="1"/>
    <col min="31" max="37" width="10.75" style="1" customWidth="1" outlineLevel="1"/>
    <col min="38" max="16384" width="8.75" style="1"/>
  </cols>
  <sheetData>
    <row r="1" spans="2:37" s="8" customFormat="1" ht="22.5" customHeight="1">
      <c r="B1" s="113" t="s">
        <v>652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2:37" ht="17.25" customHeight="1" thickBot="1">
      <c r="B2" s="114" t="str">
        <f>CONCATENATE("금일 작업 현황 :",TEXT(Cover!E15," YYYY-MM-DD, aaaa"))</f>
        <v>금일 작업 현황 : 2025-09-17, 수요일</v>
      </c>
      <c r="G2" s="4"/>
    </row>
    <row r="3" spans="2:37" s="5" customFormat="1" ht="15" customHeight="1">
      <c r="B3" s="177" t="s">
        <v>9</v>
      </c>
      <c r="C3" s="178" t="s">
        <v>1</v>
      </c>
      <c r="D3" s="178" t="s">
        <v>2</v>
      </c>
      <c r="E3" s="178" t="s">
        <v>8</v>
      </c>
      <c r="F3" s="178" t="s">
        <v>10</v>
      </c>
      <c r="G3" s="315" t="s">
        <v>27</v>
      </c>
      <c r="H3" s="316"/>
      <c r="I3" s="317"/>
      <c r="J3" s="318" t="s">
        <v>28</v>
      </c>
      <c r="K3" s="318"/>
      <c r="L3" s="318"/>
      <c r="M3" s="318"/>
      <c r="N3" s="318"/>
      <c r="O3" s="318"/>
      <c r="P3" s="319"/>
      <c r="Q3" s="320" t="str">
        <f>CONCATENATE("전일 누적인원 [Cum.], ",TEXT(Cover!E15-1," YYYY-MM-DD, aaaa"))</f>
        <v>전일 누적인원 [Cum.],  2025-09-16, 화요일</v>
      </c>
      <c r="R3" s="318"/>
      <c r="S3" s="318"/>
      <c r="T3" s="318"/>
      <c r="U3" s="318"/>
      <c r="V3" s="318"/>
      <c r="W3" s="319"/>
      <c r="X3" s="320" t="s">
        <v>21</v>
      </c>
      <c r="Y3" s="318"/>
      <c r="Z3" s="318"/>
      <c r="AA3" s="318"/>
      <c r="AB3" s="318"/>
      <c r="AC3" s="318"/>
      <c r="AD3" s="319"/>
      <c r="AE3" s="320" t="str">
        <f>CONCATENATE("금일 누적인원 [Cum.], ", TEXT(Cover!E15," YYYY-MM-DD, aaaa"))</f>
        <v>금일 누적인원 [Cum.],  2025-09-17, 수요일</v>
      </c>
      <c r="AF3" s="318"/>
      <c r="AG3" s="318"/>
      <c r="AH3" s="318"/>
      <c r="AI3" s="318"/>
      <c r="AJ3" s="318"/>
      <c r="AK3" s="321"/>
    </row>
    <row r="4" spans="2:37" s="5" customFormat="1" ht="15" customHeight="1" thickBot="1">
      <c r="B4" s="179" t="s">
        <v>0</v>
      </c>
      <c r="C4" s="180"/>
      <c r="D4" s="180" t="s">
        <v>18</v>
      </c>
      <c r="E4" s="180" t="s">
        <v>25</v>
      </c>
      <c r="F4" s="180"/>
      <c r="G4" s="181" t="str">
        <f>CONCATENATE("전일 작업사항 [", TEXT(Cover!E15-1, "mm/dd"), "]")</f>
        <v>전일 작업사항 [09/16]</v>
      </c>
      <c r="H4" s="181" t="str">
        <f>CONCATENATE("금일 작업사항 [", TEXT(Cover!E15, "mm/dd"), "]")</f>
        <v>금일 작업사항 [09/17]</v>
      </c>
      <c r="I4" s="182" t="str">
        <f>CONCATENATE("명일 작업사항 [", TEXT(Cover!E15+1, "mm/dd"), "]")</f>
        <v>명일 작업사항 [09/18]</v>
      </c>
      <c r="J4" s="165" t="s">
        <v>11</v>
      </c>
      <c r="K4" s="166" t="s">
        <v>16</v>
      </c>
      <c r="L4" s="166" t="s">
        <v>13</v>
      </c>
      <c r="M4" s="166" t="s">
        <v>14</v>
      </c>
      <c r="N4" s="166" t="s">
        <v>15</v>
      </c>
      <c r="O4" s="324" t="s">
        <v>19</v>
      </c>
      <c r="P4" s="324"/>
      <c r="Q4" s="166" t="s">
        <v>11</v>
      </c>
      <c r="R4" s="167" t="s">
        <v>12</v>
      </c>
      <c r="S4" s="167" t="s">
        <v>13</v>
      </c>
      <c r="T4" s="167" t="s">
        <v>14</v>
      </c>
      <c r="U4" s="167" t="s">
        <v>15</v>
      </c>
      <c r="V4" s="324" t="s">
        <v>19</v>
      </c>
      <c r="W4" s="324"/>
      <c r="X4" s="166" t="s">
        <v>11</v>
      </c>
      <c r="Y4" s="166" t="s">
        <v>16</v>
      </c>
      <c r="Z4" s="166" t="s">
        <v>13</v>
      </c>
      <c r="AA4" s="166" t="s">
        <v>14</v>
      </c>
      <c r="AB4" s="166" t="s">
        <v>15</v>
      </c>
      <c r="AC4" s="324" t="s">
        <v>19</v>
      </c>
      <c r="AD4" s="324"/>
      <c r="AE4" s="166" t="s">
        <v>11</v>
      </c>
      <c r="AF4" s="168" t="s">
        <v>16</v>
      </c>
      <c r="AG4" s="168" t="s">
        <v>13</v>
      </c>
      <c r="AH4" s="168" t="s">
        <v>14</v>
      </c>
      <c r="AI4" s="168" t="s">
        <v>17</v>
      </c>
      <c r="AJ4" s="324" t="s">
        <v>19</v>
      </c>
      <c r="AK4" s="327"/>
    </row>
    <row r="5" spans="2:37" ht="45.75" customHeight="1">
      <c r="B5" s="175" t="s">
        <v>702</v>
      </c>
      <c r="C5" s="6"/>
      <c r="D5" s="6" t="str">
        <f>Cover!E18</f>
        <v>UT</v>
      </c>
      <c r="E5" s="6" t="str">
        <f>Cover!E16</f>
        <v>M15X_PH4_041</v>
      </c>
      <c r="F5" s="322" t="s">
        <v>2186</v>
      </c>
      <c r="G5" s="330" t="s">
        <v>1968</v>
      </c>
      <c r="H5" s="330" t="s">
        <v>2187</v>
      </c>
      <c r="I5" s="330" t="s">
        <v>2187</v>
      </c>
      <c r="J5" s="169">
        <v>5</v>
      </c>
      <c r="K5" s="170">
        <v>23</v>
      </c>
      <c r="L5" s="170">
        <v>6</v>
      </c>
      <c r="M5" s="170">
        <v>0</v>
      </c>
      <c r="N5" s="170">
        <v>0</v>
      </c>
      <c r="O5" s="170">
        <v>34</v>
      </c>
      <c r="P5" s="325">
        <v>631</v>
      </c>
      <c r="Q5" s="170">
        <f>'2.직종별 인원현황'!G87</f>
        <v>21</v>
      </c>
      <c r="R5" s="170">
        <f>'2.직종별 인원현황'!H87</f>
        <v>214</v>
      </c>
      <c r="S5" s="170">
        <f>'2.직종별 인원현황'!I87</f>
        <v>148</v>
      </c>
      <c r="T5" s="170">
        <f>'2.직종별 인원현황'!J87</f>
        <v>0</v>
      </c>
      <c r="U5" s="170">
        <f>'2.직종별 인원현황'!K87</f>
        <v>0</v>
      </c>
      <c r="V5" s="170">
        <f>'2.직종별 인원현황'!L87</f>
        <v>383</v>
      </c>
      <c r="W5" s="325">
        <f>V5+V6</f>
        <v>3561</v>
      </c>
      <c r="X5" s="171">
        <f ca="1">'2.직종별 인원현황'!M87</f>
        <v>4</v>
      </c>
      <c r="Y5" s="171">
        <f ca="1">'2.직종별 인원현황'!N87</f>
        <v>17</v>
      </c>
      <c r="Z5" s="171">
        <f ca="1">'2.직종별 인원현황'!O87</f>
        <v>0</v>
      </c>
      <c r="AA5" s="171">
        <f ca="1">'2.직종별 인원현황'!P87</f>
        <v>0</v>
      </c>
      <c r="AB5" s="171">
        <f ca="1">'2.직종별 인원현황'!Q87</f>
        <v>0</v>
      </c>
      <c r="AC5" s="170">
        <f ca="1">'2.직종별 인원현황'!R87</f>
        <v>21</v>
      </c>
      <c r="AD5" s="325">
        <f ca="1">AC5+AC6</f>
        <v>212</v>
      </c>
      <c r="AE5" s="170">
        <f t="shared" ref="AE5:AI6" ca="1" si="0">SUM(Q5,X5)</f>
        <v>25</v>
      </c>
      <c r="AF5" s="170">
        <f t="shared" ca="1" si="0"/>
        <v>231</v>
      </c>
      <c r="AG5" s="170">
        <f t="shared" ca="1" si="0"/>
        <v>148</v>
      </c>
      <c r="AH5" s="170">
        <f t="shared" ca="1" si="0"/>
        <v>0</v>
      </c>
      <c r="AI5" s="170">
        <f ca="1">SUM(U5,AB5)</f>
        <v>0</v>
      </c>
      <c r="AJ5" s="170">
        <f ca="1">SUM(AE5:AI5)</f>
        <v>404</v>
      </c>
      <c r="AK5" s="328">
        <f ca="1">SUM(AJ5:AJ6)</f>
        <v>3773</v>
      </c>
    </row>
    <row r="6" spans="2:37" ht="45.75" customHeight="1" thickBot="1">
      <c r="B6" s="102"/>
      <c r="C6" s="103"/>
      <c r="D6" s="104"/>
      <c r="E6" s="103" t="str">
        <f>Cover!E20</f>
        <v>중원엔지니어링FAB</v>
      </c>
      <c r="F6" s="323"/>
      <c r="G6" s="331"/>
      <c r="H6" s="331"/>
      <c r="I6" s="331"/>
      <c r="J6" s="172">
        <v>122</v>
      </c>
      <c r="K6" s="173">
        <v>242</v>
      </c>
      <c r="L6" s="173">
        <v>233</v>
      </c>
      <c r="M6" s="173">
        <v>0</v>
      </c>
      <c r="N6" s="173">
        <v>0</v>
      </c>
      <c r="O6" s="173">
        <v>597</v>
      </c>
      <c r="P6" s="326"/>
      <c r="Q6" s="173">
        <f>'2.직종별 인원현황'!G88</f>
        <v>307</v>
      </c>
      <c r="R6" s="173">
        <f>'2.직종별 인원현황'!H88</f>
        <v>1739</v>
      </c>
      <c r="S6" s="173">
        <f>'2.직종별 인원현황'!I88</f>
        <v>1126</v>
      </c>
      <c r="T6" s="173">
        <f>'2.직종별 인원현황'!J88</f>
        <v>6</v>
      </c>
      <c r="U6" s="173">
        <f>'2.직종별 인원현황'!K88</f>
        <v>0</v>
      </c>
      <c r="V6" s="173">
        <f>'2.직종별 인원현황'!L88</f>
        <v>3178</v>
      </c>
      <c r="W6" s="326"/>
      <c r="X6" s="174">
        <f ca="1">'2.직종별 인원현황'!M88</f>
        <v>45</v>
      </c>
      <c r="Y6" s="174">
        <f ca="1">'2.직종별 인원현황'!N88</f>
        <v>146</v>
      </c>
      <c r="Z6" s="174">
        <f ca="1">'2.직종별 인원현황'!O88</f>
        <v>0</v>
      </c>
      <c r="AA6" s="174">
        <f ca="1">'2.직종별 인원현황'!P88</f>
        <v>0</v>
      </c>
      <c r="AB6" s="174">
        <f ca="1">'2.직종별 인원현황'!Q88</f>
        <v>0</v>
      </c>
      <c r="AC6" s="173">
        <f ca="1">'2.직종별 인원현황'!R88</f>
        <v>191</v>
      </c>
      <c r="AD6" s="326"/>
      <c r="AE6" s="173">
        <f t="shared" ca="1" si="0"/>
        <v>352</v>
      </c>
      <c r="AF6" s="173">
        <f t="shared" ca="1" si="0"/>
        <v>1885</v>
      </c>
      <c r="AG6" s="173">
        <f t="shared" ca="1" si="0"/>
        <v>1126</v>
      </c>
      <c r="AH6" s="173">
        <f t="shared" ca="1" si="0"/>
        <v>6</v>
      </c>
      <c r="AI6" s="173">
        <f t="shared" ca="1" si="0"/>
        <v>0</v>
      </c>
      <c r="AJ6" s="173">
        <f ca="1">SUM(AE6:AI6)</f>
        <v>3369</v>
      </c>
      <c r="AK6" s="329"/>
    </row>
    <row r="7" spans="2:37" ht="15" customHeight="1">
      <c r="J7" s="164" t="s">
        <v>699</v>
      </c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</row>
  </sheetData>
  <mergeCells count="17">
    <mergeCell ref="F5:F6"/>
    <mergeCell ref="O4:P4"/>
    <mergeCell ref="P5:P6"/>
    <mergeCell ref="AJ4:AK4"/>
    <mergeCell ref="AK5:AK6"/>
    <mergeCell ref="V4:W4"/>
    <mergeCell ref="W5:W6"/>
    <mergeCell ref="AD5:AD6"/>
    <mergeCell ref="AC4:AD4"/>
    <mergeCell ref="I5:I6"/>
    <mergeCell ref="H5:H6"/>
    <mergeCell ref="G5:G6"/>
    <mergeCell ref="G3:I3"/>
    <mergeCell ref="J3:P3"/>
    <mergeCell ref="Q3:W3"/>
    <mergeCell ref="X3:AD3"/>
    <mergeCell ref="AE3:AK3"/>
  </mergeCells>
  <phoneticPr fontId="3" type="noConversion"/>
  <conditionalFormatting sqref="J5:P5 J6:O6">
    <cfRule type="expression" dxfId="201" priority="296">
      <formula>(#REF!)="v"</formula>
    </cfRule>
  </conditionalFormatting>
  <conditionalFormatting sqref="AE5:AI6">
    <cfRule type="expression" dxfId="200" priority="290">
      <formula>(#REF!)="v"</formula>
    </cfRule>
  </conditionalFormatting>
  <conditionalFormatting sqref="AJ5:AK5 Q6:V6 X6:AC6 AJ6 Q5:AD5">
    <cfRule type="expression" dxfId="199" priority="299">
      <formula>(#REF!)="v"</formula>
    </cfRule>
  </conditionalFormatting>
  <pageMargins left="0.7" right="0.7" top="0.75" bottom="0.75" header="0.3" footer="0.3"/>
  <pageSetup paperSize="9" orientation="portrait" horizontalDpi="90" verticalDpi="9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89"/>
  <sheetViews>
    <sheetView showGridLines="0" zoomScale="85" zoomScaleNormal="85" workbookViewId="0">
      <pane ySplit="5" topLeftCell="A72" activePane="bottomLeft" state="frozen"/>
      <selection activeCell="G19" sqref="G19"/>
      <selection pane="bottomLeft" activeCell="L35" sqref="L35"/>
    </sheetView>
  </sheetViews>
  <sheetFormatPr defaultColWidth="8.75" defaultRowHeight="15" customHeight="1" outlineLevelCol="1"/>
  <cols>
    <col min="1" max="1" width="1.875" style="72" customWidth="1"/>
    <col min="2" max="2" width="8.75" style="72"/>
    <col min="3" max="3" width="11.875" style="72" customWidth="1"/>
    <col min="4" max="5" width="11.875" style="72" customWidth="1" outlineLevel="1"/>
    <col min="6" max="6" width="28.625" style="72" customWidth="1"/>
    <col min="7" max="11" width="8.75" style="72" customWidth="1" outlineLevel="1"/>
    <col min="12" max="12" width="15.75" style="72" customWidth="1"/>
    <col min="13" max="17" width="8.75" style="72" customWidth="1" outlineLevel="1"/>
    <col min="18" max="18" width="15.75" style="72" customWidth="1"/>
    <col min="19" max="23" width="8.75" style="72" customWidth="1" outlineLevel="1"/>
    <col min="24" max="24" width="15.75" style="72" customWidth="1"/>
    <col min="25" max="16384" width="8.75" style="72"/>
  </cols>
  <sheetData>
    <row r="1" spans="1:36" s="8" customFormat="1" ht="22.5" customHeight="1">
      <c r="A1" s="9"/>
      <c r="B1" s="9" t="s">
        <v>697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>
        <f>1</f>
        <v>1</v>
      </c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</row>
    <row r="2" spans="1:36" s="1" customFormat="1" ht="17.25" customHeight="1" thickBot="1">
      <c r="A2" s="2"/>
      <c r="B2" s="2" t="str">
        <f>CONCATENATE("금일 작업 현황 :",TEXT(Cover!E15," YYYY-MM-DD, aaaa"))</f>
        <v>금일 작업 현황 : 2025-09-17, 수요일</v>
      </c>
      <c r="C2" s="3"/>
      <c r="F2" s="4"/>
    </row>
    <row r="3" spans="1:36" ht="15" customHeight="1">
      <c r="B3" s="335" t="str">
        <f>CONCATENATE("기능공 투입인원 현황 ",TEXT(Cover!E15,"yyyy/mm/dd"))</f>
        <v>기능공 투입인원 현황 2025/09/17</v>
      </c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7"/>
      <c r="Y3" s="22"/>
    </row>
    <row r="4" spans="1:36" ht="15" customHeight="1">
      <c r="B4" s="183" t="s">
        <v>2</v>
      </c>
      <c r="C4" s="184" t="s">
        <v>8</v>
      </c>
      <c r="D4" s="184"/>
      <c r="E4" s="184"/>
      <c r="F4" s="184" t="s">
        <v>32</v>
      </c>
      <c r="G4" s="339" t="str">
        <f>CONCATENATE("전일누계 [", TEXT(Cover!E15-1, "mm/dd"), "]")</f>
        <v>전일누계 [09/16]</v>
      </c>
      <c r="H4" s="339"/>
      <c r="I4" s="339"/>
      <c r="J4" s="339"/>
      <c r="K4" s="339"/>
      <c r="L4" s="341"/>
      <c r="M4" s="339" t="str">
        <f>CONCATENATE("금일투입 [", TEXT(Cover!E15, "mm/dd"), "]")</f>
        <v>금일투입 [09/17]</v>
      </c>
      <c r="N4" s="339"/>
      <c r="O4" s="339"/>
      <c r="P4" s="339"/>
      <c r="Q4" s="339"/>
      <c r="R4" s="341"/>
      <c r="S4" s="338" t="str">
        <f>CONCATENATE("금일누계 [", TEXT(Cover!E15, "mm/dd"), "]")</f>
        <v>금일누계 [09/17]</v>
      </c>
      <c r="T4" s="339"/>
      <c r="U4" s="339"/>
      <c r="V4" s="339"/>
      <c r="W4" s="339"/>
      <c r="X4" s="340"/>
      <c r="Y4" s="22"/>
    </row>
    <row r="5" spans="1:36" ht="15" customHeight="1">
      <c r="B5" s="24" t="s">
        <v>42</v>
      </c>
      <c r="C5" s="16" t="s">
        <v>24</v>
      </c>
      <c r="D5" s="16" t="s">
        <v>274</v>
      </c>
      <c r="E5" s="16" t="s">
        <v>275</v>
      </c>
      <c r="F5" s="17" t="s">
        <v>33</v>
      </c>
      <c r="G5" s="21" t="s">
        <v>34</v>
      </c>
      <c r="H5" s="18" t="s">
        <v>35</v>
      </c>
      <c r="I5" s="18" t="s">
        <v>36</v>
      </c>
      <c r="J5" s="18" t="s">
        <v>37</v>
      </c>
      <c r="K5" s="19" t="s">
        <v>38</v>
      </c>
      <c r="L5" s="120" t="s">
        <v>40</v>
      </c>
      <c r="M5" s="119" t="s">
        <v>34</v>
      </c>
      <c r="N5" s="18" t="s">
        <v>35</v>
      </c>
      <c r="O5" s="18" t="s">
        <v>36</v>
      </c>
      <c r="P5" s="18" t="s">
        <v>37</v>
      </c>
      <c r="Q5" s="19" t="s">
        <v>38</v>
      </c>
      <c r="R5" s="120" t="s">
        <v>41</v>
      </c>
      <c r="S5" s="119" t="s">
        <v>34</v>
      </c>
      <c r="T5" s="18" t="s">
        <v>35</v>
      </c>
      <c r="U5" s="18" t="s">
        <v>36</v>
      </c>
      <c r="V5" s="18" t="s">
        <v>37</v>
      </c>
      <c r="W5" s="19" t="s">
        <v>38</v>
      </c>
      <c r="X5" s="25" t="s">
        <v>39</v>
      </c>
    </row>
    <row r="6" spans="1:36" ht="15" customHeight="1">
      <c r="B6" s="26" t="str">
        <f>Cover!E18</f>
        <v>UT</v>
      </c>
      <c r="C6" s="20" t="str">
        <f>Cover!E16</f>
        <v>M15X_PH4_041</v>
      </c>
      <c r="D6" s="20" t="s">
        <v>140</v>
      </c>
      <c r="E6" s="20" t="s">
        <v>145</v>
      </c>
      <c r="F6" s="277" t="s">
        <v>715</v>
      </c>
      <c r="G6" s="232">
        <v>7</v>
      </c>
      <c r="H6" s="233">
        <v>64</v>
      </c>
      <c r="I6" s="233">
        <v>48</v>
      </c>
      <c r="J6" s="233">
        <v>0</v>
      </c>
      <c r="K6" s="234">
        <v>0</v>
      </c>
      <c r="L6" s="235">
        <v>119</v>
      </c>
      <c r="M6" s="236">
        <f ca="1">SUMIF(표2[[직종구분]:[작업 위치_코드]],'2.직종별 인원현황'!$F6,표2[조출])</f>
        <v>1</v>
      </c>
      <c r="N6" s="237">
        <f ca="1">SUMIF(표2[[직종구분]:[작업 위치_코드]],'2.직종별 인원현황'!$F6,표2[주간])</f>
        <v>1</v>
      </c>
      <c r="O6" s="237">
        <f ca="1">SUMIF(표2[[직종구분]:[작업 위치_코드]],'2.직종별 인원현황'!$F6,표2[연장])</f>
        <v>0</v>
      </c>
      <c r="P6" s="237">
        <f ca="1">SUMIF(표2[[직종구분]:[작업 위치_코드]],'2.직종별 인원현황'!$F6,표2[야간])</f>
        <v>0</v>
      </c>
      <c r="Q6" s="238">
        <f ca="1">SUMIF(표2[[직종구분]:[작업 위치_코드]],'2.직종별 인원현황'!$F6,표2[철야])</f>
        <v>0</v>
      </c>
      <c r="R6" s="239">
        <f t="shared" ref="R6:R11" ca="1" si="0">SUM(M6:Q6)</f>
        <v>2</v>
      </c>
      <c r="S6" s="240">
        <f ca="1">G6+M6</f>
        <v>8</v>
      </c>
      <c r="T6" s="233">
        <f t="shared" ref="T6:W69" ca="1" si="1">H6+N6</f>
        <v>65</v>
      </c>
      <c r="U6" s="233">
        <f t="shared" ca="1" si="1"/>
        <v>48</v>
      </c>
      <c r="V6" s="233">
        <f t="shared" ca="1" si="1"/>
        <v>0</v>
      </c>
      <c r="W6" s="234">
        <f t="shared" ca="1" si="1"/>
        <v>0</v>
      </c>
      <c r="X6" s="241">
        <f t="shared" ref="X6:X69" ca="1" si="2">SUM(S6:W6)</f>
        <v>121</v>
      </c>
    </row>
    <row r="7" spans="1:36" ht="15" customHeight="1">
      <c r="B7" s="27"/>
      <c r="C7" s="11" t="str">
        <f>Cover!E20</f>
        <v>중원엔지니어링FAB</v>
      </c>
      <c r="D7" s="11" t="s">
        <v>141</v>
      </c>
      <c r="E7" s="11" t="s">
        <v>146</v>
      </c>
      <c r="F7" s="278" t="s">
        <v>133</v>
      </c>
      <c r="G7" s="242">
        <v>7</v>
      </c>
      <c r="H7" s="243">
        <v>74</v>
      </c>
      <c r="I7" s="243">
        <v>50</v>
      </c>
      <c r="J7" s="243">
        <v>0</v>
      </c>
      <c r="K7" s="244">
        <v>0</v>
      </c>
      <c r="L7" s="245">
        <v>131</v>
      </c>
      <c r="M7" s="246">
        <f ca="1">SUMIF(표2[[직종구분]:[작업 위치_코드]],'2.직종별 인원현황'!$F7,표2[조출])</f>
        <v>1</v>
      </c>
      <c r="N7" s="247">
        <f ca="1">SUMIF(표2[[직종구분]:[작업 위치_코드]],'2.직종별 인원현황'!$F7,표2[주간])</f>
        <v>5</v>
      </c>
      <c r="O7" s="247">
        <f ca="1">SUMIF(표2[[직종구분]:[작업 위치_코드]],'2.직종별 인원현황'!$F7,표2[연장])</f>
        <v>0</v>
      </c>
      <c r="P7" s="247">
        <f ca="1">SUMIF(표2[[직종구분]:[작업 위치_코드]],'2.직종별 인원현황'!$F7,표2[야간])</f>
        <v>0</v>
      </c>
      <c r="Q7" s="248">
        <f ca="1">SUMIF(표2[[직종구분]:[작업 위치_코드]],'2.직종별 인원현황'!$F7,표2[철야])</f>
        <v>0</v>
      </c>
      <c r="R7" s="249">
        <f t="shared" ca="1" si="0"/>
        <v>6</v>
      </c>
      <c r="S7" s="250">
        <f t="shared" ref="S7:V70" ca="1" si="3">G7+M7</f>
        <v>8</v>
      </c>
      <c r="T7" s="243">
        <f t="shared" ca="1" si="1"/>
        <v>79</v>
      </c>
      <c r="U7" s="243">
        <f t="shared" ca="1" si="1"/>
        <v>50</v>
      </c>
      <c r="V7" s="243">
        <f t="shared" ca="1" si="1"/>
        <v>0</v>
      </c>
      <c r="W7" s="244">
        <f t="shared" ca="1" si="1"/>
        <v>0</v>
      </c>
      <c r="X7" s="251">
        <f t="shared" ca="1" si="2"/>
        <v>137</v>
      </c>
    </row>
    <row r="8" spans="1:36" ht="15" customHeight="1">
      <c r="B8" s="27"/>
      <c r="C8" s="11"/>
      <c r="D8" s="11" t="s">
        <v>142</v>
      </c>
      <c r="E8" s="11" t="s">
        <v>147</v>
      </c>
      <c r="F8" s="278" t="s">
        <v>134</v>
      </c>
      <c r="G8" s="242">
        <v>7</v>
      </c>
      <c r="H8" s="243">
        <v>74</v>
      </c>
      <c r="I8" s="243">
        <v>50</v>
      </c>
      <c r="J8" s="243">
        <v>0</v>
      </c>
      <c r="K8" s="244">
        <v>0</v>
      </c>
      <c r="L8" s="245">
        <v>131</v>
      </c>
      <c r="M8" s="246">
        <f ca="1">SUMIF(표2[[직종구분]:[작업 위치_코드]],'2.직종별 인원현황'!$F8,표2[조출])</f>
        <v>2</v>
      </c>
      <c r="N8" s="247">
        <f ca="1">SUMIF(표2[[직종구분]:[작업 위치_코드]],'2.직종별 인원현황'!$F8,표2[주간])</f>
        <v>7</v>
      </c>
      <c r="O8" s="247">
        <f ca="1">SUMIF(표2[[직종구분]:[작업 위치_코드]],'2.직종별 인원현황'!$F8,표2[연장])</f>
        <v>0</v>
      </c>
      <c r="P8" s="247">
        <f ca="1">SUMIF(표2[[직종구분]:[작업 위치_코드]],'2.직종별 인원현황'!$F8,표2[야간])</f>
        <v>0</v>
      </c>
      <c r="Q8" s="248">
        <f ca="1">SUMIF(표2[[직종구분]:[작업 위치_코드]],'2.직종별 인원현황'!$F8,표2[철야])</f>
        <v>0</v>
      </c>
      <c r="R8" s="249">
        <f t="shared" ca="1" si="0"/>
        <v>9</v>
      </c>
      <c r="S8" s="250">
        <f t="shared" ca="1" si="3"/>
        <v>9</v>
      </c>
      <c r="T8" s="243">
        <f t="shared" ca="1" si="1"/>
        <v>81</v>
      </c>
      <c r="U8" s="243">
        <f t="shared" ca="1" si="1"/>
        <v>50</v>
      </c>
      <c r="V8" s="243">
        <f t="shared" ca="1" si="1"/>
        <v>0</v>
      </c>
      <c r="W8" s="244">
        <f t="shared" ca="1" si="1"/>
        <v>0</v>
      </c>
      <c r="X8" s="251">
        <f t="shared" ca="1" si="2"/>
        <v>140</v>
      </c>
    </row>
    <row r="9" spans="1:36" ht="15" customHeight="1">
      <c r="B9" s="27"/>
      <c r="C9" s="11"/>
      <c r="D9" s="11" t="s">
        <v>143</v>
      </c>
      <c r="E9" s="11" t="s">
        <v>148</v>
      </c>
      <c r="F9" s="278" t="s">
        <v>135</v>
      </c>
      <c r="G9" s="242">
        <v>0</v>
      </c>
      <c r="H9" s="243">
        <v>2</v>
      </c>
      <c r="I9" s="243">
        <v>0</v>
      </c>
      <c r="J9" s="243">
        <v>0</v>
      </c>
      <c r="K9" s="244">
        <v>0</v>
      </c>
      <c r="L9" s="245">
        <v>2</v>
      </c>
      <c r="M9" s="246">
        <f ca="1">SUMIF(표2[[직종구분]:[작업 위치_코드]],'2.직종별 인원현황'!$F9,표2[조출])</f>
        <v>0</v>
      </c>
      <c r="N9" s="247">
        <f ca="1">SUMIF(표2[[직종구분]:[작업 위치_코드]],'2.직종별 인원현황'!$F9,표2[주간])</f>
        <v>4</v>
      </c>
      <c r="O9" s="247">
        <f ca="1">SUMIF(표2[[직종구분]:[작업 위치_코드]],'2.직종별 인원현황'!$F9,표2[연장])</f>
        <v>0</v>
      </c>
      <c r="P9" s="247">
        <f ca="1">SUMIF(표2[[직종구분]:[작업 위치_코드]],'2.직종별 인원현황'!$F9,표2[야간])</f>
        <v>0</v>
      </c>
      <c r="Q9" s="248">
        <f ca="1">SUMIF(표2[[직종구분]:[작업 위치_코드]],'2.직종별 인원현황'!$F9,표2[철야])</f>
        <v>0</v>
      </c>
      <c r="R9" s="249">
        <f t="shared" ca="1" si="0"/>
        <v>4</v>
      </c>
      <c r="S9" s="250">
        <f t="shared" ca="1" si="3"/>
        <v>0</v>
      </c>
      <c r="T9" s="243">
        <f t="shared" ca="1" si="1"/>
        <v>6</v>
      </c>
      <c r="U9" s="243">
        <f t="shared" ca="1" si="1"/>
        <v>0</v>
      </c>
      <c r="V9" s="243">
        <f t="shared" ca="1" si="1"/>
        <v>0</v>
      </c>
      <c r="W9" s="244">
        <f t="shared" ca="1" si="1"/>
        <v>0</v>
      </c>
      <c r="X9" s="251">
        <f t="shared" ca="1" si="2"/>
        <v>6</v>
      </c>
    </row>
    <row r="10" spans="1:36" ht="15" customHeight="1">
      <c r="B10" s="27"/>
      <c r="C10" s="11"/>
      <c r="D10" s="11" t="s">
        <v>144</v>
      </c>
      <c r="E10" s="11" t="s">
        <v>149</v>
      </c>
      <c r="F10" s="278" t="s">
        <v>136</v>
      </c>
      <c r="G10" s="242">
        <v>0</v>
      </c>
      <c r="H10" s="243">
        <v>0</v>
      </c>
      <c r="I10" s="243">
        <v>0</v>
      </c>
      <c r="J10" s="243">
        <v>0</v>
      </c>
      <c r="K10" s="244">
        <v>0</v>
      </c>
      <c r="L10" s="245">
        <v>0</v>
      </c>
      <c r="M10" s="246">
        <f ca="1">SUMIF(표2[[직종구분]:[작업 위치_코드]],'2.직종별 인원현황'!$F10,표2[조출])</f>
        <v>0</v>
      </c>
      <c r="N10" s="247">
        <f ca="1">SUMIF(표2[[직종구분]:[작업 위치_코드]],'2.직종별 인원현황'!$F10,표2[주간])</f>
        <v>0</v>
      </c>
      <c r="O10" s="247">
        <f ca="1">SUMIF(표2[[직종구분]:[작업 위치_코드]],'2.직종별 인원현황'!$F10,표2[연장])</f>
        <v>0</v>
      </c>
      <c r="P10" s="247">
        <f ca="1">SUMIF(표2[[직종구분]:[작업 위치_코드]],'2.직종별 인원현황'!$F10,표2[야간])</f>
        <v>0</v>
      </c>
      <c r="Q10" s="248">
        <f ca="1">SUMIF(표2[[직종구분]:[작업 위치_코드]],'2.직종별 인원현황'!$F10,표2[철야])</f>
        <v>0</v>
      </c>
      <c r="R10" s="249">
        <f t="shared" ca="1" si="0"/>
        <v>0</v>
      </c>
      <c r="S10" s="250">
        <f t="shared" ca="1" si="3"/>
        <v>0</v>
      </c>
      <c r="T10" s="243">
        <f t="shared" ca="1" si="1"/>
        <v>0</v>
      </c>
      <c r="U10" s="243">
        <f t="shared" ca="1" si="1"/>
        <v>0</v>
      </c>
      <c r="V10" s="243">
        <f t="shared" ca="1" si="1"/>
        <v>0</v>
      </c>
      <c r="W10" s="244">
        <f t="shared" ca="1" si="1"/>
        <v>0</v>
      </c>
      <c r="X10" s="251">
        <f t="shared" ca="1" si="2"/>
        <v>0</v>
      </c>
    </row>
    <row r="11" spans="1:36" ht="15" customHeight="1">
      <c r="B11" s="27"/>
      <c r="C11" s="11"/>
      <c r="D11" s="11" t="s">
        <v>666</v>
      </c>
      <c r="E11" s="11" t="s">
        <v>150</v>
      </c>
      <c r="F11" s="278" t="s">
        <v>137</v>
      </c>
      <c r="G11" s="242">
        <v>0</v>
      </c>
      <c r="H11" s="243">
        <v>0</v>
      </c>
      <c r="I11" s="243">
        <v>0</v>
      </c>
      <c r="J11" s="243">
        <v>0</v>
      </c>
      <c r="K11" s="244">
        <v>0</v>
      </c>
      <c r="L11" s="245">
        <v>0</v>
      </c>
      <c r="M11" s="246">
        <f ca="1">SUMIF(표2[[직종구분]:[작업 위치_코드]],'2.직종별 인원현황'!$F11,표2[조출])</f>
        <v>0</v>
      </c>
      <c r="N11" s="247">
        <f ca="1">SUMIF(표2[[직종구분]:[작업 위치_코드]],'2.직종별 인원현황'!$F11,표2[주간])</f>
        <v>0</v>
      </c>
      <c r="O11" s="247">
        <f ca="1">SUMIF(표2[[직종구분]:[작업 위치_코드]],'2.직종별 인원현황'!$F11,표2[연장])</f>
        <v>0</v>
      </c>
      <c r="P11" s="247">
        <f ca="1">SUMIF(표2[[직종구분]:[작업 위치_코드]],'2.직종별 인원현황'!$F11,표2[야간])</f>
        <v>0</v>
      </c>
      <c r="Q11" s="248">
        <f ca="1">SUMIF(표2[[직종구분]:[작업 위치_코드]],'2.직종별 인원현황'!$F11,표2[철야])</f>
        <v>0</v>
      </c>
      <c r="R11" s="249">
        <f t="shared" ca="1" si="0"/>
        <v>0</v>
      </c>
      <c r="S11" s="250">
        <f t="shared" ca="1" si="3"/>
        <v>0</v>
      </c>
      <c r="T11" s="243">
        <f t="shared" ca="1" si="1"/>
        <v>0</v>
      </c>
      <c r="U11" s="243">
        <f t="shared" ca="1" si="1"/>
        <v>0</v>
      </c>
      <c r="V11" s="243">
        <f t="shared" ca="1" si="1"/>
        <v>0</v>
      </c>
      <c r="W11" s="244">
        <f t="shared" ca="1" si="1"/>
        <v>0</v>
      </c>
      <c r="X11" s="251">
        <f ca="1">SUM(S11:W11)</f>
        <v>0</v>
      </c>
    </row>
    <row r="12" spans="1:36" ht="15" customHeight="1">
      <c r="B12" s="27"/>
      <c r="C12" s="11"/>
      <c r="D12" s="11" t="s">
        <v>667</v>
      </c>
      <c r="E12" s="11" t="s">
        <v>151</v>
      </c>
      <c r="F12" s="278" t="s">
        <v>1954</v>
      </c>
      <c r="G12" s="242">
        <v>0</v>
      </c>
      <c r="H12" s="243">
        <v>0</v>
      </c>
      <c r="I12" s="243">
        <v>0</v>
      </c>
      <c r="J12" s="243">
        <v>0</v>
      </c>
      <c r="K12" s="244">
        <v>0</v>
      </c>
      <c r="L12" s="245">
        <v>0</v>
      </c>
      <c r="M12" s="246">
        <f ca="1">SUMIF(표2[[직종구분]:[작업 위치_코드]],'2.직종별 인원현황'!$F12,표2[조출])</f>
        <v>0</v>
      </c>
      <c r="N12" s="247">
        <f ca="1">SUMIF(표2[[직종구분]:[작업 위치_코드]],'2.직종별 인원현황'!$F12,표2[주간])</f>
        <v>0</v>
      </c>
      <c r="O12" s="247">
        <f ca="1">SUMIF(표2[[직종구분]:[작업 위치_코드]],'2.직종별 인원현황'!$F12,표2[연장])</f>
        <v>0</v>
      </c>
      <c r="P12" s="247">
        <f ca="1">SUMIF(표2[[직종구분]:[작업 위치_코드]],'2.직종별 인원현황'!$F12,표2[야간])</f>
        <v>0</v>
      </c>
      <c r="Q12" s="248">
        <f ca="1">SUMIF(표2[[직종구분]:[작업 위치_코드]],'2.직종별 인원현황'!$F12,표2[철야])</f>
        <v>0</v>
      </c>
      <c r="R12" s="249">
        <f t="shared" ref="R12:R70" ca="1" si="4">SUM(M12:Q12)</f>
        <v>0</v>
      </c>
      <c r="S12" s="250">
        <f t="shared" ca="1" si="3"/>
        <v>0</v>
      </c>
      <c r="T12" s="243">
        <f t="shared" ca="1" si="1"/>
        <v>0</v>
      </c>
      <c r="U12" s="243">
        <f t="shared" ca="1" si="1"/>
        <v>0</v>
      </c>
      <c r="V12" s="243">
        <f t="shared" ca="1" si="1"/>
        <v>0</v>
      </c>
      <c r="W12" s="244">
        <f t="shared" ca="1" si="1"/>
        <v>0</v>
      </c>
      <c r="X12" s="251">
        <f ca="1">SUM(S12:W12)</f>
        <v>0</v>
      </c>
    </row>
    <row r="13" spans="1:36" ht="15" customHeight="1">
      <c r="B13" s="27"/>
      <c r="C13" s="11"/>
      <c r="D13" s="11" t="s">
        <v>668</v>
      </c>
      <c r="E13" s="11" t="s">
        <v>152</v>
      </c>
      <c r="F13" s="278" t="s">
        <v>1955</v>
      </c>
      <c r="G13" s="242">
        <v>0</v>
      </c>
      <c r="H13" s="243">
        <v>0</v>
      </c>
      <c r="I13" s="243">
        <v>0</v>
      </c>
      <c r="J13" s="243">
        <v>0</v>
      </c>
      <c r="K13" s="244">
        <v>0</v>
      </c>
      <c r="L13" s="245">
        <v>0</v>
      </c>
      <c r="M13" s="246">
        <f ca="1">SUMIF(표2[[직종구분]:[작업 위치_코드]],'2.직종별 인원현황'!$F13,표2[조출])</f>
        <v>0</v>
      </c>
      <c r="N13" s="247">
        <f ca="1">SUMIF(표2[[직종구분]:[작업 위치_코드]],'2.직종별 인원현황'!$F13,표2[주간])</f>
        <v>0</v>
      </c>
      <c r="O13" s="247">
        <f ca="1">SUMIF(표2[[직종구분]:[작업 위치_코드]],'2.직종별 인원현황'!$F13,표2[연장])</f>
        <v>0</v>
      </c>
      <c r="P13" s="247">
        <f ca="1">SUMIF(표2[[직종구분]:[작업 위치_코드]],'2.직종별 인원현황'!$F13,표2[야간])</f>
        <v>0</v>
      </c>
      <c r="Q13" s="248">
        <f ca="1">SUMIF(표2[[직종구분]:[작업 위치_코드]],'2.직종별 인원현황'!$F13,표2[철야])</f>
        <v>0</v>
      </c>
      <c r="R13" s="249">
        <f t="shared" ca="1" si="4"/>
        <v>0</v>
      </c>
      <c r="S13" s="250">
        <f t="shared" ca="1" si="3"/>
        <v>0</v>
      </c>
      <c r="T13" s="243">
        <f t="shared" ca="1" si="1"/>
        <v>0</v>
      </c>
      <c r="U13" s="243">
        <f t="shared" ca="1" si="1"/>
        <v>0</v>
      </c>
      <c r="V13" s="243">
        <f t="shared" ca="1" si="1"/>
        <v>0</v>
      </c>
      <c r="W13" s="244">
        <f t="shared" ca="1" si="1"/>
        <v>0</v>
      </c>
      <c r="X13" s="251">
        <f ca="1">SUM(S13:W13)</f>
        <v>0</v>
      </c>
    </row>
    <row r="14" spans="1:36" ht="15" customHeight="1">
      <c r="B14" s="27"/>
      <c r="C14" s="11"/>
      <c r="D14" s="11" t="s">
        <v>669</v>
      </c>
      <c r="E14" s="11" t="s">
        <v>153</v>
      </c>
      <c r="F14" s="278" t="s">
        <v>1956</v>
      </c>
      <c r="G14" s="242">
        <v>0</v>
      </c>
      <c r="H14" s="243">
        <v>0</v>
      </c>
      <c r="I14" s="243">
        <v>0</v>
      </c>
      <c r="J14" s="243">
        <v>0</v>
      </c>
      <c r="K14" s="244">
        <v>0</v>
      </c>
      <c r="L14" s="245">
        <v>0</v>
      </c>
      <c r="M14" s="246">
        <f ca="1">SUMIF(표2[[직종구분]:[작업 위치_코드]],'2.직종별 인원현황'!$F14,표2[조출])</f>
        <v>0</v>
      </c>
      <c r="N14" s="247">
        <f ca="1">SUMIF(표2[[직종구분]:[작업 위치_코드]],'2.직종별 인원현황'!$F14,표2[주간])</f>
        <v>0</v>
      </c>
      <c r="O14" s="247">
        <f ca="1">SUMIF(표2[[직종구분]:[작업 위치_코드]],'2.직종별 인원현황'!$F14,표2[연장])</f>
        <v>0</v>
      </c>
      <c r="P14" s="247">
        <f ca="1">SUMIF(표2[[직종구분]:[작업 위치_코드]],'2.직종별 인원현황'!$F14,표2[야간])</f>
        <v>0</v>
      </c>
      <c r="Q14" s="248">
        <f ca="1">SUMIF(표2[[직종구분]:[작업 위치_코드]],'2.직종별 인원현황'!$F14,표2[철야])</f>
        <v>0</v>
      </c>
      <c r="R14" s="249">
        <f t="shared" ca="1" si="4"/>
        <v>0</v>
      </c>
      <c r="S14" s="250">
        <f t="shared" ca="1" si="3"/>
        <v>0</v>
      </c>
      <c r="T14" s="243">
        <f t="shared" ca="1" si="1"/>
        <v>0</v>
      </c>
      <c r="U14" s="243">
        <f t="shared" ca="1" si="1"/>
        <v>0</v>
      </c>
      <c r="V14" s="243">
        <f t="shared" ca="1" si="1"/>
        <v>0</v>
      </c>
      <c r="W14" s="244">
        <f t="shared" ca="1" si="1"/>
        <v>0</v>
      </c>
      <c r="X14" s="251">
        <f ca="1">SUM(S14:W14)</f>
        <v>0</v>
      </c>
    </row>
    <row r="15" spans="1:36" ht="15" customHeight="1">
      <c r="B15" s="27"/>
      <c r="C15" s="11"/>
      <c r="D15" s="125" t="s">
        <v>670</v>
      </c>
      <c r="E15" s="125" t="s">
        <v>154</v>
      </c>
      <c r="F15" s="281" t="s">
        <v>681</v>
      </c>
      <c r="G15" s="252">
        <v>0</v>
      </c>
      <c r="H15" s="253">
        <v>0</v>
      </c>
      <c r="I15" s="253">
        <v>0</v>
      </c>
      <c r="J15" s="253">
        <v>0</v>
      </c>
      <c r="K15" s="254">
        <v>0</v>
      </c>
      <c r="L15" s="255">
        <v>0</v>
      </c>
      <c r="M15" s="256">
        <f ca="1">SUMIF(표2[[직종구분]:[작업 위치_코드]],'2.직종별 인원현황'!$F15,표2[조출])</f>
        <v>0</v>
      </c>
      <c r="N15" s="257">
        <f ca="1">SUMIF(표2[[직종구분]:[작업 위치_코드]],'2.직종별 인원현황'!$F15,표2[주간])</f>
        <v>0</v>
      </c>
      <c r="O15" s="257">
        <f ca="1">SUMIF(표2[[직종구분]:[작업 위치_코드]],'2.직종별 인원현황'!$F15,표2[연장])</f>
        <v>0</v>
      </c>
      <c r="P15" s="257">
        <f ca="1">SUMIF(표2[[직종구분]:[작업 위치_코드]],'2.직종별 인원현황'!$F15,표2[야간])</f>
        <v>0</v>
      </c>
      <c r="Q15" s="258">
        <f ca="1">SUMIF(표2[[직종구분]:[작업 위치_코드]],'2.직종별 인원현황'!$F15,표2[철야])</f>
        <v>0</v>
      </c>
      <c r="R15" s="259">
        <f t="shared" ca="1" si="4"/>
        <v>0</v>
      </c>
      <c r="S15" s="260">
        <f t="shared" ca="1" si="3"/>
        <v>0</v>
      </c>
      <c r="T15" s="253">
        <f t="shared" ca="1" si="1"/>
        <v>0</v>
      </c>
      <c r="U15" s="253">
        <f t="shared" ca="1" si="1"/>
        <v>0</v>
      </c>
      <c r="V15" s="253">
        <f t="shared" ca="1" si="1"/>
        <v>0</v>
      </c>
      <c r="W15" s="254">
        <f t="shared" ca="1" si="1"/>
        <v>0</v>
      </c>
      <c r="X15" s="261">
        <f ca="1">SUM(S15:W15)</f>
        <v>0</v>
      </c>
    </row>
    <row r="16" spans="1:36" ht="15" customHeight="1">
      <c r="B16" s="27"/>
      <c r="C16" s="11"/>
      <c r="D16" s="11" t="s">
        <v>157</v>
      </c>
      <c r="E16" s="11" t="s">
        <v>150</v>
      </c>
      <c r="F16" s="229" t="s">
        <v>1957</v>
      </c>
      <c r="G16" s="262">
        <v>0</v>
      </c>
      <c r="H16" s="263">
        <v>0</v>
      </c>
      <c r="I16" s="263">
        <v>0</v>
      </c>
      <c r="J16" s="263">
        <v>0</v>
      </c>
      <c r="K16" s="264">
        <v>0</v>
      </c>
      <c r="L16" s="265">
        <v>0</v>
      </c>
      <c r="M16" s="266">
        <f ca="1">SUMIF(표2[[직종구분]:[작업 위치_코드]],'2.직종별 인원현황'!$F16,표2[조출])</f>
        <v>0</v>
      </c>
      <c r="N16" s="267">
        <f ca="1">SUMIF(표2[[직종구분]:[작업 위치_코드]],'2.직종별 인원현황'!$F16,표2[주간])</f>
        <v>0</v>
      </c>
      <c r="O16" s="267">
        <f ca="1">SUMIF(표2[[직종구분]:[작업 위치_코드]],'2.직종별 인원현황'!$F16,표2[연장])</f>
        <v>0</v>
      </c>
      <c r="P16" s="267">
        <f ca="1">SUMIF(표2[[직종구분]:[작업 위치_코드]],'2.직종별 인원현황'!$F16,표2[야간])</f>
        <v>0</v>
      </c>
      <c r="Q16" s="268">
        <f ca="1">SUMIF(표2[[직종구분]:[작업 위치_코드]],'2.직종별 인원현황'!$F16,표2[철야])</f>
        <v>0</v>
      </c>
      <c r="R16" s="269">
        <f t="shared" ca="1" si="4"/>
        <v>0</v>
      </c>
      <c r="S16" s="270">
        <f t="shared" ca="1" si="3"/>
        <v>0</v>
      </c>
      <c r="T16" s="263">
        <f t="shared" ca="1" si="1"/>
        <v>0</v>
      </c>
      <c r="U16" s="263">
        <f t="shared" ca="1" si="1"/>
        <v>0</v>
      </c>
      <c r="V16" s="263">
        <f t="shared" ca="1" si="1"/>
        <v>0</v>
      </c>
      <c r="W16" s="264">
        <f t="shared" ca="1" si="1"/>
        <v>0</v>
      </c>
      <c r="X16" s="271">
        <f t="shared" ca="1" si="2"/>
        <v>0</v>
      </c>
    </row>
    <row r="17" spans="2:24" ht="15" customHeight="1">
      <c r="B17" s="27"/>
      <c r="C17" s="11"/>
      <c r="D17" s="11" t="s">
        <v>158</v>
      </c>
      <c r="E17" s="11" t="s">
        <v>151</v>
      </c>
      <c r="F17" s="278" t="s">
        <v>1958</v>
      </c>
      <c r="G17" s="242">
        <v>0</v>
      </c>
      <c r="H17" s="243">
        <v>0</v>
      </c>
      <c r="I17" s="243">
        <v>0</v>
      </c>
      <c r="J17" s="243">
        <v>0</v>
      </c>
      <c r="K17" s="244">
        <v>0</v>
      </c>
      <c r="L17" s="245">
        <v>0</v>
      </c>
      <c r="M17" s="246">
        <f ca="1">SUMIF(표2[[직종구분]:[작업 위치_코드]],'2.직종별 인원현황'!$F17,표2[조출])</f>
        <v>0</v>
      </c>
      <c r="N17" s="247">
        <f ca="1">SUMIF(표2[[직종구분]:[작업 위치_코드]],'2.직종별 인원현황'!$F17,표2[주간])</f>
        <v>0</v>
      </c>
      <c r="O17" s="247">
        <f ca="1">SUMIF(표2[[직종구분]:[작업 위치_코드]],'2.직종별 인원현황'!$F17,표2[연장])</f>
        <v>0</v>
      </c>
      <c r="P17" s="247">
        <f ca="1">SUMIF(표2[[직종구분]:[작업 위치_코드]],'2.직종별 인원현황'!$F17,표2[야간])</f>
        <v>0</v>
      </c>
      <c r="Q17" s="248">
        <f ca="1">SUMIF(표2[[직종구분]:[작업 위치_코드]],'2.직종별 인원현황'!$F17,표2[철야])</f>
        <v>0</v>
      </c>
      <c r="R17" s="249">
        <f t="shared" ca="1" si="4"/>
        <v>0</v>
      </c>
      <c r="S17" s="250">
        <f t="shared" ca="1" si="3"/>
        <v>0</v>
      </c>
      <c r="T17" s="243">
        <f t="shared" ca="1" si="1"/>
        <v>0</v>
      </c>
      <c r="U17" s="243">
        <f t="shared" ca="1" si="1"/>
        <v>0</v>
      </c>
      <c r="V17" s="243">
        <f t="shared" ca="1" si="1"/>
        <v>0</v>
      </c>
      <c r="W17" s="244">
        <f t="shared" ca="1" si="1"/>
        <v>0</v>
      </c>
      <c r="X17" s="251">
        <f t="shared" ca="1" si="2"/>
        <v>0</v>
      </c>
    </row>
    <row r="18" spans="2:24" ht="15" customHeight="1">
      <c r="B18" s="27"/>
      <c r="C18" s="11"/>
      <c r="D18" s="11" t="s">
        <v>159</v>
      </c>
      <c r="E18" s="11" t="s">
        <v>152</v>
      </c>
      <c r="F18" s="278" t="s">
        <v>1959</v>
      </c>
      <c r="G18" s="242">
        <v>0</v>
      </c>
      <c r="H18" s="243">
        <v>0</v>
      </c>
      <c r="I18" s="243">
        <v>0</v>
      </c>
      <c r="J18" s="243">
        <v>0</v>
      </c>
      <c r="K18" s="244">
        <v>0</v>
      </c>
      <c r="L18" s="245">
        <v>0</v>
      </c>
      <c r="M18" s="246">
        <f ca="1">SUMIF(표2[[직종구분]:[작업 위치_코드]],'2.직종별 인원현황'!$F18,표2[조출])</f>
        <v>0</v>
      </c>
      <c r="N18" s="247">
        <f ca="1">SUMIF(표2[[직종구분]:[작업 위치_코드]],'2.직종별 인원현황'!$F18,표2[주간])</f>
        <v>0</v>
      </c>
      <c r="O18" s="247">
        <f ca="1">SUMIF(표2[[직종구분]:[작업 위치_코드]],'2.직종별 인원현황'!$F18,표2[연장])</f>
        <v>0</v>
      </c>
      <c r="P18" s="247">
        <f ca="1">SUMIF(표2[[직종구분]:[작업 위치_코드]],'2.직종별 인원현황'!$F18,표2[야간])</f>
        <v>0</v>
      </c>
      <c r="Q18" s="248">
        <f ca="1">SUMIF(표2[[직종구분]:[작업 위치_코드]],'2.직종별 인원현황'!$F18,표2[철야])</f>
        <v>0</v>
      </c>
      <c r="R18" s="249">
        <f t="shared" ca="1" si="4"/>
        <v>0</v>
      </c>
      <c r="S18" s="250">
        <f t="shared" ca="1" si="3"/>
        <v>0</v>
      </c>
      <c r="T18" s="243">
        <f t="shared" ca="1" si="1"/>
        <v>0</v>
      </c>
      <c r="U18" s="243">
        <f t="shared" ca="1" si="1"/>
        <v>0</v>
      </c>
      <c r="V18" s="243">
        <f t="shared" ca="1" si="1"/>
        <v>0</v>
      </c>
      <c r="W18" s="244">
        <f t="shared" ca="1" si="1"/>
        <v>0</v>
      </c>
      <c r="X18" s="251">
        <f t="shared" ca="1" si="2"/>
        <v>0</v>
      </c>
    </row>
    <row r="19" spans="2:24" ht="15" customHeight="1">
      <c r="B19" s="27"/>
      <c r="C19" s="11"/>
      <c r="D19" s="11" t="s">
        <v>160</v>
      </c>
      <c r="E19" s="11" t="s">
        <v>153</v>
      </c>
      <c r="F19" s="278" t="s">
        <v>85</v>
      </c>
      <c r="G19" s="242">
        <v>0</v>
      </c>
      <c r="H19" s="243">
        <v>0</v>
      </c>
      <c r="I19" s="243">
        <v>0</v>
      </c>
      <c r="J19" s="243">
        <v>0</v>
      </c>
      <c r="K19" s="244">
        <v>0</v>
      </c>
      <c r="L19" s="245">
        <v>0</v>
      </c>
      <c r="M19" s="246">
        <f ca="1">SUMIF(표2[[직종구분]:[작업 위치_코드]],'2.직종별 인원현황'!$F19,표2[조출])</f>
        <v>0</v>
      </c>
      <c r="N19" s="247">
        <f ca="1">SUMIF(표2[[직종구분]:[작업 위치_코드]],'2.직종별 인원현황'!$F19,표2[주간])</f>
        <v>0</v>
      </c>
      <c r="O19" s="247">
        <f ca="1">SUMIF(표2[[직종구분]:[작업 위치_코드]],'2.직종별 인원현황'!$F19,표2[연장])</f>
        <v>0</v>
      </c>
      <c r="P19" s="247">
        <f ca="1">SUMIF(표2[[직종구분]:[작업 위치_코드]],'2.직종별 인원현황'!$F19,표2[야간])</f>
        <v>0</v>
      </c>
      <c r="Q19" s="248">
        <f ca="1">SUMIF(표2[[직종구분]:[작업 위치_코드]],'2.직종별 인원현황'!$F19,표2[철야])</f>
        <v>0</v>
      </c>
      <c r="R19" s="249">
        <f t="shared" ca="1" si="4"/>
        <v>0</v>
      </c>
      <c r="S19" s="250">
        <f t="shared" ca="1" si="3"/>
        <v>0</v>
      </c>
      <c r="T19" s="243">
        <f t="shared" ca="1" si="1"/>
        <v>0</v>
      </c>
      <c r="U19" s="243">
        <f t="shared" ca="1" si="1"/>
        <v>0</v>
      </c>
      <c r="V19" s="243">
        <f t="shared" ca="1" si="1"/>
        <v>0</v>
      </c>
      <c r="W19" s="244">
        <f t="shared" ca="1" si="1"/>
        <v>0</v>
      </c>
      <c r="X19" s="251">
        <f t="shared" ca="1" si="2"/>
        <v>0</v>
      </c>
    </row>
    <row r="20" spans="2:24" ht="15" customHeight="1">
      <c r="B20" s="27"/>
      <c r="C20" s="11"/>
      <c r="D20" s="11" t="s">
        <v>161</v>
      </c>
      <c r="E20" s="11" t="s">
        <v>154</v>
      </c>
      <c r="F20" s="278" t="s">
        <v>86</v>
      </c>
      <c r="G20" s="242">
        <v>0</v>
      </c>
      <c r="H20" s="243">
        <v>0</v>
      </c>
      <c r="I20" s="243">
        <v>0</v>
      </c>
      <c r="J20" s="243">
        <v>0</v>
      </c>
      <c r="K20" s="244">
        <v>0</v>
      </c>
      <c r="L20" s="245">
        <v>0</v>
      </c>
      <c r="M20" s="246">
        <f ca="1">SUMIF(표2[[직종구분]:[작업 위치_코드]],'2.직종별 인원현황'!$F20,표2[조출])</f>
        <v>0</v>
      </c>
      <c r="N20" s="247">
        <f ca="1">SUMIF(표2[[직종구분]:[작업 위치_코드]],'2.직종별 인원현황'!$F20,표2[주간])</f>
        <v>0</v>
      </c>
      <c r="O20" s="247">
        <f ca="1">SUMIF(표2[[직종구분]:[작업 위치_코드]],'2.직종별 인원현황'!$F20,표2[연장])</f>
        <v>0</v>
      </c>
      <c r="P20" s="247">
        <f ca="1">SUMIF(표2[[직종구분]:[작업 위치_코드]],'2.직종별 인원현황'!$F20,표2[야간])</f>
        <v>0</v>
      </c>
      <c r="Q20" s="248">
        <f ca="1">SUMIF(표2[[직종구분]:[작업 위치_코드]],'2.직종별 인원현황'!$F20,표2[철야])</f>
        <v>0</v>
      </c>
      <c r="R20" s="249">
        <f t="shared" ca="1" si="4"/>
        <v>0</v>
      </c>
      <c r="S20" s="250">
        <f t="shared" ca="1" si="3"/>
        <v>0</v>
      </c>
      <c r="T20" s="243">
        <f t="shared" ca="1" si="1"/>
        <v>0</v>
      </c>
      <c r="U20" s="243">
        <f t="shared" ca="1" si="1"/>
        <v>0</v>
      </c>
      <c r="V20" s="243">
        <f t="shared" ca="1" si="1"/>
        <v>0</v>
      </c>
      <c r="W20" s="244">
        <f t="shared" ca="1" si="1"/>
        <v>0</v>
      </c>
      <c r="X20" s="251">
        <f t="shared" ca="1" si="2"/>
        <v>0</v>
      </c>
    </row>
    <row r="21" spans="2:24" ht="15" customHeight="1">
      <c r="B21" s="27"/>
      <c r="C21" s="11"/>
      <c r="D21" s="11" t="s">
        <v>162</v>
      </c>
      <c r="E21" s="11" t="s">
        <v>155</v>
      </c>
      <c r="F21" s="278" t="s">
        <v>87</v>
      </c>
      <c r="G21" s="242">
        <v>0</v>
      </c>
      <c r="H21" s="243">
        <v>0</v>
      </c>
      <c r="I21" s="243">
        <v>0</v>
      </c>
      <c r="J21" s="243">
        <v>0</v>
      </c>
      <c r="K21" s="244">
        <v>0</v>
      </c>
      <c r="L21" s="245">
        <v>0</v>
      </c>
      <c r="M21" s="246">
        <f ca="1">SUMIF(표2[[직종구분]:[작업 위치_코드]],'2.직종별 인원현황'!$F21,표2[조출])</f>
        <v>0</v>
      </c>
      <c r="N21" s="247">
        <f ca="1">SUMIF(표2[[직종구분]:[작업 위치_코드]],'2.직종별 인원현황'!$F21,표2[주간])</f>
        <v>0</v>
      </c>
      <c r="O21" s="247">
        <f ca="1">SUMIF(표2[[직종구분]:[작업 위치_코드]],'2.직종별 인원현황'!$F21,표2[연장])</f>
        <v>0</v>
      </c>
      <c r="P21" s="247">
        <f ca="1">SUMIF(표2[[직종구분]:[작업 위치_코드]],'2.직종별 인원현황'!$F21,표2[야간])</f>
        <v>0</v>
      </c>
      <c r="Q21" s="248">
        <f ca="1">SUMIF(표2[[직종구분]:[작업 위치_코드]],'2.직종별 인원현황'!$F21,표2[철야])</f>
        <v>0</v>
      </c>
      <c r="R21" s="249">
        <f t="shared" ca="1" si="4"/>
        <v>0</v>
      </c>
      <c r="S21" s="250">
        <f t="shared" ca="1" si="3"/>
        <v>0</v>
      </c>
      <c r="T21" s="243">
        <f t="shared" ca="1" si="1"/>
        <v>0</v>
      </c>
      <c r="U21" s="243">
        <f t="shared" ca="1" si="1"/>
        <v>0</v>
      </c>
      <c r="V21" s="243">
        <f t="shared" ca="1" si="1"/>
        <v>0</v>
      </c>
      <c r="W21" s="244">
        <f t="shared" ca="1" si="1"/>
        <v>0</v>
      </c>
      <c r="X21" s="251">
        <f t="shared" ca="1" si="2"/>
        <v>0</v>
      </c>
    </row>
    <row r="22" spans="2:24" ht="15" customHeight="1">
      <c r="B22" s="27"/>
      <c r="C22" s="11"/>
      <c r="D22" s="11" t="s">
        <v>163</v>
      </c>
      <c r="E22" s="11" t="s">
        <v>156</v>
      </c>
      <c r="F22" s="278" t="s">
        <v>88</v>
      </c>
      <c r="G22" s="242">
        <v>0</v>
      </c>
      <c r="H22" s="243">
        <v>0</v>
      </c>
      <c r="I22" s="243">
        <v>0</v>
      </c>
      <c r="J22" s="243">
        <v>0</v>
      </c>
      <c r="K22" s="244">
        <v>0</v>
      </c>
      <c r="L22" s="245">
        <v>0</v>
      </c>
      <c r="M22" s="246">
        <f ca="1">SUMIF(표2[[직종구분]:[작업 위치_코드]],'2.직종별 인원현황'!$F22,표2[조출])</f>
        <v>0</v>
      </c>
      <c r="N22" s="247">
        <f ca="1">SUMIF(표2[[직종구분]:[작업 위치_코드]],'2.직종별 인원현황'!$F22,표2[주간])</f>
        <v>0</v>
      </c>
      <c r="O22" s="247">
        <f ca="1">SUMIF(표2[[직종구분]:[작업 위치_코드]],'2.직종별 인원현황'!$F22,표2[연장])</f>
        <v>0</v>
      </c>
      <c r="P22" s="247">
        <f ca="1">SUMIF(표2[[직종구분]:[작업 위치_코드]],'2.직종별 인원현황'!$F22,표2[야간])</f>
        <v>0</v>
      </c>
      <c r="Q22" s="248">
        <f ca="1">SUMIF(표2[[직종구분]:[작업 위치_코드]],'2.직종별 인원현황'!$F22,표2[철야])</f>
        <v>0</v>
      </c>
      <c r="R22" s="249">
        <f t="shared" ca="1" si="4"/>
        <v>0</v>
      </c>
      <c r="S22" s="250">
        <f t="shared" ca="1" si="3"/>
        <v>0</v>
      </c>
      <c r="T22" s="243">
        <f t="shared" ca="1" si="1"/>
        <v>0</v>
      </c>
      <c r="U22" s="243">
        <f t="shared" ca="1" si="1"/>
        <v>0</v>
      </c>
      <c r="V22" s="243">
        <f t="shared" ca="1" si="1"/>
        <v>0</v>
      </c>
      <c r="W22" s="244">
        <f t="shared" ca="1" si="1"/>
        <v>0</v>
      </c>
      <c r="X22" s="251">
        <f t="shared" ca="1" si="2"/>
        <v>0</v>
      </c>
    </row>
    <row r="23" spans="2:24" ht="15" customHeight="1">
      <c r="B23" s="27"/>
      <c r="C23" s="11"/>
      <c r="D23" s="11" t="s">
        <v>164</v>
      </c>
      <c r="E23" s="11" t="s">
        <v>218</v>
      </c>
      <c r="F23" s="278" t="s">
        <v>1960</v>
      </c>
      <c r="G23" s="242">
        <v>0</v>
      </c>
      <c r="H23" s="243">
        <v>0</v>
      </c>
      <c r="I23" s="243">
        <v>0</v>
      </c>
      <c r="J23" s="243">
        <v>0</v>
      </c>
      <c r="K23" s="244">
        <v>0</v>
      </c>
      <c r="L23" s="245">
        <v>0</v>
      </c>
      <c r="M23" s="246">
        <f ca="1">SUMIF(표2[[직종구분]:[작업 위치_코드]],'2.직종별 인원현황'!$F23,표2[조출])</f>
        <v>0</v>
      </c>
      <c r="N23" s="247">
        <f ca="1">SUMIF(표2[[직종구분]:[작업 위치_코드]],'2.직종별 인원현황'!$F23,표2[주간])</f>
        <v>0</v>
      </c>
      <c r="O23" s="247">
        <f ca="1">SUMIF(표2[[직종구분]:[작업 위치_코드]],'2.직종별 인원현황'!$F23,표2[연장])</f>
        <v>0</v>
      </c>
      <c r="P23" s="247">
        <f ca="1">SUMIF(표2[[직종구분]:[작업 위치_코드]],'2.직종별 인원현황'!$F23,표2[야간])</f>
        <v>0</v>
      </c>
      <c r="Q23" s="248">
        <f ca="1">SUMIF(표2[[직종구분]:[작업 위치_코드]],'2.직종별 인원현황'!$F23,표2[철야])</f>
        <v>0</v>
      </c>
      <c r="R23" s="249">
        <f t="shared" ca="1" si="4"/>
        <v>0</v>
      </c>
      <c r="S23" s="250">
        <f t="shared" ca="1" si="3"/>
        <v>0</v>
      </c>
      <c r="T23" s="243">
        <f t="shared" ca="1" si="1"/>
        <v>0</v>
      </c>
      <c r="U23" s="243">
        <f t="shared" ca="1" si="1"/>
        <v>0</v>
      </c>
      <c r="V23" s="243">
        <f t="shared" ca="1" si="1"/>
        <v>0</v>
      </c>
      <c r="W23" s="244">
        <f t="shared" ca="1" si="1"/>
        <v>0</v>
      </c>
      <c r="X23" s="251">
        <f t="shared" ca="1" si="2"/>
        <v>0</v>
      </c>
    </row>
    <row r="24" spans="2:24" ht="15" customHeight="1">
      <c r="B24" s="27"/>
      <c r="C24" s="11"/>
      <c r="D24" s="11" t="s">
        <v>165</v>
      </c>
      <c r="E24" s="11" t="s">
        <v>219</v>
      </c>
      <c r="F24" s="278" t="s">
        <v>1961</v>
      </c>
      <c r="G24" s="242">
        <v>0</v>
      </c>
      <c r="H24" s="243">
        <v>0</v>
      </c>
      <c r="I24" s="243">
        <v>0</v>
      </c>
      <c r="J24" s="243">
        <v>0</v>
      </c>
      <c r="K24" s="244">
        <v>0</v>
      </c>
      <c r="L24" s="245">
        <v>0</v>
      </c>
      <c r="M24" s="246">
        <f ca="1">SUMIF(표2[[직종구분]:[작업 위치_코드]],'2.직종별 인원현황'!$F24,표2[조출])</f>
        <v>0</v>
      </c>
      <c r="N24" s="247">
        <f ca="1">SUMIF(표2[[직종구분]:[작업 위치_코드]],'2.직종별 인원현황'!$F24,표2[주간])</f>
        <v>0</v>
      </c>
      <c r="O24" s="247">
        <f ca="1">SUMIF(표2[[직종구분]:[작업 위치_코드]],'2.직종별 인원현황'!$F24,표2[연장])</f>
        <v>0</v>
      </c>
      <c r="P24" s="247">
        <f ca="1">SUMIF(표2[[직종구분]:[작업 위치_코드]],'2.직종별 인원현황'!$F24,표2[야간])</f>
        <v>0</v>
      </c>
      <c r="Q24" s="248">
        <f ca="1">SUMIF(표2[[직종구분]:[작업 위치_코드]],'2.직종별 인원현황'!$F24,표2[철야])</f>
        <v>0</v>
      </c>
      <c r="R24" s="249">
        <f t="shared" ca="1" si="4"/>
        <v>0</v>
      </c>
      <c r="S24" s="250">
        <f t="shared" ca="1" si="3"/>
        <v>0</v>
      </c>
      <c r="T24" s="243">
        <f t="shared" ca="1" si="1"/>
        <v>0</v>
      </c>
      <c r="U24" s="243">
        <f t="shared" ca="1" si="1"/>
        <v>0</v>
      </c>
      <c r="V24" s="243">
        <f t="shared" ca="1" si="1"/>
        <v>0</v>
      </c>
      <c r="W24" s="244">
        <f t="shared" ca="1" si="1"/>
        <v>0</v>
      </c>
      <c r="X24" s="251">
        <f t="shared" ca="1" si="2"/>
        <v>0</v>
      </c>
    </row>
    <row r="25" spans="2:24" ht="15" customHeight="1">
      <c r="B25" s="27"/>
      <c r="C25" s="11"/>
      <c r="D25" s="11" t="s">
        <v>166</v>
      </c>
      <c r="E25" s="11" t="s">
        <v>220</v>
      </c>
      <c r="F25" s="278" t="s">
        <v>89</v>
      </c>
      <c r="G25" s="242">
        <v>0</v>
      </c>
      <c r="H25" s="243">
        <v>0</v>
      </c>
      <c r="I25" s="243">
        <v>0</v>
      </c>
      <c r="J25" s="243">
        <v>0</v>
      </c>
      <c r="K25" s="244">
        <v>0</v>
      </c>
      <c r="L25" s="245">
        <v>0</v>
      </c>
      <c r="M25" s="246">
        <f ca="1">SUMIF(표2[[직종구분]:[작업 위치_코드]],'2.직종별 인원현황'!$F25,표2[조출])</f>
        <v>0</v>
      </c>
      <c r="N25" s="247">
        <f ca="1">SUMIF(표2[[직종구분]:[작업 위치_코드]],'2.직종별 인원현황'!$F25,표2[주간])</f>
        <v>0</v>
      </c>
      <c r="O25" s="247">
        <f ca="1">SUMIF(표2[[직종구분]:[작업 위치_코드]],'2.직종별 인원현황'!$F25,표2[연장])</f>
        <v>0</v>
      </c>
      <c r="P25" s="247">
        <f ca="1">SUMIF(표2[[직종구분]:[작업 위치_코드]],'2.직종별 인원현황'!$F25,표2[야간])</f>
        <v>0</v>
      </c>
      <c r="Q25" s="248">
        <f ca="1">SUMIF(표2[[직종구분]:[작업 위치_코드]],'2.직종별 인원현황'!$F25,표2[철야])</f>
        <v>0</v>
      </c>
      <c r="R25" s="249">
        <f t="shared" ca="1" si="4"/>
        <v>0</v>
      </c>
      <c r="S25" s="250">
        <f t="shared" ca="1" si="3"/>
        <v>0</v>
      </c>
      <c r="T25" s="243">
        <f t="shared" ca="1" si="1"/>
        <v>0</v>
      </c>
      <c r="U25" s="243">
        <f t="shared" ca="1" si="1"/>
        <v>0</v>
      </c>
      <c r="V25" s="243">
        <f t="shared" ca="1" si="1"/>
        <v>0</v>
      </c>
      <c r="W25" s="244">
        <f t="shared" ca="1" si="1"/>
        <v>0</v>
      </c>
      <c r="X25" s="251">
        <f t="shared" ca="1" si="2"/>
        <v>0</v>
      </c>
    </row>
    <row r="26" spans="2:24" ht="15" customHeight="1">
      <c r="B26" s="27"/>
      <c r="C26" s="11"/>
      <c r="D26" s="11" t="s">
        <v>167</v>
      </c>
      <c r="E26" s="11" t="s">
        <v>221</v>
      </c>
      <c r="F26" s="278" t="s">
        <v>90</v>
      </c>
      <c r="G26" s="242">
        <v>0</v>
      </c>
      <c r="H26" s="243">
        <v>0</v>
      </c>
      <c r="I26" s="243">
        <v>0</v>
      </c>
      <c r="J26" s="243">
        <v>0</v>
      </c>
      <c r="K26" s="244">
        <v>0</v>
      </c>
      <c r="L26" s="245">
        <v>0</v>
      </c>
      <c r="M26" s="246">
        <f ca="1">SUMIF(표2[[직종구분]:[작업 위치_코드]],'2.직종별 인원현황'!$F26,표2[조출])</f>
        <v>0</v>
      </c>
      <c r="N26" s="247">
        <f ca="1">SUMIF(표2[[직종구분]:[작업 위치_코드]],'2.직종별 인원현황'!$F26,표2[주간])</f>
        <v>0</v>
      </c>
      <c r="O26" s="247">
        <f ca="1">SUMIF(표2[[직종구분]:[작업 위치_코드]],'2.직종별 인원현황'!$F26,표2[연장])</f>
        <v>0</v>
      </c>
      <c r="P26" s="247">
        <f ca="1">SUMIF(표2[[직종구분]:[작업 위치_코드]],'2.직종별 인원현황'!$F26,표2[야간])</f>
        <v>0</v>
      </c>
      <c r="Q26" s="248">
        <f ca="1">SUMIF(표2[[직종구분]:[작업 위치_코드]],'2.직종별 인원현황'!$F26,표2[철야])</f>
        <v>0</v>
      </c>
      <c r="R26" s="249">
        <f t="shared" ca="1" si="4"/>
        <v>0</v>
      </c>
      <c r="S26" s="250">
        <f t="shared" ca="1" si="3"/>
        <v>0</v>
      </c>
      <c r="T26" s="243">
        <f t="shared" ca="1" si="1"/>
        <v>0</v>
      </c>
      <c r="U26" s="243">
        <f t="shared" ca="1" si="1"/>
        <v>0</v>
      </c>
      <c r="V26" s="243">
        <f t="shared" ca="1" si="1"/>
        <v>0</v>
      </c>
      <c r="W26" s="244">
        <f t="shared" ca="1" si="1"/>
        <v>0</v>
      </c>
      <c r="X26" s="251">
        <f t="shared" ca="1" si="2"/>
        <v>0</v>
      </c>
    </row>
    <row r="27" spans="2:24" ht="15" customHeight="1">
      <c r="B27" s="27"/>
      <c r="C27" s="11"/>
      <c r="D27" s="11" t="s">
        <v>168</v>
      </c>
      <c r="E27" s="11" t="s">
        <v>222</v>
      </c>
      <c r="F27" s="278" t="s">
        <v>91</v>
      </c>
      <c r="G27" s="242">
        <v>0</v>
      </c>
      <c r="H27" s="243">
        <v>0</v>
      </c>
      <c r="I27" s="243">
        <v>0</v>
      </c>
      <c r="J27" s="243">
        <v>0</v>
      </c>
      <c r="K27" s="244">
        <v>0</v>
      </c>
      <c r="L27" s="245">
        <v>0</v>
      </c>
      <c r="M27" s="246">
        <f ca="1">SUMIF(표2[[직종구분]:[작업 위치_코드]],'2.직종별 인원현황'!$F27,표2[조출])</f>
        <v>0</v>
      </c>
      <c r="N27" s="247">
        <f ca="1">SUMIF(표2[[직종구분]:[작업 위치_코드]],'2.직종별 인원현황'!$F27,표2[주간])</f>
        <v>0</v>
      </c>
      <c r="O27" s="247">
        <f ca="1">SUMIF(표2[[직종구분]:[작업 위치_코드]],'2.직종별 인원현황'!$F27,표2[연장])</f>
        <v>0</v>
      </c>
      <c r="P27" s="247">
        <f ca="1">SUMIF(표2[[직종구분]:[작업 위치_코드]],'2.직종별 인원현황'!$F27,표2[야간])</f>
        <v>0</v>
      </c>
      <c r="Q27" s="248">
        <f ca="1">SUMIF(표2[[직종구분]:[작업 위치_코드]],'2.직종별 인원현황'!$F27,표2[철야])</f>
        <v>0</v>
      </c>
      <c r="R27" s="249">
        <f t="shared" ca="1" si="4"/>
        <v>0</v>
      </c>
      <c r="S27" s="250">
        <f t="shared" ca="1" si="3"/>
        <v>0</v>
      </c>
      <c r="T27" s="243">
        <f t="shared" ca="1" si="1"/>
        <v>0</v>
      </c>
      <c r="U27" s="243">
        <f t="shared" ca="1" si="1"/>
        <v>0</v>
      </c>
      <c r="V27" s="243">
        <f t="shared" ca="1" si="1"/>
        <v>0</v>
      </c>
      <c r="W27" s="244">
        <f t="shared" ca="1" si="1"/>
        <v>0</v>
      </c>
      <c r="X27" s="251">
        <f t="shared" ca="1" si="2"/>
        <v>0</v>
      </c>
    </row>
    <row r="28" spans="2:24" ht="15" customHeight="1">
      <c r="B28" s="27"/>
      <c r="C28" s="11"/>
      <c r="D28" s="11" t="s">
        <v>169</v>
      </c>
      <c r="E28" s="11" t="s">
        <v>223</v>
      </c>
      <c r="F28" s="278" t="s">
        <v>92</v>
      </c>
      <c r="G28" s="242">
        <v>0</v>
      </c>
      <c r="H28" s="243">
        <v>0</v>
      </c>
      <c r="I28" s="243">
        <v>0</v>
      </c>
      <c r="J28" s="243">
        <v>0</v>
      </c>
      <c r="K28" s="244">
        <v>0</v>
      </c>
      <c r="L28" s="245">
        <v>0</v>
      </c>
      <c r="M28" s="246">
        <f ca="1">SUMIF(표2[[직종구분]:[작업 위치_코드]],'2.직종별 인원현황'!$F28,표2[조출])</f>
        <v>0</v>
      </c>
      <c r="N28" s="247">
        <f ca="1">SUMIF(표2[[직종구분]:[작업 위치_코드]],'2.직종별 인원현황'!$F28,표2[주간])</f>
        <v>0</v>
      </c>
      <c r="O28" s="247">
        <f ca="1">SUMIF(표2[[직종구분]:[작업 위치_코드]],'2.직종별 인원현황'!$F28,표2[연장])</f>
        <v>0</v>
      </c>
      <c r="P28" s="247">
        <f ca="1">SUMIF(표2[[직종구분]:[작업 위치_코드]],'2.직종별 인원현황'!$F28,표2[야간])</f>
        <v>0</v>
      </c>
      <c r="Q28" s="248">
        <f ca="1">SUMIF(표2[[직종구분]:[작업 위치_코드]],'2.직종별 인원현황'!$F28,표2[철야])</f>
        <v>0</v>
      </c>
      <c r="R28" s="249">
        <f t="shared" ca="1" si="4"/>
        <v>0</v>
      </c>
      <c r="S28" s="250">
        <f t="shared" ca="1" si="3"/>
        <v>0</v>
      </c>
      <c r="T28" s="243">
        <f t="shared" ca="1" si="1"/>
        <v>0</v>
      </c>
      <c r="U28" s="243">
        <f t="shared" ca="1" si="1"/>
        <v>0</v>
      </c>
      <c r="V28" s="243">
        <f t="shared" ca="1" si="1"/>
        <v>0</v>
      </c>
      <c r="W28" s="244">
        <f t="shared" ca="1" si="1"/>
        <v>0</v>
      </c>
      <c r="X28" s="251">
        <f t="shared" ca="1" si="2"/>
        <v>0</v>
      </c>
    </row>
    <row r="29" spans="2:24" ht="15" customHeight="1">
      <c r="B29" s="27"/>
      <c r="C29" s="11"/>
      <c r="D29" s="11" t="s">
        <v>170</v>
      </c>
      <c r="E29" s="11" t="s">
        <v>224</v>
      </c>
      <c r="F29" s="278" t="s">
        <v>93</v>
      </c>
      <c r="G29" s="242">
        <v>0</v>
      </c>
      <c r="H29" s="243">
        <v>0</v>
      </c>
      <c r="I29" s="243">
        <v>0</v>
      </c>
      <c r="J29" s="243">
        <v>0</v>
      </c>
      <c r="K29" s="244">
        <v>0</v>
      </c>
      <c r="L29" s="245">
        <v>0</v>
      </c>
      <c r="M29" s="246">
        <f ca="1">SUMIF(표2[[직종구분]:[작업 위치_코드]],'2.직종별 인원현황'!$F29,표2[조출])</f>
        <v>0</v>
      </c>
      <c r="N29" s="247">
        <f ca="1">SUMIF(표2[[직종구분]:[작업 위치_코드]],'2.직종별 인원현황'!$F29,표2[주간])</f>
        <v>0</v>
      </c>
      <c r="O29" s="247">
        <f ca="1">SUMIF(표2[[직종구분]:[작업 위치_코드]],'2.직종별 인원현황'!$F29,표2[연장])</f>
        <v>0</v>
      </c>
      <c r="P29" s="247">
        <f ca="1">SUMIF(표2[[직종구분]:[작업 위치_코드]],'2.직종별 인원현황'!$F29,표2[야간])</f>
        <v>0</v>
      </c>
      <c r="Q29" s="248">
        <f ca="1">SUMIF(표2[[직종구분]:[작업 위치_코드]],'2.직종별 인원현황'!$F29,표2[철야])</f>
        <v>0</v>
      </c>
      <c r="R29" s="249">
        <f t="shared" ca="1" si="4"/>
        <v>0</v>
      </c>
      <c r="S29" s="250">
        <f t="shared" ca="1" si="3"/>
        <v>0</v>
      </c>
      <c r="T29" s="243">
        <f t="shared" ca="1" si="1"/>
        <v>0</v>
      </c>
      <c r="U29" s="243">
        <f t="shared" ca="1" si="1"/>
        <v>0</v>
      </c>
      <c r="V29" s="243">
        <f t="shared" ca="1" si="1"/>
        <v>0</v>
      </c>
      <c r="W29" s="244">
        <f t="shared" ca="1" si="1"/>
        <v>0</v>
      </c>
      <c r="X29" s="251">
        <f t="shared" ca="1" si="2"/>
        <v>0</v>
      </c>
    </row>
    <row r="30" spans="2:24" ht="15" customHeight="1">
      <c r="B30" s="27"/>
      <c r="C30" s="11"/>
      <c r="D30" s="11" t="s">
        <v>171</v>
      </c>
      <c r="E30" s="11" t="s">
        <v>225</v>
      </c>
      <c r="F30" s="278" t="s">
        <v>94</v>
      </c>
      <c r="G30" s="242">
        <v>0</v>
      </c>
      <c r="H30" s="243">
        <v>0</v>
      </c>
      <c r="I30" s="243">
        <v>0</v>
      </c>
      <c r="J30" s="243">
        <v>0</v>
      </c>
      <c r="K30" s="244">
        <v>0</v>
      </c>
      <c r="L30" s="245">
        <v>0</v>
      </c>
      <c r="M30" s="246">
        <f ca="1">SUMIF(표2[[직종구분]:[작업 위치_코드]],'2.직종별 인원현황'!$F30,표2[조출])</f>
        <v>0</v>
      </c>
      <c r="N30" s="247">
        <f ca="1">SUMIF(표2[[직종구분]:[작업 위치_코드]],'2.직종별 인원현황'!$F30,표2[주간])</f>
        <v>0</v>
      </c>
      <c r="O30" s="247">
        <f ca="1">SUMIF(표2[[직종구분]:[작업 위치_코드]],'2.직종별 인원현황'!$F30,표2[연장])</f>
        <v>0</v>
      </c>
      <c r="P30" s="247">
        <f ca="1">SUMIF(표2[[직종구분]:[작업 위치_코드]],'2.직종별 인원현황'!$F30,표2[야간])</f>
        <v>0</v>
      </c>
      <c r="Q30" s="248">
        <f ca="1">SUMIF(표2[[직종구분]:[작업 위치_코드]],'2.직종별 인원현황'!$F30,표2[철야])</f>
        <v>0</v>
      </c>
      <c r="R30" s="249">
        <f t="shared" ca="1" si="4"/>
        <v>0</v>
      </c>
      <c r="S30" s="250">
        <f t="shared" ca="1" si="3"/>
        <v>0</v>
      </c>
      <c r="T30" s="243">
        <f t="shared" ca="1" si="1"/>
        <v>0</v>
      </c>
      <c r="U30" s="243">
        <f t="shared" ca="1" si="1"/>
        <v>0</v>
      </c>
      <c r="V30" s="243">
        <f t="shared" ca="1" si="1"/>
        <v>0</v>
      </c>
      <c r="W30" s="244">
        <f t="shared" ca="1" si="1"/>
        <v>0</v>
      </c>
      <c r="X30" s="251">
        <f t="shared" ca="1" si="2"/>
        <v>0</v>
      </c>
    </row>
    <row r="31" spans="2:24" ht="15" customHeight="1">
      <c r="B31" s="27"/>
      <c r="C31" s="11"/>
      <c r="D31" s="11" t="s">
        <v>172</v>
      </c>
      <c r="E31" s="11" t="s">
        <v>226</v>
      </c>
      <c r="F31" s="278" t="s">
        <v>95</v>
      </c>
      <c r="G31" s="242">
        <v>0</v>
      </c>
      <c r="H31" s="243">
        <v>0</v>
      </c>
      <c r="I31" s="243">
        <v>0</v>
      </c>
      <c r="J31" s="243">
        <v>0</v>
      </c>
      <c r="K31" s="244">
        <v>0</v>
      </c>
      <c r="L31" s="245">
        <v>0</v>
      </c>
      <c r="M31" s="246">
        <f ca="1">SUMIF(표2[[직종구분]:[작업 위치_코드]],'2.직종별 인원현황'!$F31,표2[조출])</f>
        <v>0</v>
      </c>
      <c r="N31" s="247">
        <f ca="1">SUMIF(표2[[직종구분]:[작업 위치_코드]],'2.직종별 인원현황'!$F31,표2[주간])</f>
        <v>0</v>
      </c>
      <c r="O31" s="247">
        <f ca="1">SUMIF(표2[[직종구분]:[작업 위치_코드]],'2.직종별 인원현황'!$F31,표2[연장])</f>
        <v>0</v>
      </c>
      <c r="P31" s="247">
        <f ca="1">SUMIF(표2[[직종구분]:[작업 위치_코드]],'2.직종별 인원현황'!$F31,표2[야간])</f>
        <v>0</v>
      </c>
      <c r="Q31" s="248">
        <f ca="1">SUMIF(표2[[직종구분]:[작업 위치_코드]],'2.직종별 인원현황'!$F31,표2[철야])</f>
        <v>0</v>
      </c>
      <c r="R31" s="249">
        <f t="shared" ca="1" si="4"/>
        <v>0</v>
      </c>
      <c r="S31" s="250">
        <f t="shared" ca="1" si="3"/>
        <v>0</v>
      </c>
      <c r="T31" s="243">
        <f t="shared" ca="1" si="1"/>
        <v>0</v>
      </c>
      <c r="U31" s="243">
        <f t="shared" ca="1" si="1"/>
        <v>0</v>
      </c>
      <c r="V31" s="243">
        <f t="shared" ca="1" si="1"/>
        <v>0</v>
      </c>
      <c r="W31" s="244">
        <f t="shared" ca="1" si="1"/>
        <v>0</v>
      </c>
      <c r="X31" s="251">
        <f t="shared" ca="1" si="2"/>
        <v>0</v>
      </c>
    </row>
    <row r="32" spans="2:24" ht="15" customHeight="1">
      <c r="B32" s="27"/>
      <c r="C32" s="11"/>
      <c r="D32" s="11" t="s">
        <v>173</v>
      </c>
      <c r="E32" s="11" t="s">
        <v>227</v>
      </c>
      <c r="F32" s="278" t="s">
        <v>96</v>
      </c>
      <c r="G32" s="242">
        <v>0</v>
      </c>
      <c r="H32" s="243">
        <v>0</v>
      </c>
      <c r="I32" s="243">
        <v>0</v>
      </c>
      <c r="J32" s="243">
        <v>0</v>
      </c>
      <c r="K32" s="244">
        <v>0</v>
      </c>
      <c r="L32" s="245">
        <v>0</v>
      </c>
      <c r="M32" s="246">
        <f ca="1">SUMIF(표2[[직종구분]:[작업 위치_코드]],'2.직종별 인원현황'!$F32,표2[조출])</f>
        <v>0</v>
      </c>
      <c r="N32" s="247">
        <f ca="1">SUMIF(표2[[직종구분]:[작업 위치_코드]],'2.직종별 인원현황'!$F32,표2[주간])</f>
        <v>0</v>
      </c>
      <c r="O32" s="247">
        <f ca="1">SUMIF(표2[[직종구분]:[작업 위치_코드]],'2.직종별 인원현황'!$F32,표2[연장])</f>
        <v>0</v>
      </c>
      <c r="P32" s="247">
        <f ca="1">SUMIF(표2[[직종구분]:[작업 위치_코드]],'2.직종별 인원현황'!$F32,표2[야간])</f>
        <v>0</v>
      </c>
      <c r="Q32" s="248">
        <f ca="1">SUMIF(표2[[직종구분]:[작업 위치_코드]],'2.직종별 인원현황'!$F32,표2[철야])</f>
        <v>0</v>
      </c>
      <c r="R32" s="249">
        <f t="shared" ca="1" si="4"/>
        <v>0</v>
      </c>
      <c r="S32" s="250">
        <f t="shared" ca="1" si="3"/>
        <v>0</v>
      </c>
      <c r="T32" s="243">
        <f t="shared" ca="1" si="1"/>
        <v>0</v>
      </c>
      <c r="U32" s="243">
        <f t="shared" ca="1" si="1"/>
        <v>0</v>
      </c>
      <c r="V32" s="243">
        <f t="shared" ca="1" si="1"/>
        <v>0</v>
      </c>
      <c r="W32" s="244">
        <f t="shared" ca="1" si="1"/>
        <v>0</v>
      </c>
      <c r="X32" s="251">
        <f t="shared" ca="1" si="2"/>
        <v>0</v>
      </c>
    </row>
    <row r="33" spans="2:24" ht="15" customHeight="1">
      <c r="B33" s="27"/>
      <c r="C33" s="11"/>
      <c r="D33" s="11" t="s">
        <v>174</v>
      </c>
      <c r="E33" s="11" t="s">
        <v>228</v>
      </c>
      <c r="F33" s="278" t="s">
        <v>97</v>
      </c>
      <c r="G33" s="242">
        <v>0</v>
      </c>
      <c r="H33" s="243">
        <v>0</v>
      </c>
      <c r="I33" s="243">
        <v>0</v>
      </c>
      <c r="J33" s="243">
        <v>0</v>
      </c>
      <c r="K33" s="244">
        <v>0</v>
      </c>
      <c r="L33" s="245">
        <v>0</v>
      </c>
      <c r="M33" s="246">
        <f ca="1">SUMIF(표2[[직종구분]:[작업 위치_코드]],'2.직종별 인원현황'!$F33,표2[조출])</f>
        <v>0</v>
      </c>
      <c r="N33" s="247">
        <f ca="1">SUMIF(표2[[직종구분]:[작업 위치_코드]],'2.직종별 인원현황'!$F33,표2[주간])</f>
        <v>0</v>
      </c>
      <c r="O33" s="247">
        <f ca="1">SUMIF(표2[[직종구분]:[작업 위치_코드]],'2.직종별 인원현황'!$F33,표2[연장])</f>
        <v>0</v>
      </c>
      <c r="P33" s="247">
        <f ca="1">SUMIF(표2[[직종구분]:[작업 위치_코드]],'2.직종별 인원현황'!$F33,표2[야간])</f>
        <v>0</v>
      </c>
      <c r="Q33" s="248">
        <f ca="1">SUMIF(표2[[직종구분]:[작업 위치_코드]],'2.직종별 인원현황'!$F33,표2[철야])</f>
        <v>0</v>
      </c>
      <c r="R33" s="249">
        <f t="shared" ca="1" si="4"/>
        <v>0</v>
      </c>
      <c r="S33" s="250">
        <f t="shared" ca="1" si="3"/>
        <v>0</v>
      </c>
      <c r="T33" s="243">
        <f t="shared" ca="1" si="1"/>
        <v>0</v>
      </c>
      <c r="U33" s="243">
        <f t="shared" ca="1" si="1"/>
        <v>0</v>
      </c>
      <c r="V33" s="243">
        <f t="shared" ca="1" si="1"/>
        <v>0</v>
      </c>
      <c r="W33" s="244">
        <f t="shared" ca="1" si="1"/>
        <v>0</v>
      </c>
      <c r="X33" s="251">
        <f t="shared" ca="1" si="2"/>
        <v>0</v>
      </c>
    </row>
    <row r="34" spans="2:24" ht="15" customHeight="1">
      <c r="B34" s="27"/>
      <c r="C34" s="11"/>
      <c r="D34" s="11" t="s">
        <v>175</v>
      </c>
      <c r="E34" s="11" t="s">
        <v>229</v>
      </c>
      <c r="F34" s="278" t="s">
        <v>98</v>
      </c>
      <c r="G34" s="242">
        <v>0</v>
      </c>
      <c r="H34" s="243">
        <v>0</v>
      </c>
      <c r="I34" s="243">
        <v>0</v>
      </c>
      <c r="J34" s="243">
        <v>0</v>
      </c>
      <c r="K34" s="244">
        <v>0</v>
      </c>
      <c r="L34" s="245">
        <v>0</v>
      </c>
      <c r="M34" s="246">
        <f ca="1">SUMIF(표2[[직종구분]:[작업 위치_코드]],'2.직종별 인원현황'!$F34,표2[조출])</f>
        <v>0</v>
      </c>
      <c r="N34" s="247">
        <f ca="1">SUMIF(표2[[직종구분]:[작업 위치_코드]],'2.직종별 인원현황'!$F34,표2[주간])</f>
        <v>0</v>
      </c>
      <c r="O34" s="247">
        <f ca="1">SUMIF(표2[[직종구분]:[작업 위치_코드]],'2.직종별 인원현황'!$F34,표2[연장])</f>
        <v>0</v>
      </c>
      <c r="P34" s="247">
        <f ca="1">SUMIF(표2[[직종구분]:[작업 위치_코드]],'2.직종별 인원현황'!$F34,표2[야간])</f>
        <v>0</v>
      </c>
      <c r="Q34" s="248">
        <f ca="1">SUMIF(표2[[직종구분]:[작업 위치_코드]],'2.직종별 인원현황'!$F34,표2[철야])</f>
        <v>0</v>
      </c>
      <c r="R34" s="249">
        <f t="shared" ca="1" si="4"/>
        <v>0</v>
      </c>
      <c r="S34" s="250">
        <f t="shared" ca="1" si="3"/>
        <v>0</v>
      </c>
      <c r="T34" s="243">
        <f t="shared" ca="1" si="1"/>
        <v>0</v>
      </c>
      <c r="U34" s="243">
        <f t="shared" ca="1" si="1"/>
        <v>0</v>
      </c>
      <c r="V34" s="243">
        <f t="shared" ca="1" si="1"/>
        <v>0</v>
      </c>
      <c r="W34" s="244">
        <f t="shared" ca="1" si="1"/>
        <v>0</v>
      </c>
      <c r="X34" s="251">
        <f t="shared" ca="1" si="2"/>
        <v>0</v>
      </c>
    </row>
    <row r="35" spans="2:24" ht="15" customHeight="1">
      <c r="B35" s="27"/>
      <c r="C35" s="11"/>
      <c r="D35" s="11" t="s">
        <v>176</v>
      </c>
      <c r="E35" s="11" t="s">
        <v>230</v>
      </c>
      <c r="F35" s="278" t="s">
        <v>99</v>
      </c>
      <c r="G35" s="242">
        <v>0</v>
      </c>
      <c r="H35" s="243">
        <v>0</v>
      </c>
      <c r="I35" s="243">
        <v>0</v>
      </c>
      <c r="J35" s="243">
        <v>0</v>
      </c>
      <c r="K35" s="244">
        <v>0</v>
      </c>
      <c r="L35" s="245">
        <v>0</v>
      </c>
      <c r="M35" s="246">
        <f ca="1">SUMIF(표2[[직종구분]:[작업 위치_코드]],'2.직종별 인원현황'!$F35,표2[조출])</f>
        <v>0</v>
      </c>
      <c r="N35" s="247">
        <f ca="1">SUMIF(표2[[직종구분]:[작업 위치_코드]],'2.직종별 인원현황'!$F35,표2[주간])</f>
        <v>0</v>
      </c>
      <c r="O35" s="247">
        <f ca="1">SUMIF(표2[[직종구분]:[작업 위치_코드]],'2.직종별 인원현황'!$F35,표2[연장])</f>
        <v>0</v>
      </c>
      <c r="P35" s="247">
        <f ca="1">SUMIF(표2[[직종구분]:[작업 위치_코드]],'2.직종별 인원현황'!$F35,표2[야간])</f>
        <v>0</v>
      </c>
      <c r="Q35" s="248">
        <f ca="1">SUMIF(표2[[직종구분]:[작업 위치_코드]],'2.직종별 인원현황'!$F35,표2[철야])</f>
        <v>0</v>
      </c>
      <c r="R35" s="249">
        <f t="shared" ca="1" si="4"/>
        <v>0</v>
      </c>
      <c r="S35" s="250">
        <f t="shared" ca="1" si="3"/>
        <v>0</v>
      </c>
      <c r="T35" s="243">
        <f t="shared" ca="1" si="1"/>
        <v>0</v>
      </c>
      <c r="U35" s="243">
        <f t="shared" ca="1" si="1"/>
        <v>0</v>
      </c>
      <c r="V35" s="243">
        <f t="shared" ca="1" si="1"/>
        <v>0</v>
      </c>
      <c r="W35" s="244">
        <f t="shared" ca="1" si="1"/>
        <v>0</v>
      </c>
      <c r="X35" s="251">
        <f t="shared" ca="1" si="2"/>
        <v>0</v>
      </c>
    </row>
    <row r="36" spans="2:24" ht="15" customHeight="1">
      <c r="B36" s="27"/>
      <c r="C36" s="11"/>
      <c r="D36" s="11" t="s">
        <v>177</v>
      </c>
      <c r="E36" s="11" t="s">
        <v>231</v>
      </c>
      <c r="F36" s="278" t="s">
        <v>100</v>
      </c>
      <c r="G36" s="242">
        <v>88</v>
      </c>
      <c r="H36" s="243">
        <v>614</v>
      </c>
      <c r="I36" s="243">
        <v>430</v>
      </c>
      <c r="J36" s="243">
        <v>0</v>
      </c>
      <c r="K36" s="244">
        <v>0</v>
      </c>
      <c r="L36" s="245">
        <v>1132</v>
      </c>
      <c r="M36" s="246">
        <f ca="1">SUMIF(표2[[직종구분]:[작업 위치_코드]],'2.직종별 인원현황'!$F36,표2[조출])</f>
        <v>12</v>
      </c>
      <c r="N36" s="247">
        <f ca="1">SUMIF(표2[[직종구분]:[작업 위치_코드]],'2.직종별 인원현황'!$F36,표2[주간])</f>
        <v>31</v>
      </c>
      <c r="O36" s="247">
        <f ca="1">SUMIF(표2[[직종구분]:[작업 위치_코드]],'2.직종별 인원현황'!$F36,표2[연장])</f>
        <v>0</v>
      </c>
      <c r="P36" s="247">
        <f ca="1">SUMIF(표2[[직종구분]:[작업 위치_코드]],'2.직종별 인원현황'!$F36,표2[야간])</f>
        <v>0</v>
      </c>
      <c r="Q36" s="248">
        <f ca="1">SUMIF(표2[[직종구분]:[작업 위치_코드]],'2.직종별 인원현황'!$F36,표2[철야])</f>
        <v>0</v>
      </c>
      <c r="R36" s="249">
        <f t="shared" ca="1" si="4"/>
        <v>43</v>
      </c>
      <c r="S36" s="250">
        <f t="shared" ca="1" si="3"/>
        <v>100</v>
      </c>
      <c r="T36" s="243">
        <f t="shared" ca="1" si="1"/>
        <v>645</v>
      </c>
      <c r="U36" s="243">
        <f t="shared" ca="1" si="1"/>
        <v>430</v>
      </c>
      <c r="V36" s="243">
        <f t="shared" ca="1" si="1"/>
        <v>0</v>
      </c>
      <c r="W36" s="244">
        <f t="shared" ca="1" si="1"/>
        <v>0</v>
      </c>
      <c r="X36" s="251">
        <f t="shared" ca="1" si="2"/>
        <v>1175</v>
      </c>
    </row>
    <row r="37" spans="2:24" ht="15" customHeight="1">
      <c r="B37" s="27"/>
      <c r="C37" s="11"/>
      <c r="D37" s="11" t="s">
        <v>178</v>
      </c>
      <c r="E37" s="11" t="s">
        <v>232</v>
      </c>
      <c r="F37" s="278" t="s">
        <v>101</v>
      </c>
      <c r="G37" s="242">
        <v>0</v>
      </c>
      <c r="H37" s="243">
        <v>0</v>
      </c>
      <c r="I37" s="243">
        <v>0</v>
      </c>
      <c r="J37" s="243">
        <v>0</v>
      </c>
      <c r="K37" s="244">
        <v>0</v>
      </c>
      <c r="L37" s="245">
        <v>0</v>
      </c>
      <c r="M37" s="246">
        <f ca="1">SUMIF(표2[[직종구분]:[작업 위치_코드]],'2.직종별 인원현황'!$F37,표2[조출])</f>
        <v>0</v>
      </c>
      <c r="N37" s="247">
        <f ca="1">SUMIF(표2[[직종구분]:[작업 위치_코드]],'2.직종별 인원현황'!$F37,표2[주간])</f>
        <v>0</v>
      </c>
      <c r="O37" s="247">
        <f ca="1">SUMIF(표2[[직종구분]:[작업 위치_코드]],'2.직종별 인원현황'!$F37,표2[연장])</f>
        <v>0</v>
      </c>
      <c r="P37" s="247">
        <f ca="1">SUMIF(표2[[직종구분]:[작업 위치_코드]],'2.직종별 인원현황'!$F37,표2[야간])</f>
        <v>0</v>
      </c>
      <c r="Q37" s="248">
        <f ca="1">SUMIF(표2[[직종구분]:[작업 위치_코드]],'2.직종별 인원현황'!$F37,표2[철야])</f>
        <v>0</v>
      </c>
      <c r="R37" s="249">
        <f t="shared" ca="1" si="4"/>
        <v>0</v>
      </c>
      <c r="S37" s="250">
        <f t="shared" ca="1" si="3"/>
        <v>0</v>
      </c>
      <c r="T37" s="243">
        <f t="shared" ca="1" si="1"/>
        <v>0</v>
      </c>
      <c r="U37" s="243">
        <f t="shared" ca="1" si="1"/>
        <v>0</v>
      </c>
      <c r="V37" s="243">
        <f t="shared" ca="1" si="1"/>
        <v>0</v>
      </c>
      <c r="W37" s="244">
        <f t="shared" ca="1" si="1"/>
        <v>0</v>
      </c>
      <c r="X37" s="251">
        <f t="shared" ca="1" si="2"/>
        <v>0</v>
      </c>
    </row>
    <row r="38" spans="2:24" ht="15" customHeight="1">
      <c r="B38" s="27"/>
      <c r="C38" s="11"/>
      <c r="D38" s="11" t="s">
        <v>179</v>
      </c>
      <c r="E38" s="11" t="s">
        <v>233</v>
      </c>
      <c r="F38" s="278" t="s">
        <v>102</v>
      </c>
      <c r="G38" s="242">
        <v>0</v>
      </c>
      <c r="H38" s="243">
        <v>0</v>
      </c>
      <c r="I38" s="243">
        <v>0</v>
      </c>
      <c r="J38" s="243">
        <v>0</v>
      </c>
      <c r="K38" s="244">
        <v>0</v>
      </c>
      <c r="L38" s="245">
        <v>0</v>
      </c>
      <c r="M38" s="246">
        <f ca="1">SUMIF(표2[[직종구분]:[작업 위치_코드]],'2.직종별 인원현황'!$F38,표2[조출])</f>
        <v>0</v>
      </c>
      <c r="N38" s="247">
        <f ca="1">SUMIF(표2[[직종구분]:[작업 위치_코드]],'2.직종별 인원현황'!$F38,표2[주간])</f>
        <v>9</v>
      </c>
      <c r="O38" s="247">
        <f ca="1">SUMIF(표2[[직종구분]:[작업 위치_코드]],'2.직종별 인원현황'!$F38,표2[연장])</f>
        <v>0</v>
      </c>
      <c r="P38" s="247">
        <f ca="1">SUMIF(표2[[직종구분]:[작업 위치_코드]],'2.직종별 인원현황'!$F38,표2[야간])</f>
        <v>0</v>
      </c>
      <c r="Q38" s="248">
        <f ca="1">SUMIF(표2[[직종구분]:[작업 위치_코드]],'2.직종별 인원현황'!$F38,표2[철야])</f>
        <v>0</v>
      </c>
      <c r="R38" s="249">
        <f t="shared" ca="1" si="4"/>
        <v>9</v>
      </c>
      <c r="S38" s="250">
        <f t="shared" ca="1" si="3"/>
        <v>0</v>
      </c>
      <c r="T38" s="243">
        <f t="shared" ca="1" si="1"/>
        <v>9</v>
      </c>
      <c r="U38" s="243">
        <f t="shared" ca="1" si="1"/>
        <v>0</v>
      </c>
      <c r="V38" s="243">
        <f t="shared" ca="1" si="1"/>
        <v>0</v>
      </c>
      <c r="W38" s="244">
        <f t="shared" ca="1" si="1"/>
        <v>0</v>
      </c>
      <c r="X38" s="251">
        <f t="shared" ca="1" si="2"/>
        <v>9</v>
      </c>
    </row>
    <row r="39" spans="2:24" ht="15" customHeight="1">
      <c r="B39" s="27"/>
      <c r="C39" s="11"/>
      <c r="D39" s="11" t="s">
        <v>180</v>
      </c>
      <c r="E39" s="11" t="s">
        <v>234</v>
      </c>
      <c r="F39" s="278" t="s">
        <v>103</v>
      </c>
      <c r="G39" s="242">
        <v>0</v>
      </c>
      <c r="H39" s="243">
        <v>0</v>
      </c>
      <c r="I39" s="243">
        <v>0</v>
      </c>
      <c r="J39" s="243">
        <v>0</v>
      </c>
      <c r="K39" s="244">
        <v>0</v>
      </c>
      <c r="L39" s="245">
        <v>0</v>
      </c>
      <c r="M39" s="246">
        <f ca="1">SUMIF(표2[[직종구분]:[작업 위치_코드]],'2.직종별 인원현황'!$F39,표2[조출])</f>
        <v>0</v>
      </c>
      <c r="N39" s="247">
        <f ca="1">SUMIF(표2[[직종구분]:[작업 위치_코드]],'2.직종별 인원현황'!$F39,표2[주간])</f>
        <v>0</v>
      </c>
      <c r="O39" s="247">
        <f ca="1">SUMIF(표2[[직종구분]:[작업 위치_코드]],'2.직종별 인원현황'!$F39,표2[연장])</f>
        <v>0</v>
      </c>
      <c r="P39" s="247">
        <f ca="1">SUMIF(표2[[직종구분]:[작업 위치_코드]],'2.직종별 인원현황'!$F39,표2[야간])</f>
        <v>0</v>
      </c>
      <c r="Q39" s="248">
        <f ca="1">SUMIF(표2[[직종구분]:[작업 위치_코드]],'2.직종별 인원현황'!$F39,표2[철야])</f>
        <v>0</v>
      </c>
      <c r="R39" s="249">
        <f t="shared" ca="1" si="4"/>
        <v>0</v>
      </c>
      <c r="S39" s="250">
        <f t="shared" ca="1" si="3"/>
        <v>0</v>
      </c>
      <c r="T39" s="243">
        <f t="shared" ca="1" si="1"/>
        <v>0</v>
      </c>
      <c r="U39" s="243">
        <f t="shared" ca="1" si="1"/>
        <v>0</v>
      </c>
      <c r="V39" s="243">
        <f t="shared" ca="1" si="1"/>
        <v>0</v>
      </c>
      <c r="W39" s="244">
        <f t="shared" ca="1" si="1"/>
        <v>0</v>
      </c>
      <c r="X39" s="251">
        <f t="shared" ca="1" si="2"/>
        <v>0</v>
      </c>
    </row>
    <row r="40" spans="2:24" ht="15" customHeight="1">
      <c r="B40" s="27"/>
      <c r="C40" s="11"/>
      <c r="D40" s="11" t="s">
        <v>181</v>
      </c>
      <c r="E40" s="11" t="s">
        <v>235</v>
      </c>
      <c r="F40" s="278" t="s">
        <v>104</v>
      </c>
      <c r="G40" s="242">
        <v>0</v>
      </c>
      <c r="H40" s="243">
        <v>0</v>
      </c>
      <c r="I40" s="243">
        <v>0</v>
      </c>
      <c r="J40" s="243">
        <v>0</v>
      </c>
      <c r="K40" s="244">
        <v>0</v>
      </c>
      <c r="L40" s="245">
        <v>0</v>
      </c>
      <c r="M40" s="246">
        <f ca="1">SUMIF(표2[[직종구분]:[작업 위치_코드]],'2.직종별 인원현황'!$F40,표2[조출])</f>
        <v>0</v>
      </c>
      <c r="N40" s="247">
        <f ca="1">SUMIF(표2[[직종구분]:[작업 위치_코드]],'2.직종별 인원현황'!$F40,표2[주간])</f>
        <v>0</v>
      </c>
      <c r="O40" s="247">
        <f ca="1">SUMIF(표2[[직종구분]:[작업 위치_코드]],'2.직종별 인원현황'!$F40,표2[연장])</f>
        <v>0</v>
      </c>
      <c r="P40" s="247">
        <f ca="1">SUMIF(표2[[직종구분]:[작업 위치_코드]],'2.직종별 인원현황'!$F40,표2[야간])</f>
        <v>0</v>
      </c>
      <c r="Q40" s="248">
        <f ca="1">SUMIF(표2[[직종구분]:[작업 위치_코드]],'2.직종별 인원현황'!$F40,표2[철야])</f>
        <v>0</v>
      </c>
      <c r="R40" s="249">
        <f t="shared" ca="1" si="4"/>
        <v>0</v>
      </c>
      <c r="S40" s="250">
        <f t="shared" ca="1" si="3"/>
        <v>0</v>
      </c>
      <c r="T40" s="243">
        <f t="shared" ca="1" si="1"/>
        <v>0</v>
      </c>
      <c r="U40" s="243">
        <f t="shared" ca="1" si="1"/>
        <v>0</v>
      </c>
      <c r="V40" s="243">
        <f t="shared" ca="1" si="1"/>
        <v>0</v>
      </c>
      <c r="W40" s="244">
        <f t="shared" ca="1" si="1"/>
        <v>0</v>
      </c>
      <c r="X40" s="251">
        <f t="shared" ca="1" si="2"/>
        <v>0</v>
      </c>
    </row>
    <row r="41" spans="2:24" ht="15" customHeight="1">
      <c r="B41" s="27"/>
      <c r="C41" s="11"/>
      <c r="D41" s="11" t="s">
        <v>182</v>
      </c>
      <c r="E41" s="11" t="s">
        <v>236</v>
      </c>
      <c r="F41" s="278" t="s">
        <v>105</v>
      </c>
      <c r="G41" s="242">
        <v>39</v>
      </c>
      <c r="H41" s="243">
        <v>118</v>
      </c>
      <c r="I41" s="243">
        <v>89</v>
      </c>
      <c r="J41" s="243">
        <v>0</v>
      </c>
      <c r="K41" s="244">
        <v>0</v>
      </c>
      <c r="L41" s="245">
        <v>246</v>
      </c>
      <c r="M41" s="246">
        <f ca="1">SUMIF(표2[[직종구분]:[작업 위치_코드]],'2.직종별 인원현황'!$F41,표2[조출])</f>
        <v>0</v>
      </c>
      <c r="N41" s="247">
        <f ca="1">SUMIF(표2[[직종구분]:[작업 위치_코드]],'2.직종별 인원현황'!$F41,표2[주간])</f>
        <v>1</v>
      </c>
      <c r="O41" s="247">
        <f ca="1">SUMIF(표2[[직종구분]:[작업 위치_코드]],'2.직종별 인원현황'!$F41,표2[연장])</f>
        <v>0</v>
      </c>
      <c r="P41" s="247">
        <f ca="1">SUMIF(표2[[직종구분]:[작업 위치_코드]],'2.직종별 인원현황'!$F41,표2[야간])</f>
        <v>0</v>
      </c>
      <c r="Q41" s="248">
        <f ca="1">SUMIF(표2[[직종구분]:[작업 위치_코드]],'2.직종별 인원현황'!$F41,표2[철야])</f>
        <v>0</v>
      </c>
      <c r="R41" s="249">
        <f t="shared" ca="1" si="4"/>
        <v>1</v>
      </c>
      <c r="S41" s="250">
        <f t="shared" ca="1" si="3"/>
        <v>39</v>
      </c>
      <c r="T41" s="243">
        <f t="shared" ca="1" si="1"/>
        <v>119</v>
      </c>
      <c r="U41" s="243">
        <f t="shared" ca="1" si="1"/>
        <v>89</v>
      </c>
      <c r="V41" s="243">
        <f t="shared" ca="1" si="1"/>
        <v>0</v>
      </c>
      <c r="W41" s="244">
        <f t="shared" ca="1" si="1"/>
        <v>0</v>
      </c>
      <c r="X41" s="251">
        <f t="shared" ca="1" si="2"/>
        <v>247</v>
      </c>
    </row>
    <row r="42" spans="2:24" ht="15" customHeight="1">
      <c r="B42" s="27"/>
      <c r="C42" s="11"/>
      <c r="D42" s="11" t="s">
        <v>183</v>
      </c>
      <c r="E42" s="11" t="s">
        <v>237</v>
      </c>
      <c r="F42" s="278" t="s">
        <v>106</v>
      </c>
      <c r="G42" s="242">
        <v>0</v>
      </c>
      <c r="H42" s="243">
        <v>0</v>
      </c>
      <c r="I42" s="243">
        <v>0</v>
      </c>
      <c r="J42" s="243">
        <v>0</v>
      </c>
      <c r="K42" s="244">
        <v>0</v>
      </c>
      <c r="L42" s="245">
        <v>0</v>
      </c>
      <c r="M42" s="246">
        <f ca="1">SUMIF(표2[[직종구분]:[작업 위치_코드]],'2.직종별 인원현황'!$F42,표2[조출])</f>
        <v>0</v>
      </c>
      <c r="N42" s="247">
        <f ca="1">SUMIF(표2[[직종구분]:[작업 위치_코드]],'2.직종별 인원현황'!$F42,표2[주간])</f>
        <v>0</v>
      </c>
      <c r="O42" s="247">
        <f ca="1">SUMIF(표2[[직종구분]:[작업 위치_코드]],'2.직종별 인원현황'!$F42,표2[연장])</f>
        <v>0</v>
      </c>
      <c r="P42" s="247">
        <f ca="1">SUMIF(표2[[직종구분]:[작업 위치_코드]],'2.직종별 인원현황'!$F42,표2[야간])</f>
        <v>0</v>
      </c>
      <c r="Q42" s="248">
        <f ca="1">SUMIF(표2[[직종구분]:[작업 위치_코드]],'2.직종별 인원현황'!$F42,표2[철야])</f>
        <v>0</v>
      </c>
      <c r="R42" s="249">
        <f t="shared" ca="1" si="4"/>
        <v>0</v>
      </c>
      <c r="S42" s="250">
        <f t="shared" ca="1" si="3"/>
        <v>0</v>
      </c>
      <c r="T42" s="243">
        <f t="shared" ca="1" si="1"/>
        <v>0</v>
      </c>
      <c r="U42" s="243">
        <f t="shared" ca="1" si="1"/>
        <v>0</v>
      </c>
      <c r="V42" s="243">
        <f t="shared" ca="1" si="1"/>
        <v>0</v>
      </c>
      <c r="W42" s="244">
        <f t="shared" ca="1" si="1"/>
        <v>0</v>
      </c>
      <c r="X42" s="251">
        <f t="shared" ca="1" si="2"/>
        <v>0</v>
      </c>
    </row>
    <row r="43" spans="2:24" ht="15" customHeight="1">
      <c r="B43" s="27"/>
      <c r="C43" s="11"/>
      <c r="D43" s="11" t="s">
        <v>184</v>
      </c>
      <c r="E43" s="11" t="s">
        <v>238</v>
      </c>
      <c r="F43" s="278" t="s">
        <v>107</v>
      </c>
      <c r="G43" s="242">
        <v>0</v>
      </c>
      <c r="H43" s="243">
        <v>0</v>
      </c>
      <c r="I43" s="243">
        <v>0</v>
      </c>
      <c r="J43" s="243">
        <v>0</v>
      </c>
      <c r="K43" s="244">
        <v>0</v>
      </c>
      <c r="L43" s="245">
        <v>0</v>
      </c>
      <c r="M43" s="246">
        <f ca="1">SUMIF(표2[[직종구분]:[작업 위치_코드]],'2.직종별 인원현황'!$F43,표2[조출])</f>
        <v>0</v>
      </c>
      <c r="N43" s="247">
        <f ca="1">SUMIF(표2[[직종구분]:[작업 위치_코드]],'2.직종별 인원현황'!$F43,표2[주간])</f>
        <v>0</v>
      </c>
      <c r="O43" s="247">
        <f ca="1">SUMIF(표2[[직종구분]:[작업 위치_코드]],'2.직종별 인원현황'!$F43,표2[연장])</f>
        <v>0</v>
      </c>
      <c r="P43" s="247">
        <f ca="1">SUMIF(표2[[직종구분]:[작업 위치_코드]],'2.직종별 인원현황'!$F43,표2[야간])</f>
        <v>0</v>
      </c>
      <c r="Q43" s="248">
        <f ca="1">SUMIF(표2[[직종구분]:[작업 위치_코드]],'2.직종별 인원현황'!$F43,표2[철야])</f>
        <v>0</v>
      </c>
      <c r="R43" s="249">
        <f t="shared" ca="1" si="4"/>
        <v>0</v>
      </c>
      <c r="S43" s="250">
        <f t="shared" ca="1" si="3"/>
        <v>0</v>
      </c>
      <c r="T43" s="243">
        <f t="shared" ca="1" si="1"/>
        <v>0</v>
      </c>
      <c r="U43" s="243">
        <f t="shared" ca="1" si="1"/>
        <v>0</v>
      </c>
      <c r="V43" s="243">
        <f t="shared" ca="1" si="1"/>
        <v>0</v>
      </c>
      <c r="W43" s="244">
        <f t="shared" ca="1" si="1"/>
        <v>0</v>
      </c>
      <c r="X43" s="251">
        <f t="shared" ca="1" si="2"/>
        <v>0</v>
      </c>
    </row>
    <row r="44" spans="2:24" ht="15" customHeight="1">
      <c r="B44" s="27"/>
      <c r="C44" s="11"/>
      <c r="D44" s="11" t="s">
        <v>185</v>
      </c>
      <c r="E44" s="11" t="s">
        <v>239</v>
      </c>
      <c r="F44" s="278" t="s">
        <v>108</v>
      </c>
      <c r="G44" s="242">
        <v>0</v>
      </c>
      <c r="H44" s="243">
        <v>0</v>
      </c>
      <c r="I44" s="243">
        <v>0</v>
      </c>
      <c r="J44" s="243">
        <v>0</v>
      </c>
      <c r="K44" s="244">
        <v>0</v>
      </c>
      <c r="L44" s="245">
        <v>0</v>
      </c>
      <c r="M44" s="246">
        <f ca="1">SUMIF(표2[[직종구분]:[작업 위치_코드]],'2.직종별 인원현황'!$F44,표2[조출])</f>
        <v>0</v>
      </c>
      <c r="N44" s="247">
        <f ca="1">SUMIF(표2[[직종구분]:[작업 위치_코드]],'2.직종별 인원현황'!$F44,표2[주간])</f>
        <v>0</v>
      </c>
      <c r="O44" s="247">
        <f ca="1">SUMIF(표2[[직종구분]:[작업 위치_코드]],'2.직종별 인원현황'!$F44,표2[연장])</f>
        <v>0</v>
      </c>
      <c r="P44" s="247">
        <f ca="1">SUMIF(표2[[직종구분]:[작업 위치_코드]],'2.직종별 인원현황'!$F44,표2[야간])</f>
        <v>0</v>
      </c>
      <c r="Q44" s="248">
        <f ca="1">SUMIF(표2[[직종구분]:[작업 위치_코드]],'2.직종별 인원현황'!$F44,표2[철야])</f>
        <v>0</v>
      </c>
      <c r="R44" s="249">
        <f t="shared" ca="1" si="4"/>
        <v>0</v>
      </c>
      <c r="S44" s="250">
        <f t="shared" ca="1" si="3"/>
        <v>0</v>
      </c>
      <c r="T44" s="243">
        <f t="shared" ca="1" si="1"/>
        <v>0</v>
      </c>
      <c r="U44" s="243">
        <f t="shared" ca="1" si="1"/>
        <v>0</v>
      </c>
      <c r="V44" s="243">
        <f t="shared" ca="1" si="1"/>
        <v>0</v>
      </c>
      <c r="W44" s="244">
        <f t="shared" ca="1" si="1"/>
        <v>0</v>
      </c>
      <c r="X44" s="251">
        <f t="shared" ca="1" si="2"/>
        <v>0</v>
      </c>
    </row>
    <row r="45" spans="2:24" ht="15" customHeight="1">
      <c r="B45" s="27"/>
      <c r="C45" s="11"/>
      <c r="D45" s="11" t="s">
        <v>186</v>
      </c>
      <c r="E45" s="11" t="s">
        <v>240</v>
      </c>
      <c r="F45" s="278" t="s">
        <v>109</v>
      </c>
      <c r="G45" s="242">
        <v>0</v>
      </c>
      <c r="H45" s="243">
        <v>0</v>
      </c>
      <c r="I45" s="243">
        <v>0</v>
      </c>
      <c r="J45" s="243">
        <v>0</v>
      </c>
      <c r="K45" s="244">
        <v>0</v>
      </c>
      <c r="L45" s="245">
        <v>0</v>
      </c>
      <c r="M45" s="246">
        <f ca="1">SUMIF(표2[[직종구분]:[작업 위치_코드]],'2.직종별 인원현황'!$F45,표2[조출])</f>
        <v>0</v>
      </c>
      <c r="N45" s="247">
        <f ca="1">SUMIF(표2[[직종구분]:[작업 위치_코드]],'2.직종별 인원현황'!$F45,표2[주간])</f>
        <v>0</v>
      </c>
      <c r="O45" s="247">
        <f ca="1">SUMIF(표2[[직종구분]:[작업 위치_코드]],'2.직종별 인원현황'!$F45,표2[연장])</f>
        <v>0</v>
      </c>
      <c r="P45" s="247">
        <f ca="1">SUMIF(표2[[직종구분]:[작업 위치_코드]],'2.직종별 인원현황'!$F45,표2[야간])</f>
        <v>0</v>
      </c>
      <c r="Q45" s="248">
        <f ca="1">SUMIF(표2[[직종구분]:[작업 위치_코드]],'2.직종별 인원현황'!$F45,표2[철야])</f>
        <v>0</v>
      </c>
      <c r="R45" s="249">
        <f t="shared" ca="1" si="4"/>
        <v>0</v>
      </c>
      <c r="S45" s="250">
        <f t="shared" ca="1" si="3"/>
        <v>0</v>
      </c>
      <c r="T45" s="243">
        <f t="shared" ca="1" si="1"/>
        <v>0</v>
      </c>
      <c r="U45" s="243">
        <f t="shared" ca="1" si="1"/>
        <v>0</v>
      </c>
      <c r="V45" s="243">
        <f t="shared" ca="1" si="1"/>
        <v>0</v>
      </c>
      <c r="W45" s="244">
        <f t="shared" ca="1" si="1"/>
        <v>0</v>
      </c>
      <c r="X45" s="251">
        <f t="shared" ca="1" si="2"/>
        <v>0</v>
      </c>
    </row>
    <row r="46" spans="2:24" ht="15" customHeight="1">
      <c r="B46" s="27"/>
      <c r="C46" s="11"/>
      <c r="D46" s="11" t="s">
        <v>187</v>
      </c>
      <c r="E46" s="11" t="s">
        <v>241</v>
      </c>
      <c r="F46" s="278" t="s">
        <v>110</v>
      </c>
      <c r="G46" s="242">
        <v>0</v>
      </c>
      <c r="H46" s="243">
        <v>0</v>
      </c>
      <c r="I46" s="243">
        <v>0</v>
      </c>
      <c r="J46" s="243">
        <v>0</v>
      </c>
      <c r="K46" s="244">
        <v>0</v>
      </c>
      <c r="L46" s="245">
        <v>0</v>
      </c>
      <c r="M46" s="246">
        <f ca="1">SUMIF(표2[[직종구분]:[작업 위치_코드]],'2.직종별 인원현황'!$F46,표2[조출])</f>
        <v>0</v>
      </c>
      <c r="N46" s="247">
        <f ca="1">SUMIF(표2[[직종구분]:[작업 위치_코드]],'2.직종별 인원현황'!$F46,표2[주간])</f>
        <v>0</v>
      </c>
      <c r="O46" s="247">
        <f ca="1">SUMIF(표2[[직종구분]:[작업 위치_코드]],'2.직종별 인원현황'!$F46,표2[연장])</f>
        <v>0</v>
      </c>
      <c r="P46" s="247">
        <f ca="1">SUMIF(표2[[직종구분]:[작업 위치_코드]],'2.직종별 인원현황'!$F46,표2[야간])</f>
        <v>0</v>
      </c>
      <c r="Q46" s="248">
        <f ca="1">SUMIF(표2[[직종구분]:[작업 위치_코드]],'2.직종별 인원현황'!$F46,표2[철야])</f>
        <v>0</v>
      </c>
      <c r="R46" s="249">
        <f t="shared" ca="1" si="4"/>
        <v>0</v>
      </c>
      <c r="S46" s="250">
        <f t="shared" ca="1" si="3"/>
        <v>0</v>
      </c>
      <c r="T46" s="243">
        <f t="shared" ca="1" si="1"/>
        <v>0</v>
      </c>
      <c r="U46" s="243">
        <f t="shared" ca="1" si="1"/>
        <v>0</v>
      </c>
      <c r="V46" s="243">
        <f t="shared" ca="1" si="1"/>
        <v>0</v>
      </c>
      <c r="W46" s="244">
        <f t="shared" ca="1" si="1"/>
        <v>0</v>
      </c>
      <c r="X46" s="251">
        <f t="shared" ca="1" si="2"/>
        <v>0</v>
      </c>
    </row>
    <row r="47" spans="2:24" ht="15" customHeight="1">
      <c r="B47" s="27"/>
      <c r="C47" s="11"/>
      <c r="D47" s="11" t="s">
        <v>188</v>
      </c>
      <c r="E47" s="11" t="s">
        <v>242</v>
      </c>
      <c r="F47" s="278" t="s">
        <v>111</v>
      </c>
      <c r="G47" s="242">
        <v>51</v>
      </c>
      <c r="H47" s="243">
        <v>173</v>
      </c>
      <c r="I47" s="243">
        <v>103</v>
      </c>
      <c r="J47" s="243">
        <v>0</v>
      </c>
      <c r="K47" s="244">
        <v>0</v>
      </c>
      <c r="L47" s="245">
        <v>327</v>
      </c>
      <c r="M47" s="246">
        <f ca="1">SUMIF(표2[[직종구분]:[작업 위치_코드]],'2.직종별 인원현황'!$F47,표2[조출])</f>
        <v>8</v>
      </c>
      <c r="N47" s="247">
        <f ca="1">SUMIF(표2[[직종구분]:[작업 위치_코드]],'2.직종별 인원현황'!$F47,표2[주간])</f>
        <v>18</v>
      </c>
      <c r="O47" s="247">
        <f ca="1">SUMIF(표2[[직종구분]:[작업 위치_코드]],'2.직종별 인원현황'!$F47,표2[연장])</f>
        <v>0</v>
      </c>
      <c r="P47" s="247">
        <f ca="1">SUMIF(표2[[직종구분]:[작업 위치_코드]],'2.직종별 인원현황'!$F47,표2[야간])</f>
        <v>0</v>
      </c>
      <c r="Q47" s="248">
        <f ca="1">SUMIF(표2[[직종구분]:[작업 위치_코드]],'2.직종별 인원현황'!$F47,표2[철야])</f>
        <v>0</v>
      </c>
      <c r="R47" s="249">
        <f t="shared" ca="1" si="4"/>
        <v>26</v>
      </c>
      <c r="S47" s="250">
        <f t="shared" ca="1" si="3"/>
        <v>59</v>
      </c>
      <c r="T47" s="243">
        <f t="shared" ca="1" si="1"/>
        <v>191</v>
      </c>
      <c r="U47" s="243">
        <f t="shared" ca="1" si="1"/>
        <v>103</v>
      </c>
      <c r="V47" s="243">
        <f t="shared" ca="1" si="1"/>
        <v>0</v>
      </c>
      <c r="W47" s="244">
        <f t="shared" ca="1" si="1"/>
        <v>0</v>
      </c>
      <c r="X47" s="251">
        <f t="shared" ca="1" si="2"/>
        <v>353</v>
      </c>
    </row>
    <row r="48" spans="2:24" ht="15" customHeight="1">
      <c r="B48" s="27"/>
      <c r="C48" s="11"/>
      <c r="D48" s="11" t="s">
        <v>189</v>
      </c>
      <c r="E48" s="11" t="s">
        <v>243</v>
      </c>
      <c r="F48" s="278" t="s">
        <v>112</v>
      </c>
      <c r="G48" s="242">
        <v>42</v>
      </c>
      <c r="H48" s="243">
        <v>234</v>
      </c>
      <c r="I48" s="243">
        <v>153</v>
      </c>
      <c r="J48" s="243">
        <v>0</v>
      </c>
      <c r="K48" s="244">
        <v>0</v>
      </c>
      <c r="L48" s="245">
        <v>429</v>
      </c>
      <c r="M48" s="246">
        <f ca="1">SUMIF(표2[[직종구분]:[작업 위치_코드]],'2.직종별 인원현황'!$F48,표2[조출])</f>
        <v>2</v>
      </c>
      <c r="N48" s="247">
        <f ca="1">SUMIF(표2[[직종구분]:[작업 위치_코드]],'2.직종별 인원현황'!$F48,표2[주간])</f>
        <v>21</v>
      </c>
      <c r="O48" s="247">
        <f ca="1">SUMIF(표2[[직종구분]:[작업 위치_코드]],'2.직종별 인원현황'!$F48,표2[연장])</f>
        <v>0</v>
      </c>
      <c r="P48" s="247">
        <f ca="1">SUMIF(표2[[직종구분]:[작업 위치_코드]],'2.직종별 인원현황'!$F48,표2[야간])</f>
        <v>0</v>
      </c>
      <c r="Q48" s="248">
        <f ca="1">SUMIF(표2[[직종구분]:[작업 위치_코드]],'2.직종별 인원현황'!$F48,표2[철야])</f>
        <v>0</v>
      </c>
      <c r="R48" s="249">
        <f t="shared" ca="1" si="4"/>
        <v>23</v>
      </c>
      <c r="S48" s="250">
        <f t="shared" ca="1" si="3"/>
        <v>44</v>
      </c>
      <c r="T48" s="243">
        <f t="shared" ca="1" si="1"/>
        <v>255</v>
      </c>
      <c r="U48" s="243">
        <f t="shared" ca="1" si="1"/>
        <v>153</v>
      </c>
      <c r="V48" s="243">
        <f t="shared" ca="1" si="1"/>
        <v>0</v>
      </c>
      <c r="W48" s="244">
        <f t="shared" ca="1" si="1"/>
        <v>0</v>
      </c>
      <c r="X48" s="251">
        <f t="shared" ca="1" si="2"/>
        <v>452</v>
      </c>
    </row>
    <row r="49" spans="2:24" ht="15" customHeight="1">
      <c r="B49" s="27"/>
      <c r="C49" s="11"/>
      <c r="D49" s="11" t="s">
        <v>190</v>
      </c>
      <c r="E49" s="11" t="s">
        <v>244</v>
      </c>
      <c r="F49" s="278" t="s">
        <v>113</v>
      </c>
      <c r="G49" s="242">
        <v>0</v>
      </c>
      <c r="H49" s="243">
        <v>0</v>
      </c>
      <c r="I49" s="243">
        <v>0</v>
      </c>
      <c r="J49" s="243">
        <v>0</v>
      </c>
      <c r="K49" s="244">
        <v>0</v>
      </c>
      <c r="L49" s="245">
        <v>0</v>
      </c>
      <c r="M49" s="246">
        <f ca="1">SUMIF(표2[[직종구분]:[작업 위치_코드]],'2.직종별 인원현황'!$F49,표2[조출])</f>
        <v>0</v>
      </c>
      <c r="N49" s="247">
        <f ca="1">SUMIF(표2[[직종구분]:[작업 위치_코드]],'2.직종별 인원현황'!$F49,표2[주간])</f>
        <v>0</v>
      </c>
      <c r="O49" s="247">
        <f ca="1">SUMIF(표2[[직종구분]:[작업 위치_코드]],'2.직종별 인원현황'!$F49,표2[연장])</f>
        <v>0</v>
      </c>
      <c r="P49" s="247">
        <f ca="1">SUMIF(표2[[직종구분]:[작업 위치_코드]],'2.직종별 인원현황'!$F49,표2[야간])</f>
        <v>0</v>
      </c>
      <c r="Q49" s="248">
        <f ca="1">SUMIF(표2[[직종구분]:[작업 위치_코드]],'2.직종별 인원현황'!$F49,표2[철야])</f>
        <v>0</v>
      </c>
      <c r="R49" s="249">
        <f t="shared" ca="1" si="4"/>
        <v>0</v>
      </c>
      <c r="S49" s="250">
        <f t="shared" ca="1" si="3"/>
        <v>0</v>
      </c>
      <c r="T49" s="243">
        <f t="shared" ca="1" si="1"/>
        <v>0</v>
      </c>
      <c r="U49" s="243">
        <f t="shared" ca="1" si="1"/>
        <v>0</v>
      </c>
      <c r="V49" s="243">
        <f t="shared" ca="1" si="1"/>
        <v>0</v>
      </c>
      <c r="W49" s="244">
        <f t="shared" ca="1" si="1"/>
        <v>0</v>
      </c>
      <c r="X49" s="251">
        <f t="shared" ca="1" si="2"/>
        <v>0</v>
      </c>
    </row>
    <row r="50" spans="2:24" ht="15" customHeight="1">
      <c r="B50" s="27"/>
      <c r="C50" s="11"/>
      <c r="D50" s="11" t="s">
        <v>191</v>
      </c>
      <c r="E50" s="11" t="s">
        <v>245</v>
      </c>
      <c r="F50" s="278" t="s">
        <v>114</v>
      </c>
      <c r="G50" s="242">
        <v>0</v>
      </c>
      <c r="H50" s="243">
        <v>0</v>
      </c>
      <c r="I50" s="243">
        <v>0</v>
      </c>
      <c r="J50" s="243">
        <v>0</v>
      </c>
      <c r="K50" s="244">
        <v>0</v>
      </c>
      <c r="L50" s="245">
        <v>0</v>
      </c>
      <c r="M50" s="246">
        <f ca="1">SUMIF(표2[[직종구분]:[작업 위치_코드]],'2.직종별 인원현황'!$F50,표2[조출])</f>
        <v>0</v>
      </c>
      <c r="N50" s="247">
        <f ca="1">SUMIF(표2[[직종구분]:[작업 위치_코드]],'2.직종별 인원현황'!$F50,표2[주간])</f>
        <v>0</v>
      </c>
      <c r="O50" s="247">
        <f ca="1">SUMIF(표2[[직종구분]:[작업 위치_코드]],'2.직종별 인원현황'!$F50,표2[연장])</f>
        <v>0</v>
      </c>
      <c r="P50" s="247">
        <f ca="1">SUMIF(표2[[직종구분]:[작업 위치_코드]],'2.직종별 인원현황'!$F50,표2[야간])</f>
        <v>0</v>
      </c>
      <c r="Q50" s="248">
        <f ca="1">SUMIF(표2[[직종구분]:[작업 위치_코드]],'2.직종별 인원현황'!$F50,표2[철야])</f>
        <v>0</v>
      </c>
      <c r="R50" s="249">
        <f t="shared" ca="1" si="4"/>
        <v>0</v>
      </c>
      <c r="S50" s="250">
        <f t="shared" ca="1" si="3"/>
        <v>0</v>
      </c>
      <c r="T50" s="243">
        <f t="shared" ca="1" si="1"/>
        <v>0</v>
      </c>
      <c r="U50" s="243">
        <f t="shared" ca="1" si="1"/>
        <v>0</v>
      </c>
      <c r="V50" s="243">
        <f t="shared" ca="1" si="1"/>
        <v>0</v>
      </c>
      <c r="W50" s="244">
        <f t="shared" ca="1" si="1"/>
        <v>0</v>
      </c>
      <c r="X50" s="251">
        <f t="shared" ca="1" si="2"/>
        <v>0</v>
      </c>
    </row>
    <row r="51" spans="2:24" ht="15" customHeight="1">
      <c r="B51" s="27"/>
      <c r="C51" s="11"/>
      <c r="D51" s="11" t="s">
        <v>192</v>
      </c>
      <c r="E51" s="11" t="s">
        <v>246</v>
      </c>
      <c r="F51" s="278" t="s">
        <v>115</v>
      </c>
      <c r="G51" s="242">
        <v>0</v>
      </c>
      <c r="H51" s="243">
        <v>0</v>
      </c>
      <c r="I51" s="243">
        <v>0</v>
      </c>
      <c r="J51" s="243">
        <v>0</v>
      </c>
      <c r="K51" s="244">
        <v>0</v>
      </c>
      <c r="L51" s="245">
        <v>0</v>
      </c>
      <c r="M51" s="246">
        <f ca="1">SUMIF(표2[[직종구분]:[작업 위치_코드]],'2.직종별 인원현황'!$F51,표2[조출])</f>
        <v>0</v>
      </c>
      <c r="N51" s="247">
        <f ca="1">SUMIF(표2[[직종구분]:[작업 위치_코드]],'2.직종별 인원현황'!$F51,표2[주간])</f>
        <v>0</v>
      </c>
      <c r="O51" s="247">
        <f ca="1">SUMIF(표2[[직종구분]:[작업 위치_코드]],'2.직종별 인원현황'!$F51,표2[연장])</f>
        <v>0</v>
      </c>
      <c r="P51" s="247">
        <f ca="1">SUMIF(표2[[직종구분]:[작업 위치_코드]],'2.직종별 인원현황'!$F51,표2[야간])</f>
        <v>0</v>
      </c>
      <c r="Q51" s="248">
        <f ca="1">SUMIF(표2[[직종구분]:[작업 위치_코드]],'2.직종별 인원현황'!$F51,표2[철야])</f>
        <v>0</v>
      </c>
      <c r="R51" s="249">
        <f t="shared" ca="1" si="4"/>
        <v>0</v>
      </c>
      <c r="S51" s="250">
        <f t="shared" ca="1" si="3"/>
        <v>0</v>
      </c>
      <c r="T51" s="243">
        <f t="shared" ca="1" si="1"/>
        <v>0</v>
      </c>
      <c r="U51" s="243">
        <f t="shared" ca="1" si="1"/>
        <v>0</v>
      </c>
      <c r="V51" s="243">
        <f t="shared" ca="1" si="1"/>
        <v>0</v>
      </c>
      <c r="W51" s="244">
        <f t="shared" ca="1" si="1"/>
        <v>0</v>
      </c>
      <c r="X51" s="251">
        <f t="shared" ca="1" si="2"/>
        <v>0</v>
      </c>
    </row>
    <row r="52" spans="2:24" ht="15" customHeight="1">
      <c r="B52" s="27"/>
      <c r="C52" s="11"/>
      <c r="D52" s="11" t="s">
        <v>193</v>
      </c>
      <c r="E52" s="11" t="s">
        <v>247</v>
      </c>
      <c r="F52" s="278" t="s">
        <v>116</v>
      </c>
      <c r="G52" s="242">
        <v>0</v>
      </c>
      <c r="H52" s="243">
        <v>0</v>
      </c>
      <c r="I52" s="243">
        <v>0</v>
      </c>
      <c r="J52" s="243">
        <v>0</v>
      </c>
      <c r="K52" s="244">
        <v>0</v>
      </c>
      <c r="L52" s="245">
        <v>0</v>
      </c>
      <c r="M52" s="246">
        <f ca="1">SUMIF(표2[[직종구분]:[작업 위치_코드]],'2.직종별 인원현황'!$F52,표2[조출])</f>
        <v>0</v>
      </c>
      <c r="N52" s="247">
        <f ca="1">SUMIF(표2[[직종구분]:[작업 위치_코드]],'2.직종별 인원현황'!$F52,표2[주간])</f>
        <v>0</v>
      </c>
      <c r="O52" s="247">
        <f ca="1">SUMIF(표2[[직종구분]:[작업 위치_코드]],'2.직종별 인원현황'!$F52,표2[연장])</f>
        <v>0</v>
      </c>
      <c r="P52" s="247">
        <f ca="1">SUMIF(표2[[직종구분]:[작업 위치_코드]],'2.직종별 인원현황'!$F52,표2[야간])</f>
        <v>0</v>
      </c>
      <c r="Q52" s="248">
        <f ca="1">SUMIF(표2[[직종구분]:[작업 위치_코드]],'2.직종별 인원현황'!$F52,표2[철야])</f>
        <v>0</v>
      </c>
      <c r="R52" s="249">
        <f t="shared" ca="1" si="4"/>
        <v>0</v>
      </c>
      <c r="S52" s="250">
        <f t="shared" ca="1" si="3"/>
        <v>0</v>
      </c>
      <c r="T52" s="243">
        <f t="shared" ca="1" si="1"/>
        <v>0</v>
      </c>
      <c r="U52" s="243">
        <f t="shared" ca="1" si="1"/>
        <v>0</v>
      </c>
      <c r="V52" s="243">
        <f t="shared" ca="1" si="1"/>
        <v>0</v>
      </c>
      <c r="W52" s="244">
        <f t="shared" ca="1" si="1"/>
        <v>0</v>
      </c>
      <c r="X52" s="251">
        <f t="shared" ca="1" si="2"/>
        <v>0</v>
      </c>
    </row>
    <row r="53" spans="2:24" ht="15" customHeight="1">
      <c r="B53" s="27"/>
      <c r="C53" s="11"/>
      <c r="D53" s="11" t="s">
        <v>194</v>
      </c>
      <c r="E53" s="11" t="s">
        <v>248</v>
      </c>
      <c r="F53" s="278" t="s">
        <v>117</v>
      </c>
      <c r="G53" s="242">
        <v>0</v>
      </c>
      <c r="H53" s="243">
        <v>0</v>
      </c>
      <c r="I53" s="243">
        <v>0</v>
      </c>
      <c r="J53" s="243">
        <v>0</v>
      </c>
      <c r="K53" s="244">
        <v>0</v>
      </c>
      <c r="L53" s="245">
        <v>0</v>
      </c>
      <c r="M53" s="246">
        <f ca="1">SUMIF(표2[[직종구분]:[작업 위치_코드]],'2.직종별 인원현황'!$F53,표2[조출])</f>
        <v>0</v>
      </c>
      <c r="N53" s="247">
        <f ca="1">SUMIF(표2[[직종구분]:[작업 위치_코드]],'2.직종별 인원현황'!$F53,표2[주간])</f>
        <v>0</v>
      </c>
      <c r="O53" s="247">
        <f ca="1">SUMIF(표2[[직종구분]:[작업 위치_코드]],'2.직종별 인원현황'!$F53,표2[연장])</f>
        <v>0</v>
      </c>
      <c r="P53" s="247">
        <f ca="1">SUMIF(표2[[직종구분]:[작업 위치_코드]],'2.직종별 인원현황'!$F53,표2[야간])</f>
        <v>0</v>
      </c>
      <c r="Q53" s="248">
        <f ca="1">SUMIF(표2[[직종구분]:[작업 위치_코드]],'2.직종별 인원현황'!$F53,표2[철야])</f>
        <v>0</v>
      </c>
      <c r="R53" s="249">
        <f t="shared" ca="1" si="4"/>
        <v>0</v>
      </c>
      <c r="S53" s="250">
        <f t="shared" ca="1" si="3"/>
        <v>0</v>
      </c>
      <c r="T53" s="243">
        <f t="shared" ca="1" si="1"/>
        <v>0</v>
      </c>
      <c r="U53" s="243">
        <f t="shared" ca="1" si="1"/>
        <v>0</v>
      </c>
      <c r="V53" s="243">
        <f t="shared" ca="1" si="1"/>
        <v>0</v>
      </c>
      <c r="W53" s="244">
        <f t="shared" ca="1" si="1"/>
        <v>0</v>
      </c>
      <c r="X53" s="251">
        <f t="shared" ca="1" si="2"/>
        <v>0</v>
      </c>
    </row>
    <row r="54" spans="2:24" ht="15" customHeight="1">
      <c r="B54" s="27"/>
      <c r="C54" s="11"/>
      <c r="D54" s="11" t="s">
        <v>195</v>
      </c>
      <c r="E54" s="11" t="s">
        <v>249</v>
      </c>
      <c r="F54" s="278" t="s">
        <v>118</v>
      </c>
      <c r="G54" s="242">
        <v>0</v>
      </c>
      <c r="H54" s="243">
        <v>0</v>
      </c>
      <c r="I54" s="243">
        <v>0</v>
      </c>
      <c r="J54" s="243">
        <v>0</v>
      </c>
      <c r="K54" s="244">
        <v>0</v>
      </c>
      <c r="L54" s="245">
        <v>0</v>
      </c>
      <c r="M54" s="246">
        <f ca="1">SUMIF(표2[[직종구분]:[작업 위치_코드]],'2.직종별 인원현황'!$F54,표2[조출])</f>
        <v>0</v>
      </c>
      <c r="N54" s="247">
        <f ca="1">SUMIF(표2[[직종구분]:[작업 위치_코드]],'2.직종별 인원현황'!$F54,표2[주간])</f>
        <v>0</v>
      </c>
      <c r="O54" s="247">
        <f ca="1">SUMIF(표2[[직종구분]:[작업 위치_코드]],'2.직종별 인원현황'!$F54,표2[연장])</f>
        <v>0</v>
      </c>
      <c r="P54" s="247">
        <f ca="1">SUMIF(표2[[직종구분]:[작업 위치_코드]],'2.직종별 인원현황'!$F54,표2[야간])</f>
        <v>0</v>
      </c>
      <c r="Q54" s="248">
        <f ca="1">SUMIF(표2[[직종구분]:[작업 위치_코드]],'2.직종별 인원현황'!$F54,표2[철야])</f>
        <v>0</v>
      </c>
      <c r="R54" s="249">
        <f t="shared" ca="1" si="4"/>
        <v>0</v>
      </c>
      <c r="S54" s="250">
        <f t="shared" ca="1" si="3"/>
        <v>0</v>
      </c>
      <c r="T54" s="243">
        <f t="shared" ca="1" si="1"/>
        <v>0</v>
      </c>
      <c r="U54" s="243">
        <f t="shared" ca="1" si="1"/>
        <v>0</v>
      </c>
      <c r="V54" s="243">
        <f t="shared" ca="1" si="1"/>
        <v>0</v>
      </c>
      <c r="W54" s="244">
        <f t="shared" ca="1" si="1"/>
        <v>0</v>
      </c>
      <c r="X54" s="251">
        <f t="shared" ca="1" si="2"/>
        <v>0</v>
      </c>
    </row>
    <row r="55" spans="2:24" ht="15" customHeight="1">
      <c r="B55" s="27"/>
      <c r="C55" s="11"/>
      <c r="D55" s="11" t="s">
        <v>196</v>
      </c>
      <c r="E55" s="11" t="s">
        <v>250</v>
      </c>
      <c r="F55" s="278" t="s">
        <v>119</v>
      </c>
      <c r="G55" s="242">
        <v>0</v>
      </c>
      <c r="H55" s="243">
        <v>0</v>
      </c>
      <c r="I55" s="243">
        <v>0</v>
      </c>
      <c r="J55" s="243">
        <v>0</v>
      </c>
      <c r="K55" s="244">
        <v>0</v>
      </c>
      <c r="L55" s="245">
        <v>0</v>
      </c>
      <c r="M55" s="246">
        <f ca="1">SUMIF(표2[[직종구분]:[작업 위치_코드]],'2.직종별 인원현황'!$F55,표2[조출])</f>
        <v>0</v>
      </c>
      <c r="N55" s="247">
        <f ca="1">SUMIF(표2[[직종구분]:[작업 위치_코드]],'2.직종별 인원현황'!$F55,표2[주간])</f>
        <v>0</v>
      </c>
      <c r="O55" s="247">
        <f ca="1">SUMIF(표2[[직종구분]:[작업 위치_코드]],'2.직종별 인원현황'!$F55,표2[연장])</f>
        <v>0</v>
      </c>
      <c r="P55" s="247">
        <f ca="1">SUMIF(표2[[직종구분]:[작업 위치_코드]],'2.직종별 인원현황'!$F55,표2[야간])</f>
        <v>0</v>
      </c>
      <c r="Q55" s="248">
        <f ca="1">SUMIF(표2[[직종구분]:[작업 위치_코드]],'2.직종별 인원현황'!$F55,표2[철야])</f>
        <v>0</v>
      </c>
      <c r="R55" s="249">
        <f t="shared" ca="1" si="4"/>
        <v>0</v>
      </c>
      <c r="S55" s="250">
        <f t="shared" ca="1" si="3"/>
        <v>0</v>
      </c>
      <c r="T55" s="243">
        <f t="shared" ca="1" si="1"/>
        <v>0</v>
      </c>
      <c r="U55" s="243">
        <f t="shared" ca="1" si="1"/>
        <v>0</v>
      </c>
      <c r="V55" s="243">
        <f t="shared" ca="1" si="1"/>
        <v>0</v>
      </c>
      <c r="W55" s="244">
        <f t="shared" ca="1" si="1"/>
        <v>0</v>
      </c>
      <c r="X55" s="251">
        <f t="shared" ca="1" si="2"/>
        <v>0</v>
      </c>
    </row>
    <row r="56" spans="2:24" ht="15" customHeight="1">
      <c r="B56" s="27"/>
      <c r="C56" s="11"/>
      <c r="D56" s="11" t="s">
        <v>197</v>
      </c>
      <c r="E56" s="11" t="s">
        <v>251</v>
      </c>
      <c r="F56" s="278" t="s">
        <v>120</v>
      </c>
      <c r="G56" s="242">
        <v>0</v>
      </c>
      <c r="H56" s="243">
        <v>0</v>
      </c>
      <c r="I56" s="243">
        <v>0</v>
      </c>
      <c r="J56" s="243">
        <v>0</v>
      </c>
      <c r="K56" s="244">
        <v>0</v>
      </c>
      <c r="L56" s="245">
        <v>0</v>
      </c>
      <c r="M56" s="246">
        <f ca="1">SUMIF(표2[[직종구분]:[작업 위치_코드]],'2.직종별 인원현황'!$F56,표2[조출])</f>
        <v>0</v>
      </c>
      <c r="N56" s="247">
        <f ca="1">SUMIF(표2[[직종구분]:[작업 위치_코드]],'2.직종별 인원현황'!$F56,표2[주간])</f>
        <v>0</v>
      </c>
      <c r="O56" s="247">
        <f ca="1">SUMIF(표2[[직종구분]:[작업 위치_코드]],'2.직종별 인원현황'!$F56,표2[연장])</f>
        <v>0</v>
      </c>
      <c r="P56" s="247">
        <f ca="1">SUMIF(표2[[직종구분]:[작업 위치_코드]],'2.직종별 인원현황'!$F56,표2[야간])</f>
        <v>0</v>
      </c>
      <c r="Q56" s="248">
        <f ca="1">SUMIF(표2[[직종구분]:[작업 위치_코드]],'2.직종별 인원현황'!$F56,표2[철야])</f>
        <v>0</v>
      </c>
      <c r="R56" s="249">
        <f t="shared" ca="1" si="4"/>
        <v>0</v>
      </c>
      <c r="S56" s="250">
        <f t="shared" ca="1" si="3"/>
        <v>0</v>
      </c>
      <c r="T56" s="243">
        <f t="shared" ca="1" si="1"/>
        <v>0</v>
      </c>
      <c r="U56" s="243">
        <f t="shared" ca="1" si="1"/>
        <v>0</v>
      </c>
      <c r="V56" s="243">
        <f t="shared" ca="1" si="1"/>
        <v>0</v>
      </c>
      <c r="W56" s="244">
        <f t="shared" ca="1" si="1"/>
        <v>0</v>
      </c>
      <c r="X56" s="251">
        <f t="shared" ca="1" si="2"/>
        <v>0</v>
      </c>
    </row>
    <row r="57" spans="2:24" ht="15" customHeight="1">
      <c r="B57" s="27"/>
      <c r="C57" s="11"/>
      <c r="D57" s="11" t="s">
        <v>198</v>
      </c>
      <c r="E57" s="11" t="s">
        <v>252</v>
      </c>
      <c r="F57" s="278" t="s">
        <v>121</v>
      </c>
      <c r="G57" s="242">
        <v>0</v>
      </c>
      <c r="H57" s="243">
        <v>0</v>
      </c>
      <c r="I57" s="243">
        <v>0</v>
      </c>
      <c r="J57" s="243">
        <v>0</v>
      </c>
      <c r="K57" s="244">
        <v>0</v>
      </c>
      <c r="L57" s="245">
        <v>0</v>
      </c>
      <c r="M57" s="246">
        <f ca="1">SUMIF(표2[[직종구분]:[작업 위치_코드]],'2.직종별 인원현황'!$F57,표2[조출])</f>
        <v>0</v>
      </c>
      <c r="N57" s="247">
        <f ca="1">SUMIF(표2[[직종구분]:[작업 위치_코드]],'2.직종별 인원현황'!$F57,표2[주간])</f>
        <v>0</v>
      </c>
      <c r="O57" s="247">
        <f ca="1">SUMIF(표2[[직종구분]:[작업 위치_코드]],'2.직종별 인원현황'!$F57,표2[연장])</f>
        <v>0</v>
      </c>
      <c r="P57" s="247">
        <f ca="1">SUMIF(표2[[직종구분]:[작업 위치_코드]],'2.직종별 인원현황'!$F57,표2[야간])</f>
        <v>0</v>
      </c>
      <c r="Q57" s="248">
        <f ca="1">SUMIF(표2[[직종구분]:[작업 위치_코드]],'2.직종별 인원현황'!$F57,표2[철야])</f>
        <v>0</v>
      </c>
      <c r="R57" s="249">
        <f t="shared" ca="1" si="4"/>
        <v>0</v>
      </c>
      <c r="S57" s="250">
        <f t="shared" ca="1" si="3"/>
        <v>0</v>
      </c>
      <c r="T57" s="243">
        <f t="shared" ca="1" si="1"/>
        <v>0</v>
      </c>
      <c r="U57" s="243">
        <f t="shared" ca="1" si="1"/>
        <v>0</v>
      </c>
      <c r="V57" s="243">
        <f t="shared" ca="1" si="1"/>
        <v>0</v>
      </c>
      <c r="W57" s="244">
        <f t="shared" ca="1" si="1"/>
        <v>0</v>
      </c>
      <c r="X57" s="251">
        <f t="shared" ca="1" si="2"/>
        <v>0</v>
      </c>
    </row>
    <row r="58" spans="2:24" ht="15" customHeight="1">
      <c r="B58" s="27"/>
      <c r="C58" s="11"/>
      <c r="D58" s="11" t="s">
        <v>199</v>
      </c>
      <c r="E58" s="11" t="s">
        <v>253</v>
      </c>
      <c r="F58" s="278" t="s">
        <v>122</v>
      </c>
      <c r="G58" s="242">
        <v>0</v>
      </c>
      <c r="H58" s="243">
        <v>0</v>
      </c>
      <c r="I58" s="243">
        <v>0</v>
      </c>
      <c r="J58" s="243">
        <v>0</v>
      </c>
      <c r="K58" s="244">
        <v>0</v>
      </c>
      <c r="L58" s="245">
        <v>0</v>
      </c>
      <c r="M58" s="246">
        <f ca="1">SUMIF(표2[[직종구분]:[작업 위치_코드]],'2.직종별 인원현황'!$F58,표2[조출])</f>
        <v>0</v>
      </c>
      <c r="N58" s="247">
        <f ca="1">SUMIF(표2[[직종구분]:[작업 위치_코드]],'2.직종별 인원현황'!$F58,표2[주간])</f>
        <v>0</v>
      </c>
      <c r="O58" s="247">
        <f ca="1">SUMIF(표2[[직종구분]:[작업 위치_코드]],'2.직종별 인원현황'!$F58,표2[연장])</f>
        <v>0</v>
      </c>
      <c r="P58" s="247">
        <f ca="1">SUMIF(표2[[직종구분]:[작업 위치_코드]],'2.직종별 인원현황'!$F58,표2[야간])</f>
        <v>0</v>
      </c>
      <c r="Q58" s="248">
        <f ca="1">SUMIF(표2[[직종구분]:[작업 위치_코드]],'2.직종별 인원현황'!$F58,표2[철야])</f>
        <v>0</v>
      </c>
      <c r="R58" s="249">
        <f t="shared" ca="1" si="4"/>
        <v>0</v>
      </c>
      <c r="S58" s="250">
        <f t="shared" ca="1" si="3"/>
        <v>0</v>
      </c>
      <c r="T58" s="243">
        <f t="shared" ca="1" si="1"/>
        <v>0</v>
      </c>
      <c r="U58" s="243">
        <f t="shared" ca="1" si="1"/>
        <v>0</v>
      </c>
      <c r="V58" s="243">
        <f t="shared" ca="1" si="1"/>
        <v>0</v>
      </c>
      <c r="W58" s="244">
        <f t="shared" ca="1" si="1"/>
        <v>0</v>
      </c>
      <c r="X58" s="251">
        <f t="shared" ca="1" si="2"/>
        <v>0</v>
      </c>
    </row>
    <row r="59" spans="2:24" ht="15" customHeight="1">
      <c r="B59" s="27"/>
      <c r="C59" s="11"/>
      <c r="D59" s="11" t="s">
        <v>200</v>
      </c>
      <c r="E59" s="11" t="s">
        <v>254</v>
      </c>
      <c r="F59" s="278" t="s">
        <v>123</v>
      </c>
      <c r="G59" s="242">
        <v>0</v>
      </c>
      <c r="H59" s="243">
        <v>0</v>
      </c>
      <c r="I59" s="243">
        <v>0</v>
      </c>
      <c r="J59" s="243">
        <v>0</v>
      </c>
      <c r="K59" s="244">
        <v>0</v>
      </c>
      <c r="L59" s="245">
        <v>0</v>
      </c>
      <c r="M59" s="246">
        <f ca="1">SUMIF(표2[[직종구분]:[작업 위치_코드]],'2.직종별 인원현황'!$F59,표2[조출])</f>
        <v>0</v>
      </c>
      <c r="N59" s="247">
        <f ca="1">SUMIF(표2[[직종구분]:[작업 위치_코드]],'2.직종별 인원현황'!$F59,표2[주간])</f>
        <v>0</v>
      </c>
      <c r="O59" s="247">
        <f ca="1">SUMIF(표2[[직종구분]:[작업 위치_코드]],'2.직종별 인원현황'!$F59,표2[연장])</f>
        <v>0</v>
      </c>
      <c r="P59" s="247">
        <f ca="1">SUMIF(표2[[직종구분]:[작업 위치_코드]],'2.직종별 인원현황'!$F59,표2[야간])</f>
        <v>0</v>
      </c>
      <c r="Q59" s="248">
        <f ca="1">SUMIF(표2[[직종구분]:[작업 위치_코드]],'2.직종별 인원현황'!$F59,표2[철야])</f>
        <v>0</v>
      </c>
      <c r="R59" s="249">
        <f t="shared" ca="1" si="4"/>
        <v>0</v>
      </c>
      <c r="S59" s="250">
        <f t="shared" ca="1" si="3"/>
        <v>0</v>
      </c>
      <c r="T59" s="243">
        <f t="shared" ca="1" si="1"/>
        <v>0</v>
      </c>
      <c r="U59" s="243">
        <f t="shared" ca="1" si="1"/>
        <v>0</v>
      </c>
      <c r="V59" s="243">
        <f t="shared" ca="1" si="1"/>
        <v>0</v>
      </c>
      <c r="W59" s="244">
        <f t="shared" ca="1" si="1"/>
        <v>0</v>
      </c>
      <c r="X59" s="251">
        <f t="shared" ca="1" si="2"/>
        <v>0</v>
      </c>
    </row>
    <row r="60" spans="2:24" ht="15" customHeight="1">
      <c r="B60" s="27"/>
      <c r="C60" s="11"/>
      <c r="D60" s="11" t="s">
        <v>201</v>
      </c>
      <c r="E60" s="11" t="s">
        <v>255</v>
      </c>
      <c r="F60" s="278" t="s">
        <v>124</v>
      </c>
      <c r="G60" s="242">
        <v>0</v>
      </c>
      <c r="H60" s="243">
        <v>0</v>
      </c>
      <c r="I60" s="243">
        <v>0</v>
      </c>
      <c r="J60" s="243">
        <v>0</v>
      </c>
      <c r="K60" s="244">
        <v>0</v>
      </c>
      <c r="L60" s="245">
        <v>0</v>
      </c>
      <c r="M60" s="246">
        <f ca="1">SUMIF(표2[[직종구분]:[작업 위치_코드]],'2.직종별 인원현황'!$F60,표2[조출])</f>
        <v>0</v>
      </c>
      <c r="N60" s="247">
        <f ca="1">SUMIF(표2[[직종구분]:[작업 위치_코드]],'2.직종별 인원현황'!$F60,표2[주간])</f>
        <v>0</v>
      </c>
      <c r="O60" s="247">
        <f ca="1">SUMIF(표2[[직종구분]:[작업 위치_코드]],'2.직종별 인원현황'!$F60,표2[연장])</f>
        <v>0</v>
      </c>
      <c r="P60" s="247">
        <f ca="1">SUMIF(표2[[직종구분]:[작업 위치_코드]],'2.직종별 인원현황'!$F60,표2[야간])</f>
        <v>0</v>
      </c>
      <c r="Q60" s="248">
        <f ca="1">SUMIF(표2[[직종구분]:[작업 위치_코드]],'2.직종별 인원현황'!$F60,표2[철야])</f>
        <v>0</v>
      </c>
      <c r="R60" s="249">
        <f t="shared" ca="1" si="4"/>
        <v>0</v>
      </c>
      <c r="S60" s="250">
        <f t="shared" ca="1" si="3"/>
        <v>0</v>
      </c>
      <c r="T60" s="243">
        <f t="shared" ca="1" si="1"/>
        <v>0</v>
      </c>
      <c r="U60" s="243">
        <f t="shared" ca="1" si="1"/>
        <v>0</v>
      </c>
      <c r="V60" s="243">
        <f t="shared" ca="1" si="1"/>
        <v>0</v>
      </c>
      <c r="W60" s="244">
        <f t="shared" ca="1" si="1"/>
        <v>0</v>
      </c>
      <c r="X60" s="251">
        <f t="shared" ca="1" si="2"/>
        <v>0</v>
      </c>
    </row>
    <row r="61" spans="2:24" ht="15" customHeight="1">
      <c r="B61" s="27"/>
      <c r="C61" s="11"/>
      <c r="D61" s="11" t="s">
        <v>202</v>
      </c>
      <c r="E61" s="11" t="s">
        <v>256</v>
      </c>
      <c r="F61" s="278" t="s">
        <v>125</v>
      </c>
      <c r="G61" s="242">
        <v>0</v>
      </c>
      <c r="H61" s="243">
        <v>0</v>
      </c>
      <c r="I61" s="243">
        <v>0</v>
      </c>
      <c r="J61" s="243">
        <v>0</v>
      </c>
      <c r="K61" s="244">
        <v>0</v>
      </c>
      <c r="L61" s="245">
        <v>0</v>
      </c>
      <c r="M61" s="246">
        <f ca="1">SUMIF(표2[[직종구분]:[작업 위치_코드]],'2.직종별 인원현황'!$F61,표2[조출])</f>
        <v>0</v>
      </c>
      <c r="N61" s="247">
        <f ca="1">SUMIF(표2[[직종구분]:[작업 위치_코드]],'2.직종별 인원현황'!$F61,표2[주간])</f>
        <v>0</v>
      </c>
      <c r="O61" s="247">
        <f ca="1">SUMIF(표2[[직종구분]:[작업 위치_코드]],'2.직종별 인원현황'!$F61,표2[연장])</f>
        <v>0</v>
      </c>
      <c r="P61" s="247">
        <f ca="1">SUMIF(표2[[직종구분]:[작업 위치_코드]],'2.직종별 인원현황'!$F61,표2[야간])</f>
        <v>0</v>
      </c>
      <c r="Q61" s="248">
        <f ca="1">SUMIF(표2[[직종구분]:[작업 위치_코드]],'2.직종별 인원현황'!$F61,표2[철야])</f>
        <v>0</v>
      </c>
      <c r="R61" s="249">
        <f t="shared" ca="1" si="4"/>
        <v>0</v>
      </c>
      <c r="S61" s="250">
        <f t="shared" ca="1" si="3"/>
        <v>0</v>
      </c>
      <c r="T61" s="243">
        <f t="shared" ca="1" si="1"/>
        <v>0</v>
      </c>
      <c r="U61" s="243">
        <f t="shared" ca="1" si="1"/>
        <v>0</v>
      </c>
      <c r="V61" s="243">
        <f t="shared" ca="1" si="1"/>
        <v>0</v>
      </c>
      <c r="W61" s="244">
        <f t="shared" ca="1" si="1"/>
        <v>0</v>
      </c>
      <c r="X61" s="251">
        <f t="shared" ca="1" si="2"/>
        <v>0</v>
      </c>
    </row>
    <row r="62" spans="2:24" ht="15" customHeight="1">
      <c r="B62" s="27"/>
      <c r="C62" s="11"/>
      <c r="D62" s="11" t="s">
        <v>203</v>
      </c>
      <c r="E62" s="11" t="s">
        <v>257</v>
      </c>
      <c r="F62" s="278" t="s">
        <v>126</v>
      </c>
      <c r="G62" s="242">
        <v>0</v>
      </c>
      <c r="H62" s="243">
        <v>0</v>
      </c>
      <c r="I62" s="243">
        <v>0</v>
      </c>
      <c r="J62" s="243">
        <v>0</v>
      </c>
      <c r="K62" s="244">
        <v>0</v>
      </c>
      <c r="L62" s="245">
        <v>0</v>
      </c>
      <c r="M62" s="246">
        <f ca="1">SUMIF(표2[[직종구분]:[작업 위치_코드]],'2.직종별 인원현황'!$F62,표2[조출])</f>
        <v>0</v>
      </c>
      <c r="N62" s="247">
        <f ca="1">SUMIF(표2[[직종구분]:[작업 위치_코드]],'2.직종별 인원현황'!$F62,표2[주간])</f>
        <v>0</v>
      </c>
      <c r="O62" s="247">
        <f ca="1">SUMIF(표2[[직종구분]:[작업 위치_코드]],'2.직종별 인원현황'!$F62,표2[연장])</f>
        <v>0</v>
      </c>
      <c r="P62" s="247">
        <f ca="1">SUMIF(표2[[직종구분]:[작업 위치_코드]],'2.직종별 인원현황'!$F62,표2[야간])</f>
        <v>0</v>
      </c>
      <c r="Q62" s="248">
        <f ca="1">SUMIF(표2[[직종구분]:[작업 위치_코드]],'2.직종별 인원현황'!$F62,표2[철야])</f>
        <v>0</v>
      </c>
      <c r="R62" s="249">
        <f t="shared" ca="1" si="4"/>
        <v>0</v>
      </c>
      <c r="S62" s="250">
        <f t="shared" ca="1" si="3"/>
        <v>0</v>
      </c>
      <c r="T62" s="243">
        <f t="shared" ca="1" si="1"/>
        <v>0</v>
      </c>
      <c r="U62" s="243">
        <f t="shared" ca="1" si="1"/>
        <v>0</v>
      </c>
      <c r="V62" s="243">
        <f t="shared" ca="1" si="1"/>
        <v>0</v>
      </c>
      <c r="W62" s="244">
        <f t="shared" ca="1" si="1"/>
        <v>0</v>
      </c>
      <c r="X62" s="251">
        <f t="shared" ca="1" si="2"/>
        <v>0</v>
      </c>
    </row>
    <row r="63" spans="2:24" ht="15" customHeight="1">
      <c r="B63" s="27"/>
      <c r="C63" s="11"/>
      <c r="D63" s="11" t="s">
        <v>204</v>
      </c>
      <c r="E63" s="11" t="s">
        <v>258</v>
      </c>
      <c r="F63" s="278" t="s">
        <v>127</v>
      </c>
      <c r="G63" s="242">
        <v>0</v>
      </c>
      <c r="H63" s="243">
        <v>0</v>
      </c>
      <c r="I63" s="243">
        <v>0</v>
      </c>
      <c r="J63" s="243">
        <v>0</v>
      </c>
      <c r="K63" s="244">
        <v>0</v>
      </c>
      <c r="L63" s="245">
        <v>0</v>
      </c>
      <c r="M63" s="246">
        <f ca="1">SUMIF(표2[[직종구분]:[작업 위치_코드]],'2.직종별 인원현황'!$F63,표2[조출])</f>
        <v>0</v>
      </c>
      <c r="N63" s="247">
        <f ca="1">SUMIF(표2[[직종구분]:[작업 위치_코드]],'2.직종별 인원현황'!$F63,표2[주간])</f>
        <v>0</v>
      </c>
      <c r="O63" s="247">
        <f ca="1">SUMIF(표2[[직종구분]:[작업 위치_코드]],'2.직종별 인원현황'!$F63,표2[연장])</f>
        <v>0</v>
      </c>
      <c r="P63" s="247">
        <f ca="1">SUMIF(표2[[직종구분]:[작업 위치_코드]],'2.직종별 인원현황'!$F63,표2[야간])</f>
        <v>0</v>
      </c>
      <c r="Q63" s="248">
        <f ca="1">SUMIF(표2[[직종구분]:[작업 위치_코드]],'2.직종별 인원현황'!$F63,표2[철야])</f>
        <v>0</v>
      </c>
      <c r="R63" s="249">
        <f t="shared" ca="1" si="4"/>
        <v>0</v>
      </c>
      <c r="S63" s="250">
        <f t="shared" ca="1" si="3"/>
        <v>0</v>
      </c>
      <c r="T63" s="243">
        <f t="shared" ca="1" si="1"/>
        <v>0</v>
      </c>
      <c r="U63" s="243">
        <f t="shared" ca="1" si="1"/>
        <v>0</v>
      </c>
      <c r="V63" s="243">
        <f t="shared" ca="1" si="1"/>
        <v>0</v>
      </c>
      <c r="W63" s="244">
        <f t="shared" ca="1" si="1"/>
        <v>0</v>
      </c>
      <c r="X63" s="251">
        <f t="shared" ca="1" si="2"/>
        <v>0</v>
      </c>
    </row>
    <row r="64" spans="2:24" ht="15" customHeight="1">
      <c r="B64" s="27"/>
      <c r="C64" s="11"/>
      <c r="D64" s="11" t="s">
        <v>205</v>
      </c>
      <c r="E64" s="11" t="s">
        <v>259</v>
      </c>
      <c r="F64" s="278" t="s">
        <v>128</v>
      </c>
      <c r="G64" s="242">
        <v>0</v>
      </c>
      <c r="H64" s="243">
        <v>34</v>
      </c>
      <c r="I64" s="243">
        <v>0</v>
      </c>
      <c r="J64" s="243">
        <v>0</v>
      </c>
      <c r="K64" s="244">
        <v>0</v>
      </c>
      <c r="L64" s="245">
        <v>34</v>
      </c>
      <c r="M64" s="246">
        <f ca="1">SUMIF(표2[[직종구분]:[작업 위치_코드]],'2.직종별 인원현황'!$F64,표2[조출])</f>
        <v>4</v>
      </c>
      <c r="N64" s="247">
        <f ca="1">SUMIF(표2[[직종구분]:[작업 위치_코드]],'2.직종별 인원현황'!$F64,표2[주간])</f>
        <v>4</v>
      </c>
      <c r="O64" s="247">
        <f ca="1">SUMIF(표2[[직종구분]:[작업 위치_코드]],'2.직종별 인원현황'!$F64,표2[연장])</f>
        <v>0</v>
      </c>
      <c r="P64" s="247">
        <f ca="1">SUMIF(표2[[직종구분]:[작업 위치_코드]],'2.직종별 인원현황'!$F64,표2[야간])</f>
        <v>0</v>
      </c>
      <c r="Q64" s="248">
        <f ca="1">SUMIF(표2[[직종구분]:[작업 위치_코드]],'2.직종별 인원현황'!$F64,표2[철야])</f>
        <v>0</v>
      </c>
      <c r="R64" s="249">
        <f t="shared" ca="1" si="4"/>
        <v>8</v>
      </c>
      <c r="S64" s="250">
        <f t="shared" ca="1" si="3"/>
        <v>4</v>
      </c>
      <c r="T64" s="243">
        <f t="shared" ca="1" si="1"/>
        <v>38</v>
      </c>
      <c r="U64" s="243">
        <f t="shared" ca="1" si="1"/>
        <v>0</v>
      </c>
      <c r="V64" s="243">
        <f t="shared" ca="1" si="1"/>
        <v>0</v>
      </c>
      <c r="W64" s="244">
        <f t="shared" ca="1" si="1"/>
        <v>0</v>
      </c>
      <c r="X64" s="251">
        <f t="shared" ca="1" si="2"/>
        <v>42</v>
      </c>
    </row>
    <row r="65" spans="2:24" ht="15" customHeight="1">
      <c r="B65" s="27"/>
      <c r="C65" s="11"/>
      <c r="D65" s="11" t="s">
        <v>206</v>
      </c>
      <c r="E65" s="11" t="s">
        <v>260</v>
      </c>
      <c r="F65" s="278" t="s">
        <v>129</v>
      </c>
      <c r="G65" s="242">
        <v>0</v>
      </c>
      <c r="H65" s="243">
        <v>0</v>
      </c>
      <c r="I65" s="243">
        <v>0</v>
      </c>
      <c r="J65" s="243">
        <v>0</v>
      </c>
      <c r="K65" s="244">
        <v>0</v>
      </c>
      <c r="L65" s="245">
        <v>0</v>
      </c>
      <c r="M65" s="246">
        <f ca="1">SUMIF(표2[[직종구분]:[작업 위치_코드]],'2.직종별 인원현황'!$F65,표2[조출])</f>
        <v>0</v>
      </c>
      <c r="N65" s="247">
        <f ca="1">SUMIF(표2[[직종구분]:[작업 위치_코드]],'2.직종별 인원현황'!$F65,표2[주간])</f>
        <v>0</v>
      </c>
      <c r="O65" s="247">
        <f ca="1">SUMIF(표2[[직종구분]:[작업 위치_코드]],'2.직종별 인원현황'!$F65,표2[연장])</f>
        <v>0</v>
      </c>
      <c r="P65" s="247">
        <f ca="1">SUMIF(표2[[직종구분]:[작업 위치_코드]],'2.직종별 인원현황'!$F65,표2[야간])</f>
        <v>0</v>
      </c>
      <c r="Q65" s="248">
        <f ca="1">SUMIF(표2[[직종구분]:[작업 위치_코드]],'2.직종별 인원현황'!$F65,표2[철야])</f>
        <v>0</v>
      </c>
      <c r="R65" s="249">
        <f t="shared" ca="1" si="4"/>
        <v>0</v>
      </c>
      <c r="S65" s="250">
        <f t="shared" ca="1" si="3"/>
        <v>0</v>
      </c>
      <c r="T65" s="243">
        <f t="shared" ca="1" si="1"/>
        <v>0</v>
      </c>
      <c r="U65" s="243">
        <f t="shared" ca="1" si="1"/>
        <v>0</v>
      </c>
      <c r="V65" s="243">
        <f t="shared" ca="1" si="1"/>
        <v>0</v>
      </c>
      <c r="W65" s="244">
        <f t="shared" ca="1" si="1"/>
        <v>0</v>
      </c>
      <c r="X65" s="251">
        <f t="shared" ca="1" si="2"/>
        <v>0</v>
      </c>
    </row>
    <row r="66" spans="2:24" ht="15" customHeight="1">
      <c r="B66" s="27"/>
      <c r="C66" s="11"/>
      <c r="D66" s="11" t="s">
        <v>207</v>
      </c>
      <c r="E66" s="11" t="s">
        <v>261</v>
      </c>
      <c r="F66" s="278" t="s">
        <v>1962</v>
      </c>
      <c r="G66" s="242">
        <v>0</v>
      </c>
      <c r="H66" s="243">
        <v>0</v>
      </c>
      <c r="I66" s="243">
        <v>0</v>
      </c>
      <c r="J66" s="243">
        <v>0</v>
      </c>
      <c r="K66" s="244">
        <v>0</v>
      </c>
      <c r="L66" s="245">
        <v>0</v>
      </c>
      <c r="M66" s="246">
        <f ca="1">SUMIF(표2[[직종구분]:[작업 위치_코드]],'2.직종별 인원현황'!$F66,표2[조출])</f>
        <v>0</v>
      </c>
      <c r="N66" s="247">
        <f ca="1">SUMIF(표2[[직종구분]:[작업 위치_코드]],'2.직종별 인원현황'!$F66,표2[주간])</f>
        <v>0</v>
      </c>
      <c r="O66" s="247">
        <f ca="1">SUMIF(표2[[직종구분]:[작업 위치_코드]],'2.직종별 인원현황'!$F66,표2[연장])</f>
        <v>0</v>
      </c>
      <c r="P66" s="247">
        <f ca="1">SUMIF(표2[[직종구분]:[작업 위치_코드]],'2.직종별 인원현황'!$F66,표2[야간])</f>
        <v>0</v>
      </c>
      <c r="Q66" s="248">
        <f ca="1">SUMIF(표2[[직종구분]:[작업 위치_코드]],'2.직종별 인원현황'!$F66,표2[철야])</f>
        <v>0</v>
      </c>
      <c r="R66" s="249">
        <f t="shared" ca="1" si="4"/>
        <v>0</v>
      </c>
      <c r="S66" s="250">
        <f t="shared" ca="1" si="3"/>
        <v>0</v>
      </c>
      <c r="T66" s="243">
        <f t="shared" ca="1" si="1"/>
        <v>0</v>
      </c>
      <c r="U66" s="243">
        <f t="shared" ca="1" si="1"/>
        <v>0</v>
      </c>
      <c r="V66" s="243">
        <f t="shared" ca="1" si="1"/>
        <v>0</v>
      </c>
      <c r="W66" s="244">
        <f t="shared" ca="1" si="1"/>
        <v>0</v>
      </c>
      <c r="X66" s="251">
        <f t="shared" ca="1" si="2"/>
        <v>0</v>
      </c>
    </row>
    <row r="67" spans="2:24" ht="15" customHeight="1">
      <c r="B67" s="27"/>
      <c r="C67" s="11"/>
      <c r="D67" s="11" t="s">
        <v>208</v>
      </c>
      <c r="E67" s="11" t="s">
        <v>262</v>
      </c>
      <c r="F67" s="278" t="s">
        <v>130</v>
      </c>
      <c r="G67" s="242">
        <v>0</v>
      </c>
      <c r="H67" s="243">
        <v>0</v>
      </c>
      <c r="I67" s="243">
        <v>0</v>
      </c>
      <c r="J67" s="243">
        <v>0</v>
      </c>
      <c r="K67" s="244">
        <v>0</v>
      </c>
      <c r="L67" s="245">
        <v>0</v>
      </c>
      <c r="M67" s="246">
        <f ca="1">SUMIF(표2[[직종구분]:[작업 위치_코드]],'2.직종별 인원현황'!$F67,표2[조출])</f>
        <v>0</v>
      </c>
      <c r="N67" s="247">
        <f ca="1">SUMIF(표2[[직종구분]:[작업 위치_코드]],'2.직종별 인원현황'!$F67,표2[주간])</f>
        <v>0</v>
      </c>
      <c r="O67" s="247">
        <f ca="1">SUMIF(표2[[직종구분]:[작업 위치_코드]],'2.직종별 인원현황'!$F67,표2[연장])</f>
        <v>0</v>
      </c>
      <c r="P67" s="247">
        <f ca="1">SUMIF(표2[[직종구분]:[작업 위치_코드]],'2.직종별 인원현황'!$F67,표2[야간])</f>
        <v>0</v>
      </c>
      <c r="Q67" s="248">
        <f ca="1">SUMIF(표2[[직종구분]:[작업 위치_코드]],'2.직종별 인원현황'!$F67,표2[철야])</f>
        <v>0</v>
      </c>
      <c r="R67" s="249">
        <f t="shared" ca="1" si="4"/>
        <v>0</v>
      </c>
      <c r="S67" s="250">
        <f t="shared" ca="1" si="3"/>
        <v>0</v>
      </c>
      <c r="T67" s="243">
        <f t="shared" ca="1" si="1"/>
        <v>0</v>
      </c>
      <c r="U67" s="243">
        <f t="shared" ca="1" si="1"/>
        <v>0</v>
      </c>
      <c r="V67" s="243">
        <f t="shared" ca="1" si="1"/>
        <v>0</v>
      </c>
      <c r="W67" s="244">
        <f t="shared" ca="1" si="1"/>
        <v>0</v>
      </c>
      <c r="X67" s="251">
        <f t="shared" ca="1" si="2"/>
        <v>0</v>
      </c>
    </row>
    <row r="68" spans="2:24" ht="15" customHeight="1">
      <c r="B68" s="27"/>
      <c r="C68" s="11"/>
      <c r="D68" s="11" t="s">
        <v>209</v>
      </c>
      <c r="E68" s="11" t="s">
        <v>263</v>
      </c>
      <c r="F68" s="278" t="s">
        <v>1963</v>
      </c>
      <c r="G68" s="242">
        <v>0</v>
      </c>
      <c r="H68" s="243">
        <v>0</v>
      </c>
      <c r="I68" s="243">
        <v>0</v>
      </c>
      <c r="J68" s="243">
        <v>0</v>
      </c>
      <c r="K68" s="244">
        <v>0</v>
      </c>
      <c r="L68" s="245">
        <v>0</v>
      </c>
      <c r="M68" s="246">
        <f ca="1">SUMIF(표2[[직종구분]:[작업 위치_코드]],'2.직종별 인원현황'!$F68,표2[조출])</f>
        <v>0</v>
      </c>
      <c r="N68" s="247">
        <f ca="1">SUMIF(표2[[직종구분]:[작업 위치_코드]],'2.직종별 인원현황'!$F68,표2[주간])</f>
        <v>0</v>
      </c>
      <c r="O68" s="247">
        <f ca="1">SUMIF(표2[[직종구분]:[작업 위치_코드]],'2.직종별 인원현황'!$F68,표2[연장])</f>
        <v>0</v>
      </c>
      <c r="P68" s="247">
        <f ca="1">SUMIF(표2[[직종구분]:[작업 위치_코드]],'2.직종별 인원현황'!$F68,표2[야간])</f>
        <v>0</v>
      </c>
      <c r="Q68" s="248">
        <f ca="1">SUMIF(표2[[직종구분]:[작업 위치_코드]],'2.직종별 인원현황'!$F68,표2[철야])</f>
        <v>0</v>
      </c>
      <c r="R68" s="249">
        <f t="shared" ca="1" si="4"/>
        <v>0</v>
      </c>
      <c r="S68" s="250">
        <f t="shared" ca="1" si="3"/>
        <v>0</v>
      </c>
      <c r="T68" s="243">
        <f t="shared" ca="1" si="1"/>
        <v>0</v>
      </c>
      <c r="U68" s="243">
        <f t="shared" ca="1" si="1"/>
        <v>0</v>
      </c>
      <c r="V68" s="243">
        <f t="shared" ca="1" si="1"/>
        <v>0</v>
      </c>
      <c r="W68" s="244">
        <f t="shared" ca="1" si="1"/>
        <v>0</v>
      </c>
      <c r="X68" s="251">
        <f t="shared" ca="1" si="2"/>
        <v>0</v>
      </c>
    </row>
    <row r="69" spans="2:24" ht="15" customHeight="1">
      <c r="B69" s="27"/>
      <c r="C69" s="11"/>
      <c r="D69" s="11" t="s">
        <v>210</v>
      </c>
      <c r="E69" s="11" t="s">
        <v>264</v>
      </c>
      <c r="F69" s="278" t="s">
        <v>1964</v>
      </c>
      <c r="G69" s="242">
        <v>0</v>
      </c>
      <c r="H69" s="243">
        <v>0</v>
      </c>
      <c r="I69" s="243">
        <v>0</v>
      </c>
      <c r="J69" s="243">
        <v>0</v>
      </c>
      <c r="K69" s="244">
        <v>0</v>
      </c>
      <c r="L69" s="245">
        <v>0</v>
      </c>
      <c r="M69" s="246">
        <f ca="1">SUMIF(표2[[직종구분]:[작업 위치_코드]],'2.직종별 인원현황'!$F69,표2[조출])</f>
        <v>0</v>
      </c>
      <c r="N69" s="247">
        <f ca="1">SUMIF(표2[[직종구분]:[작업 위치_코드]],'2.직종별 인원현황'!$F69,표2[주간])</f>
        <v>0</v>
      </c>
      <c r="O69" s="247">
        <f ca="1">SUMIF(표2[[직종구분]:[작업 위치_코드]],'2.직종별 인원현황'!$F69,표2[연장])</f>
        <v>0</v>
      </c>
      <c r="P69" s="247">
        <f ca="1">SUMIF(표2[[직종구분]:[작업 위치_코드]],'2.직종별 인원현황'!$F69,표2[야간])</f>
        <v>0</v>
      </c>
      <c r="Q69" s="248">
        <f ca="1">SUMIF(표2[[직종구분]:[작업 위치_코드]],'2.직종별 인원현황'!$F69,표2[철야])</f>
        <v>0</v>
      </c>
      <c r="R69" s="249">
        <f t="shared" ca="1" si="4"/>
        <v>0</v>
      </c>
      <c r="S69" s="250">
        <f t="shared" ca="1" si="3"/>
        <v>0</v>
      </c>
      <c r="T69" s="243">
        <f t="shared" ca="1" si="1"/>
        <v>0</v>
      </c>
      <c r="U69" s="243">
        <f t="shared" ca="1" si="1"/>
        <v>0</v>
      </c>
      <c r="V69" s="243">
        <f t="shared" ca="1" si="1"/>
        <v>0</v>
      </c>
      <c r="W69" s="244">
        <f t="shared" ref="W69:W86" ca="1" si="5">K69+Q69</f>
        <v>0</v>
      </c>
      <c r="X69" s="251">
        <f t="shared" ca="1" si="2"/>
        <v>0</v>
      </c>
    </row>
    <row r="70" spans="2:24" ht="15" customHeight="1">
      <c r="B70" s="27"/>
      <c r="C70" s="11"/>
      <c r="D70" s="11" t="s">
        <v>211</v>
      </c>
      <c r="E70" s="11" t="s">
        <v>265</v>
      </c>
      <c r="F70" s="126" t="s">
        <v>700</v>
      </c>
      <c r="G70" s="242">
        <v>0</v>
      </c>
      <c r="H70" s="243">
        <v>0</v>
      </c>
      <c r="I70" s="243">
        <v>0</v>
      </c>
      <c r="J70" s="243">
        <v>0</v>
      </c>
      <c r="K70" s="244">
        <v>0</v>
      </c>
      <c r="L70" s="245">
        <v>0</v>
      </c>
      <c r="M70" s="246">
        <f ca="1">SUMIF(표2[[직종구분]:[작업 위치_코드]],'2.직종별 인원현황'!$F70,표2[조출])</f>
        <v>0</v>
      </c>
      <c r="N70" s="247">
        <f ca="1">SUMIF(표2[[직종구분]:[작업 위치_코드]],'2.직종별 인원현황'!$F70,표2[주간])</f>
        <v>0</v>
      </c>
      <c r="O70" s="247">
        <f ca="1">SUMIF(표2[[직종구분]:[작업 위치_코드]],'2.직종별 인원현황'!$F70,표2[연장])</f>
        <v>0</v>
      </c>
      <c r="P70" s="247">
        <f ca="1">SUMIF(표2[[직종구분]:[작업 위치_코드]],'2.직종별 인원현황'!$F70,표2[야간])</f>
        <v>0</v>
      </c>
      <c r="Q70" s="248">
        <f ca="1">SUMIF(표2[[직종구분]:[작업 위치_코드]],'2.직종별 인원현황'!$F70,표2[철야])</f>
        <v>0</v>
      </c>
      <c r="R70" s="249">
        <f t="shared" ca="1" si="4"/>
        <v>0</v>
      </c>
      <c r="S70" s="250">
        <f t="shared" ca="1" si="3"/>
        <v>0</v>
      </c>
      <c r="T70" s="243">
        <f t="shared" ca="1" si="3"/>
        <v>0</v>
      </c>
      <c r="U70" s="243">
        <f t="shared" ca="1" si="3"/>
        <v>0</v>
      </c>
      <c r="V70" s="243">
        <f t="shared" ca="1" si="3"/>
        <v>0</v>
      </c>
      <c r="W70" s="244">
        <f t="shared" ca="1" si="5"/>
        <v>0</v>
      </c>
      <c r="X70" s="251">
        <f t="shared" ref="X70:X86" ca="1" si="6">SUM(S70:W70)</f>
        <v>0</v>
      </c>
    </row>
    <row r="71" spans="2:24" ht="15" customHeight="1">
      <c r="B71" s="27"/>
      <c r="C71" s="11"/>
      <c r="D71" s="11" t="s">
        <v>212</v>
      </c>
      <c r="E71" s="11" t="s">
        <v>266</v>
      </c>
      <c r="F71" s="126" t="s">
        <v>701</v>
      </c>
      <c r="G71" s="242">
        <v>0</v>
      </c>
      <c r="H71" s="243">
        <v>0</v>
      </c>
      <c r="I71" s="243">
        <v>0</v>
      </c>
      <c r="J71" s="243">
        <v>0</v>
      </c>
      <c r="K71" s="244">
        <v>0</v>
      </c>
      <c r="L71" s="245">
        <v>0</v>
      </c>
      <c r="M71" s="246">
        <f ca="1">SUMIF(표2[[직종구분]:[작업 위치_코드]],'2.직종별 인원현황'!$F71,표2[조출])</f>
        <v>0</v>
      </c>
      <c r="N71" s="247">
        <f ca="1">SUMIF(표2[[직종구분]:[작업 위치_코드]],'2.직종별 인원현황'!$F71,표2[주간])</f>
        <v>0</v>
      </c>
      <c r="O71" s="247">
        <f ca="1">SUMIF(표2[[직종구분]:[작업 위치_코드]],'2.직종별 인원현황'!$F71,표2[연장])</f>
        <v>0</v>
      </c>
      <c r="P71" s="247">
        <f ca="1">SUMIF(표2[[직종구분]:[작업 위치_코드]],'2.직종별 인원현황'!$F71,표2[야간])</f>
        <v>0</v>
      </c>
      <c r="Q71" s="248">
        <f ca="1">SUMIF(표2[[직종구분]:[작업 위치_코드]],'2.직종별 인원현황'!$F71,표2[철야])</f>
        <v>0</v>
      </c>
      <c r="R71" s="249">
        <f t="shared" ref="R71:R84" ca="1" si="7">SUM(M71:Q71)</f>
        <v>0</v>
      </c>
      <c r="S71" s="250">
        <f t="shared" ref="S71:V86" ca="1" si="8">G71+M71</f>
        <v>0</v>
      </c>
      <c r="T71" s="243">
        <f t="shared" ca="1" si="8"/>
        <v>0</v>
      </c>
      <c r="U71" s="243">
        <f t="shared" ca="1" si="8"/>
        <v>0</v>
      </c>
      <c r="V71" s="243">
        <f t="shared" ca="1" si="8"/>
        <v>0</v>
      </c>
      <c r="W71" s="244">
        <f t="shared" ca="1" si="5"/>
        <v>0</v>
      </c>
      <c r="X71" s="251">
        <f t="shared" ca="1" si="6"/>
        <v>0</v>
      </c>
    </row>
    <row r="72" spans="2:24" ht="15" customHeight="1">
      <c r="B72" s="27"/>
      <c r="C72" s="11"/>
      <c r="D72" s="11" t="s">
        <v>213</v>
      </c>
      <c r="E72" s="11" t="s">
        <v>267</v>
      </c>
      <c r="F72" s="126" t="s">
        <v>131</v>
      </c>
      <c r="G72" s="242">
        <v>0</v>
      </c>
      <c r="H72" s="243">
        <v>0</v>
      </c>
      <c r="I72" s="243">
        <v>0</v>
      </c>
      <c r="J72" s="243">
        <v>0</v>
      </c>
      <c r="K72" s="244">
        <v>0</v>
      </c>
      <c r="L72" s="245">
        <v>0</v>
      </c>
      <c r="M72" s="246">
        <f ca="1">SUMIF(표2[[직종구분]:[작업 위치_코드]],'2.직종별 인원현황'!$F72,표2[조출])</f>
        <v>0</v>
      </c>
      <c r="N72" s="247">
        <f ca="1">SUMIF(표2[[직종구분]:[작업 위치_코드]],'2.직종별 인원현황'!$F72,표2[주간])</f>
        <v>0</v>
      </c>
      <c r="O72" s="247">
        <f ca="1">SUMIF(표2[[직종구분]:[작업 위치_코드]],'2.직종별 인원현황'!$F72,표2[연장])</f>
        <v>0</v>
      </c>
      <c r="P72" s="247">
        <f ca="1">SUMIF(표2[[직종구분]:[작업 위치_코드]],'2.직종별 인원현황'!$F72,표2[야간])</f>
        <v>0</v>
      </c>
      <c r="Q72" s="248">
        <f ca="1">SUMIF(표2[[직종구분]:[작업 위치_코드]],'2.직종별 인원현황'!$F72,표2[철야])</f>
        <v>0</v>
      </c>
      <c r="R72" s="249">
        <f t="shared" ca="1" si="7"/>
        <v>0</v>
      </c>
      <c r="S72" s="250">
        <f t="shared" ca="1" si="8"/>
        <v>0</v>
      </c>
      <c r="T72" s="243">
        <f t="shared" ca="1" si="8"/>
        <v>0</v>
      </c>
      <c r="U72" s="243">
        <f t="shared" ca="1" si="8"/>
        <v>0</v>
      </c>
      <c r="V72" s="243">
        <f t="shared" ca="1" si="8"/>
        <v>0</v>
      </c>
      <c r="W72" s="244">
        <f t="shared" ca="1" si="5"/>
        <v>0</v>
      </c>
      <c r="X72" s="251">
        <f t="shared" ca="1" si="6"/>
        <v>0</v>
      </c>
    </row>
    <row r="73" spans="2:24" ht="15" customHeight="1">
      <c r="B73" s="27"/>
      <c r="C73" s="11"/>
      <c r="D73" s="11" t="s">
        <v>214</v>
      </c>
      <c r="E73" s="11" t="s">
        <v>268</v>
      </c>
      <c r="F73" s="126" t="s">
        <v>698</v>
      </c>
      <c r="G73" s="242">
        <v>0</v>
      </c>
      <c r="H73" s="243">
        <v>0</v>
      </c>
      <c r="I73" s="243">
        <v>0</v>
      </c>
      <c r="J73" s="243">
        <v>0</v>
      </c>
      <c r="K73" s="244">
        <v>0</v>
      </c>
      <c r="L73" s="245">
        <v>0</v>
      </c>
      <c r="M73" s="246">
        <f ca="1">SUMIF(표2[[직종구분]:[작업 위치_코드]],'2.직종별 인원현황'!$F73,표2[조출])</f>
        <v>0</v>
      </c>
      <c r="N73" s="247">
        <f ca="1">SUMIF(표2[[직종구분]:[작업 위치_코드]],'2.직종별 인원현황'!$F73,표2[주간])</f>
        <v>0</v>
      </c>
      <c r="O73" s="247">
        <f ca="1">SUMIF(표2[[직종구분]:[작업 위치_코드]],'2.직종별 인원현황'!$F73,표2[연장])</f>
        <v>0</v>
      </c>
      <c r="P73" s="247">
        <f ca="1">SUMIF(표2[[직종구분]:[작업 위치_코드]],'2.직종별 인원현황'!$F73,표2[야간])</f>
        <v>0</v>
      </c>
      <c r="Q73" s="248">
        <f ca="1">SUMIF(표2[[직종구분]:[작업 위치_코드]],'2.직종별 인원현황'!$F73,표2[철야])</f>
        <v>0</v>
      </c>
      <c r="R73" s="249">
        <f t="shared" ca="1" si="7"/>
        <v>0</v>
      </c>
      <c r="S73" s="250">
        <f t="shared" ca="1" si="8"/>
        <v>0</v>
      </c>
      <c r="T73" s="243">
        <f t="shared" ca="1" si="8"/>
        <v>0</v>
      </c>
      <c r="U73" s="243">
        <f t="shared" ca="1" si="8"/>
        <v>0</v>
      </c>
      <c r="V73" s="243">
        <f t="shared" ca="1" si="8"/>
        <v>0</v>
      </c>
      <c r="W73" s="244">
        <f t="shared" ca="1" si="5"/>
        <v>0</v>
      </c>
      <c r="X73" s="251">
        <f t="shared" ca="1" si="6"/>
        <v>0</v>
      </c>
    </row>
    <row r="74" spans="2:24" ht="15" customHeight="1">
      <c r="B74" s="27"/>
      <c r="C74" s="11"/>
      <c r="D74" s="11" t="s">
        <v>215</v>
      </c>
      <c r="E74" s="11" t="s">
        <v>269</v>
      </c>
      <c r="F74" s="126" t="s">
        <v>475</v>
      </c>
      <c r="G74" s="242">
        <v>0</v>
      </c>
      <c r="H74" s="243">
        <v>0</v>
      </c>
      <c r="I74" s="243">
        <v>0</v>
      </c>
      <c r="J74" s="243">
        <v>0</v>
      </c>
      <c r="K74" s="244">
        <v>0</v>
      </c>
      <c r="L74" s="245">
        <v>0</v>
      </c>
      <c r="M74" s="246">
        <f ca="1">SUMIF(표2[[직종구분]:[작업 위치_코드]],'2.직종별 인원현황'!$F74,표2[조출])</f>
        <v>0</v>
      </c>
      <c r="N74" s="247">
        <f ca="1">SUMIF(표2[[직종구분]:[작업 위치_코드]],'2.직종별 인원현황'!$F74,표2[주간])</f>
        <v>0</v>
      </c>
      <c r="O74" s="247">
        <f ca="1">SUMIF(표2[[직종구분]:[작업 위치_코드]],'2.직종별 인원현황'!$F74,표2[연장])</f>
        <v>0</v>
      </c>
      <c r="P74" s="247">
        <f ca="1">SUMIF(표2[[직종구분]:[작업 위치_코드]],'2.직종별 인원현황'!$F74,표2[야간])</f>
        <v>0</v>
      </c>
      <c r="Q74" s="248">
        <f ca="1">SUMIF(표2[[직종구분]:[작업 위치_코드]],'2.직종별 인원현황'!$F74,표2[철야])</f>
        <v>0</v>
      </c>
      <c r="R74" s="249">
        <f t="shared" ca="1" si="7"/>
        <v>0</v>
      </c>
      <c r="S74" s="250">
        <f t="shared" ca="1" si="8"/>
        <v>0</v>
      </c>
      <c r="T74" s="243">
        <f t="shared" ca="1" si="8"/>
        <v>0</v>
      </c>
      <c r="U74" s="243">
        <f t="shared" ca="1" si="8"/>
        <v>0</v>
      </c>
      <c r="V74" s="243">
        <f t="shared" ca="1" si="8"/>
        <v>0</v>
      </c>
      <c r="W74" s="244">
        <f t="shared" ca="1" si="5"/>
        <v>0</v>
      </c>
      <c r="X74" s="251">
        <f t="shared" ca="1" si="6"/>
        <v>0</v>
      </c>
    </row>
    <row r="75" spans="2:24" ht="15" customHeight="1">
      <c r="B75" s="27"/>
      <c r="C75" s="11"/>
      <c r="D75" s="11" t="s">
        <v>216</v>
      </c>
      <c r="E75" s="11" t="s">
        <v>270</v>
      </c>
      <c r="F75" s="126" t="s">
        <v>476</v>
      </c>
      <c r="G75" s="242">
        <v>0</v>
      </c>
      <c r="H75" s="243">
        <v>0</v>
      </c>
      <c r="I75" s="243">
        <v>0</v>
      </c>
      <c r="J75" s="243">
        <v>0</v>
      </c>
      <c r="K75" s="244">
        <v>0</v>
      </c>
      <c r="L75" s="245">
        <v>0</v>
      </c>
      <c r="M75" s="246">
        <f ca="1">SUMIF(표2[[직종구분]:[작업 위치_코드]],'2.직종별 인원현황'!$F75,표2[조출])</f>
        <v>0</v>
      </c>
      <c r="N75" s="247">
        <f ca="1">SUMIF(표2[[직종구분]:[작업 위치_코드]],'2.직종별 인원현황'!$F75,표2[주간])</f>
        <v>0</v>
      </c>
      <c r="O75" s="247">
        <f ca="1">SUMIF(표2[[직종구분]:[작업 위치_코드]],'2.직종별 인원현황'!$F75,표2[연장])</f>
        <v>0</v>
      </c>
      <c r="P75" s="247">
        <f ca="1">SUMIF(표2[[직종구분]:[작업 위치_코드]],'2.직종별 인원현황'!$F75,표2[야간])</f>
        <v>0</v>
      </c>
      <c r="Q75" s="248">
        <f ca="1">SUMIF(표2[[직종구분]:[작업 위치_코드]],'2.직종별 인원현황'!$F75,표2[철야])</f>
        <v>0</v>
      </c>
      <c r="R75" s="249">
        <f t="shared" ca="1" si="7"/>
        <v>0</v>
      </c>
      <c r="S75" s="250">
        <f t="shared" ca="1" si="8"/>
        <v>0</v>
      </c>
      <c r="T75" s="243">
        <f t="shared" ca="1" si="8"/>
        <v>0</v>
      </c>
      <c r="U75" s="243">
        <f t="shared" ca="1" si="8"/>
        <v>0</v>
      </c>
      <c r="V75" s="243">
        <f t="shared" ca="1" si="8"/>
        <v>0</v>
      </c>
      <c r="W75" s="244">
        <f t="shared" ca="1" si="5"/>
        <v>0</v>
      </c>
      <c r="X75" s="251">
        <f t="shared" ca="1" si="6"/>
        <v>0</v>
      </c>
    </row>
    <row r="76" spans="2:24" ht="15" customHeight="1">
      <c r="B76" s="27"/>
      <c r="C76" s="11"/>
      <c r="D76" s="11" t="s">
        <v>217</v>
      </c>
      <c r="E76" s="11" t="s">
        <v>271</v>
      </c>
      <c r="F76" s="128" t="s">
        <v>132</v>
      </c>
      <c r="G76" s="242">
        <v>0</v>
      </c>
      <c r="H76" s="243">
        <v>0</v>
      </c>
      <c r="I76" s="243">
        <v>0</v>
      </c>
      <c r="J76" s="243">
        <v>0</v>
      </c>
      <c r="K76" s="244">
        <v>0</v>
      </c>
      <c r="L76" s="245">
        <v>0</v>
      </c>
      <c r="M76" s="246">
        <f ca="1">SUMIF(표2[[직종구분]:[작업 위치_코드]],'2.직종별 인원현황'!$F76,표2[조출])</f>
        <v>0</v>
      </c>
      <c r="N76" s="247">
        <f ca="1">SUMIF(표2[[직종구분]:[작업 위치_코드]],'2.직종별 인원현황'!$F76,표2[주간])</f>
        <v>0</v>
      </c>
      <c r="O76" s="247">
        <f ca="1">SUMIF(표2[[직종구분]:[작업 위치_코드]],'2.직종별 인원현황'!$F76,표2[연장])</f>
        <v>0</v>
      </c>
      <c r="P76" s="247">
        <f ca="1">SUMIF(표2[[직종구분]:[작업 위치_코드]],'2.직종별 인원현황'!$F76,표2[야간])</f>
        <v>0</v>
      </c>
      <c r="Q76" s="248">
        <f ca="1">SUMIF(표2[[직종구분]:[작업 위치_코드]],'2.직종별 인원현황'!$F76,표2[철야])</f>
        <v>0</v>
      </c>
      <c r="R76" s="249">
        <f t="shared" ca="1" si="7"/>
        <v>0</v>
      </c>
      <c r="S76" s="250">
        <f t="shared" ca="1" si="8"/>
        <v>0</v>
      </c>
      <c r="T76" s="243">
        <f t="shared" ca="1" si="8"/>
        <v>0</v>
      </c>
      <c r="U76" s="243">
        <f t="shared" ca="1" si="8"/>
        <v>0</v>
      </c>
      <c r="V76" s="243">
        <f t="shared" ca="1" si="8"/>
        <v>0</v>
      </c>
      <c r="W76" s="244">
        <f t="shared" ca="1" si="5"/>
        <v>0</v>
      </c>
      <c r="X76" s="251">
        <f t="shared" ca="1" si="6"/>
        <v>0</v>
      </c>
    </row>
    <row r="77" spans="2:24" ht="15" customHeight="1">
      <c r="B77" s="27"/>
      <c r="C77" s="11"/>
      <c r="D77" s="11" t="s">
        <v>276</v>
      </c>
      <c r="E77" s="11" t="s">
        <v>272</v>
      </c>
      <c r="F77" s="126" t="s">
        <v>132</v>
      </c>
      <c r="G77" s="242">
        <v>0</v>
      </c>
      <c r="H77" s="243">
        <v>0</v>
      </c>
      <c r="I77" s="243">
        <v>0</v>
      </c>
      <c r="J77" s="243">
        <v>0</v>
      </c>
      <c r="K77" s="244">
        <v>0</v>
      </c>
      <c r="L77" s="245"/>
      <c r="M77" s="246">
        <f ca="1">SUMIF(표2[[직종구분]:[작업 위치_코드]],'2.직종별 인원현황'!$F77,표2[조출])</f>
        <v>0</v>
      </c>
      <c r="N77" s="247">
        <f ca="1">SUMIF(표2[[직종구분]:[작업 위치_코드]],'2.직종별 인원현황'!$F77,표2[주간])</f>
        <v>0</v>
      </c>
      <c r="O77" s="247">
        <f ca="1">SUMIF(표2[[직종구분]:[작업 위치_코드]],'2.직종별 인원현황'!$F77,표2[연장])</f>
        <v>0</v>
      </c>
      <c r="P77" s="247">
        <f ca="1">SUMIF(표2[[직종구분]:[작업 위치_코드]],'2.직종별 인원현황'!$F77,표2[야간])</f>
        <v>0</v>
      </c>
      <c r="Q77" s="248">
        <f ca="1">SUMIF(표2[[직종구분]:[작업 위치_코드]],'2.직종별 인원현황'!$F77,표2[철야])</f>
        <v>0</v>
      </c>
      <c r="R77" s="249">
        <f t="shared" ca="1" si="7"/>
        <v>0</v>
      </c>
      <c r="S77" s="250">
        <f t="shared" ca="1" si="8"/>
        <v>0</v>
      </c>
      <c r="T77" s="243">
        <f t="shared" ca="1" si="8"/>
        <v>0</v>
      </c>
      <c r="U77" s="243">
        <f t="shared" ca="1" si="8"/>
        <v>0</v>
      </c>
      <c r="V77" s="243">
        <f t="shared" ca="1" si="8"/>
        <v>0</v>
      </c>
      <c r="W77" s="244">
        <f t="shared" ca="1" si="5"/>
        <v>0</v>
      </c>
      <c r="X77" s="251">
        <f t="shared" ca="1" si="6"/>
        <v>0</v>
      </c>
    </row>
    <row r="78" spans="2:24" ht="15" customHeight="1">
      <c r="B78" s="27"/>
      <c r="C78" s="11"/>
      <c r="D78" s="11" t="s">
        <v>277</v>
      </c>
      <c r="E78" s="11" t="s">
        <v>273</v>
      </c>
      <c r="F78" s="126" t="s">
        <v>704</v>
      </c>
      <c r="G78" s="242"/>
      <c r="H78" s="243"/>
      <c r="I78" s="243"/>
      <c r="J78" s="243"/>
      <c r="K78" s="244"/>
      <c r="L78" s="245"/>
      <c r="M78" s="246">
        <f ca="1">SUMIF(표2[[직종구분]:[작업 위치_코드]],'2.직종별 인원현황'!$F78,표2[조출])</f>
        <v>0</v>
      </c>
      <c r="N78" s="247">
        <f ca="1">SUMIF(표2[[직종구분]:[작업 위치_코드]],'2.직종별 인원현황'!$F78,표2[주간])</f>
        <v>0</v>
      </c>
      <c r="O78" s="247">
        <f ca="1">SUMIF(표2[[직종구분]:[작업 위치_코드]],'2.직종별 인원현황'!$F78,표2[연장])</f>
        <v>0</v>
      </c>
      <c r="P78" s="247">
        <f ca="1">SUMIF(표2[[직종구분]:[작업 위치_코드]],'2.직종별 인원현황'!$F78,표2[야간])</f>
        <v>0</v>
      </c>
      <c r="Q78" s="248">
        <f ca="1">SUMIF(표2[[직종구분]:[작업 위치_코드]],'2.직종별 인원현황'!$F78,표2[철야])</f>
        <v>0</v>
      </c>
      <c r="R78" s="249">
        <f t="shared" ca="1" si="7"/>
        <v>0</v>
      </c>
      <c r="S78" s="250">
        <f t="shared" ca="1" si="8"/>
        <v>0</v>
      </c>
      <c r="T78" s="243">
        <f t="shared" ca="1" si="8"/>
        <v>0</v>
      </c>
      <c r="U78" s="243">
        <f t="shared" ca="1" si="8"/>
        <v>0</v>
      </c>
      <c r="V78" s="243">
        <f t="shared" ca="1" si="8"/>
        <v>0</v>
      </c>
      <c r="W78" s="244">
        <f t="shared" ca="1" si="5"/>
        <v>0</v>
      </c>
      <c r="X78" s="251">
        <f t="shared" ca="1" si="6"/>
        <v>0</v>
      </c>
    </row>
    <row r="79" spans="2:24" ht="15" customHeight="1">
      <c r="B79" s="27"/>
      <c r="C79" s="11"/>
      <c r="D79" s="11" t="s">
        <v>671</v>
      </c>
      <c r="E79" s="11" t="s">
        <v>672</v>
      </c>
      <c r="F79" s="128" t="s">
        <v>1969</v>
      </c>
      <c r="G79" s="242">
        <v>87</v>
      </c>
      <c r="H79" s="243">
        <f>551+15</f>
        <v>566</v>
      </c>
      <c r="I79" s="243">
        <f>5+346</f>
        <v>351</v>
      </c>
      <c r="J79" s="243">
        <v>6</v>
      </c>
      <c r="K79" s="244">
        <v>0</v>
      </c>
      <c r="L79" s="245">
        <v>1010</v>
      </c>
      <c r="M79" s="246">
        <f ca="1">SUMIF(표2[[직종구분]:[작업 위치_코드]],'2.직종별 인원현황'!$F79,표2[조출])</f>
        <v>19</v>
      </c>
      <c r="N79" s="247">
        <f ca="1">SUMIF(표2[[직종구분]:[작업 위치_코드]],'2.직종별 인원현황'!$F79,표2[주간])</f>
        <v>62</v>
      </c>
      <c r="O79" s="247">
        <f ca="1">SUMIF(표2[[직종구분]:[작업 위치_코드]],'2.직종별 인원현황'!$F79,표2[연장])</f>
        <v>0</v>
      </c>
      <c r="P79" s="247">
        <f ca="1">SUMIF(표2[[직종구분]:[작업 위치_코드]],'2.직종별 인원현황'!$F79,표2[야간])</f>
        <v>0</v>
      </c>
      <c r="Q79" s="248">
        <f ca="1">SUMIF(표2[[직종구분]:[작업 위치_코드]],'2.직종별 인원현황'!$F79,표2[철야])</f>
        <v>0</v>
      </c>
      <c r="R79" s="249">
        <f t="shared" ca="1" si="7"/>
        <v>81</v>
      </c>
      <c r="S79" s="250">
        <f t="shared" ca="1" si="8"/>
        <v>106</v>
      </c>
      <c r="T79" s="243">
        <f t="shared" ca="1" si="8"/>
        <v>628</v>
      </c>
      <c r="U79" s="243">
        <f t="shared" ca="1" si="8"/>
        <v>351</v>
      </c>
      <c r="V79" s="243">
        <f t="shared" ca="1" si="8"/>
        <v>6</v>
      </c>
      <c r="W79" s="244">
        <f t="shared" ca="1" si="5"/>
        <v>0</v>
      </c>
      <c r="X79" s="251">
        <f t="shared" ca="1" si="6"/>
        <v>1091</v>
      </c>
    </row>
    <row r="80" spans="2:24" ht="15" customHeight="1">
      <c r="B80" s="27"/>
      <c r="C80" s="11"/>
      <c r="D80" s="11" t="s">
        <v>673</v>
      </c>
      <c r="E80" s="11" t="s">
        <v>674</v>
      </c>
      <c r="F80" s="126" t="s">
        <v>690</v>
      </c>
      <c r="G80" s="242">
        <v>0</v>
      </c>
      <c r="H80" s="243">
        <v>0</v>
      </c>
      <c r="I80" s="243">
        <v>0</v>
      </c>
      <c r="J80" s="243">
        <v>0</v>
      </c>
      <c r="K80" s="244">
        <v>0</v>
      </c>
      <c r="L80" s="245">
        <v>0</v>
      </c>
      <c r="M80" s="246">
        <f ca="1">SUMIF(표2[[직종구분]:[작업 위치_코드]],'2.직종별 인원현황'!$F80,표2[조출])</f>
        <v>0</v>
      </c>
      <c r="N80" s="247">
        <f ca="1">SUMIF(표2[[직종구분]:[작업 위치_코드]],'2.직종별 인원현황'!$F80,표2[주간])</f>
        <v>0</v>
      </c>
      <c r="O80" s="247">
        <f ca="1">SUMIF(표2[[직종구분]:[작업 위치_코드]],'2.직종별 인원현황'!$F80,표2[연장])</f>
        <v>0</v>
      </c>
      <c r="P80" s="247">
        <f ca="1">SUMIF(표2[[직종구분]:[작업 위치_코드]],'2.직종별 인원현황'!$F80,표2[야간])</f>
        <v>0</v>
      </c>
      <c r="Q80" s="248">
        <f ca="1">SUMIF(표2[[직종구분]:[작업 위치_코드]],'2.직종별 인원현황'!$F80,표2[철야])</f>
        <v>0</v>
      </c>
      <c r="R80" s="249">
        <f t="shared" ca="1" si="7"/>
        <v>0</v>
      </c>
      <c r="S80" s="250">
        <f t="shared" ca="1" si="8"/>
        <v>0</v>
      </c>
      <c r="T80" s="243">
        <f t="shared" ca="1" si="8"/>
        <v>0</v>
      </c>
      <c r="U80" s="243">
        <f t="shared" ca="1" si="8"/>
        <v>0</v>
      </c>
      <c r="V80" s="243">
        <f t="shared" ca="1" si="8"/>
        <v>0</v>
      </c>
      <c r="W80" s="244">
        <f t="shared" ca="1" si="5"/>
        <v>0</v>
      </c>
      <c r="X80" s="251">
        <f t="shared" ca="1" si="6"/>
        <v>0</v>
      </c>
    </row>
    <row r="81" spans="2:24" ht="15" customHeight="1">
      <c r="B81" s="27"/>
      <c r="C81" s="11"/>
      <c r="D81" s="11" t="s">
        <v>675</v>
      </c>
      <c r="E81" s="11" t="s">
        <v>676</v>
      </c>
      <c r="F81" s="126" t="s">
        <v>691</v>
      </c>
      <c r="G81" s="242">
        <v>0</v>
      </c>
      <c r="H81" s="243">
        <v>0</v>
      </c>
      <c r="I81" s="243">
        <v>0</v>
      </c>
      <c r="J81" s="243">
        <v>0</v>
      </c>
      <c r="K81" s="244">
        <v>0</v>
      </c>
      <c r="L81" s="245">
        <f t="shared" ref="L81:L85" si="9">SUM(G81:K81)</f>
        <v>0</v>
      </c>
      <c r="M81" s="246">
        <f ca="1">SUMIF(표2[[직종구분]:[작업 위치_코드]],'2.직종별 인원현황'!$F81,표2[조출])</f>
        <v>0</v>
      </c>
      <c r="N81" s="247">
        <f ca="1">SUMIF(표2[[직종구분]:[작업 위치_코드]],'2.직종별 인원현황'!$F81,표2[주간])</f>
        <v>0</v>
      </c>
      <c r="O81" s="247">
        <f ca="1">SUMIF(표2[[직종구분]:[작업 위치_코드]],'2.직종별 인원현황'!$F81,표2[연장])</f>
        <v>0</v>
      </c>
      <c r="P81" s="247">
        <f ca="1">SUMIF(표2[[직종구분]:[작업 위치_코드]],'2.직종별 인원현황'!$F81,표2[야간])</f>
        <v>0</v>
      </c>
      <c r="Q81" s="248">
        <f ca="1">SUMIF(표2[[직종구분]:[작업 위치_코드]],'2.직종별 인원현황'!$F81,표2[철야])</f>
        <v>0</v>
      </c>
      <c r="R81" s="249">
        <f t="shared" ca="1" si="7"/>
        <v>0</v>
      </c>
      <c r="S81" s="250">
        <f t="shared" ca="1" si="8"/>
        <v>0</v>
      </c>
      <c r="T81" s="243">
        <f t="shared" ca="1" si="8"/>
        <v>0</v>
      </c>
      <c r="U81" s="243">
        <f t="shared" ca="1" si="8"/>
        <v>0</v>
      </c>
      <c r="V81" s="243">
        <f t="shared" ca="1" si="8"/>
        <v>0</v>
      </c>
      <c r="W81" s="244">
        <f t="shared" ca="1" si="5"/>
        <v>0</v>
      </c>
      <c r="X81" s="251">
        <f t="shared" ca="1" si="6"/>
        <v>0</v>
      </c>
    </row>
    <row r="82" spans="2:24" ht="15" customHeight="1">
      <c r="B82" s="27"/>
      <c r="C82" s="11"/>
      <c r="D82" s="11" t="s">
        <v>677</v>
      </c>
      <c r="E82" s="11" t="s">
        <v>678</v>
      </c>
      <c r="F82" s="126" t="s">
        <v>692</v>
      </c>
      <c r="G82" s="242">
        <v>0</v>
      </c>
      <c r="H82" s="243">
        <v>0</v>
      </c>
      <c r="I82" s="243">
        <v>0</v>
      </c>
      <c r="J82" s="243">
        <v>0</v>
      </c>
      <c r="K82" s="244">
        <v>0</v>
      </c>
      <c r="L82" s="245">
        <f t="shared" si="9"/>
        <v>0</v>
      </c>
      <c r="M82" s="246">
        <f ca="1">SUMIF(표2[[직종구분]:[작업 위치_코드]],'2.직종별 인원현황'!$F82,표2[조출])</f>
        <v>0</v>
      </c>
      <c r="N82" s="247">
        <f ca="1">SUMIF(표2[[직종구분]:[작업 위치_코드]],'2.직종별 인원현황'!$F82,표2[주간])</f>
        <v>0</v>
      </c>
      <c r="O82" s="247">
        <f ca="1">SUMIF(표2[[직종구분]:[작업 위치_코드]],'2.직종별 인원현황'!$F82,표2[연장])</f>
        <v>0</v>
      </c>
      <c r="P82" s="247">
        <f ca="1">SUMIF(표2[[직종구분]:[작업 위치_코드]],'2.직종별 인원현황'!$F82,표2[야간])</f>
        <v>0</v>
      </c>
      <c r="Q82" s="248">
        <f ca="1">SUMIF(표2[[직종구분]:[작업 위치_코드]],'2.직종별 인원현황'!$F82,표2[철야])</f>
        <v>0</v>
      </c>
      <c r="R82" s="249">
        <f t="shared" ca="1" si="7"/>
        <v>0</v>
      </c>
      <c r="S82" s="250">
        <f t="shared" ca="1" si="8"/>
        <v>0</v>
      </c>
      <c r="T82" s="243">
        <f t="shared" ca="1" si="8"/>
        <v>0</v>
      </c>
      <c r="U82" s="243">
        <f t="shared" ca="1" si="8"/>
        <v>0</v>
      </c>
      <c r="V82" s="243">
        <f t="shared" ca="1" si="8"/>
        <v>0</v>
      </c>
      <c r="W82" s="244">
        <f t="shared" ca="1" si="5"/>
        <v>0</v>
      </c>
      <c r="X82" s="251">
        <f t="shared" ca="1" si="6"/>
        <v>0</v>
      </c>
    </row>
    <row r="83" spans="2:24" ht="15" customHeight="1">
      <c r="B83" s="27"/>
      <c r="C83" s="11"/>
      <c r="D83" s="11" t="s">
        <v>679</v>
      </c>
      <c r="E83" s="11" t="s">
        <v>680</v>
      </c>
      <c r="F83" s="126" t="s">
        <v>693</v>
      </c>
      <c r="G83" s="242">
        <v>0</v>
      </c>
      <c r="H83" s="243">
        <v>0</v>
      </c>
      <c r="I83" s="243">
        <v>0</v>
      </c>
      <c r="J83" s="243">
        <v>0</v>
      </c>
      <c r="K83" s="244">
        <v>0</v>
      </c>
      <c r="L83" s="245">
        <f t="shared" si="9"/>
        <v>0</v>
      </c>
      <c r="M83" s="246">
        <f ca="1">SUMIF(표2[[직종구분]:[작업 위치_코드]],'2.직종별 인원현황'!$F83,표2[조출])</f>
        <v>0</v>
      </c>
      <c r="N83" s="247">
        <f ca="1">SUMIF(표2[[직종구분]:[작업 위치_코드]],'2.직종별 인원현황'!$F83,표2[주간])</f>
        <v>0</v>
      </c>
      <c r="O83" s="247">
        <f ca="1">SUMIF(표2[[직종구분]:[작업 위치_코드]],'2.직종별 인원현황'!$F83,표2[연장])</f>
        <v>0</v>
      </c>
      <c r="P83" s="247">
        <f ca="1">SUMIF(표2[[직종구분]:[작업 위치_코드]],'2.직종별 인원현황'!$F83,표2[야간])</f>
        <v>0</v>
      </c>
      <c r="Q83" s="248">
        <f ca="1">SUMIF(표2[[직종구분]:[작업 위치_코드]],'2.직종별 인원현황'!$F83,표2[철야])</f>
        <v>0</v>
      </c>
      <c r="R83" s="249">
        <f t="shared" ca="1" si="7"/>
        <v>0</v>
      </c>
      <c r="S83" s="250">
        <f t="shared" ca="1" si="8"/>
        <v>0</v>
      </c>
      <c r="T83" s="243">
        <f t="shared" ca="1" si="8"/>
        <v>0</v>
      </c>
      <c r="U83" s="243">
        <f t="shared" ca="1" si="8"/>
        <v>0</v>
      </c>
      <c r="V83" s="243">
        <f t="shared" ca="1" si="8"/>
        <v>0</v>
      </c>
      <c r="W83" s="244">
        <f t="shared" ca="1" si="5"/>
        <v>0</v>
      </c>
      <c r="X83" s="251">
        <f t="shared" ca="1" si="6"/>
        <v>0</v>
      </c>
    </row>
    <row r="84" spans="2:24" ht="15" customHeight="1">
      <c r="B84" s="27"/>
      <c r="C84" s="11"/>
      <c r="D84" s="11" t="s">
        <v>684</v>
      </c>
      <c r="E84" s="11" t="s">
        <v>685</v>
      </c>
      <c r="F84" s="126" t="s">
        <v>694</v>
      </c>
      <c r="G84" s="242">
        <v>0</v>
      </c>
      <c r="H84" s="243">
        <v>0</v>
      </c>
      <c r="I84" s="243">
        <v>0</v>
      </c>
      <c r="J84" s="243">
        <v>0</v>
      </c>
      <c r="K84" s="244">
        <v>0</v>
      </c>
      <c r="L84" s="245">
        <f t="shared" si="9"/>
        <v>0</v>
      </c>
      <c r="M84" s="246">
        <f ca="1">SUMIF(표2[[직종구분]:[작업 위치_코드]],'2.직종별 인원현황'!$F84,표2[조출])</f>
        <v>0</v>
      </c>
      <c r="N84" s="247">
        <f ca="1">SUMIF(표2[[직종구분]:[작업 위치_코드]],'2.직종별 인원현황'!$F84,표2[주간])</f>
        <v>0</v>
      </c>
      <c r="O84" s="247">
        <f ca="1">SUMIF(표2[[직종구분]:[작업 위치_코드]],'2.직종별 인원현황'!$F84,표2[연장])</f>
        <v>0</v>
      </c>
      <c r="P84" s="247">
        <f ca="1">SUMIF(표2[[직종구분]:[작업 위치_코드]],'2.직종별 인원현황'!$F84,표2[야간])</f>
        <v>0</v>
      </c>
      <c r="Q84" s="248">
        <f ca="1">SUMIF(표2[[직종구분]:[작업 위치_코드]],'2.직종별 인원현황'!$F84,표2[철야])</f>
        <v>0</v>
      </c>
      <c r="R84" s="249">
        <f t="shared" ca="1" si="7"/>
        <v>0</v>
      </c>
      <c r="S84" s="250">
        <f t="shared" ca="1" si="8"/>
        <v>0</v>
      </c>
      <c r="T84" s="243">
        <f t="shared" ca="1" si="8"/>
        <v>0</v>
      </c>
      <c r="U84" s="243">
        <f t="shared" ca="1" si="8"/>
        <v>0</v>
      </c>
      <c r="V84" s="243">
        <f t="shared" ca="1" si="8"/>
        <v>0</v>
      </c>
      <c r="W84" s="244">
        <f t="shared" ca="1" si="5"/>
        <v>0</v>
      </c>
      <c r="X84" s="251">
        <f t="shared" ca="1" si="6"/>
        <v>0</v>
      </c>
    </row>
    <row r="85" spans="2:24" ht="15" customHeight="1">
      <c r="B85" s="27"/>
      <c r="C85" s="11"/>
      <c r="D85" s="11" t="s">
        <v>686</v>
      </c>
      <c r="E85" s="11" t="s">
        <v>687</v>
      </c>
      <c r="F85" s="126" t="s">
        <v>682</v>
      </c>
      <c r="G85" s="242">
        <v>0</v>
      </c>
      <c r="H85" s="243">
        <v>0</v>
      </c>
      <c r="I85" s="243">
        <v>0</v>
      </c>
      <c r="J85" s="243">
        <v>0</v>
      </c>
      <c r="K85" s="244">
        <v>0</v>
      </c>
      <c r="L85" s="245">
        <f t="shared" si="9"/>
        <v>0</v>
      </c>
      <c r="M85" s="246">
        <f ca="1">SUMIF(표2[[직종구분]:[작업 위치_코드]],'2.직종별 인원현황'!$F85,표2[조출])</f>
        <v>0</v>
      </c>
      <c r="N85" s="247">
        <f ca="1">SUMIF(표2[[직종구분]:[작업 위치_코드]],'2.직종별 인원현황'!$F85,표2[주간])</f>
        <v>0</v>
      </c>
      <c r="O85" s="247">
        <f ca="1">SUMIF(표2[[직종구분]:[작업 위치_코드]],'2.직종별 인원현황'!$F85,표2[연장])</f>
        <v>0</v>
      </c>
      <c r="P85" s="247">
        <f ca="1">SUMIF(표2[[직종구분]:[작업 위치_코드]],'2.직종별 인원현황'!$F85,표2[야간])</f>
        <v>0</v>
      </c>
      <c r="Q85" s="248">
        <f ca="1">SUMIF(표2[[직종구분]:[작업 위치_코드]],'2.직종별 인원현황'!$F85,표2[철야])</f>
        <v>0</v>
      </c>
      <c r="R85" s="249">
        <f t="shared" ref="R85:R86" ca="1" si="10">SUM(M85:Q85)</f>
        <v>0</v>
      </c>
      <c r="S85" s="250">
        <f t="shared" ca="1" si="8"/>
        <v>0</v>
      </c>
      <c r="T85" s="243">
        <f t="shared" ca="1" si="8"/>
        <v>0</v>
      </c>
      <c r="U85" s="243">
        <f t="shared" ca="1" si="8"/>
        <v>0</v>
      </c>
      <c r="V85" s="243">
        <f t="shared" ca="1" si="8"/>
        <v>0</v>
      </c>
      <c r="W85" s="244">
        <f t="shared" ca="1" si="5"/>
        <v>0</v>
      </c>
      <c r="X85" s="251">
        <f t="shared" ca="1" si="6"/>
        <v>0</v>
      </c>
    </row>
    <row r="86" spans="2:24" ht="15" customHeight="1">
      <c r="B86" s="27"/>
      <c r="C86" s="11"/>
      <c r="D86" s="11" t="s">
        <v>688</v>
      </c>
      <c r="E86" s="11" t="s">
        <v>689</v>
      </c>
      <c r="F86" s="126" t="s">
        <v>683</v>
      </c>
      <c r="G86" s="242">
        <v>0</v>
      </c>
      <c r="H86" s="243">
        <v>0</v>
      </c>
      <c r="I86" s="243">
        <v>0</v>
      </c>
      <c r="J86" s="243">
        <v>0</v>
      </c>
      <c r="K86" s="244">
        <v>0</v>
      </c>
      <c r="L86" s="245">
        <f t="shared" ref="L86" si="11">SUM(G86:K86)</f>
        <v>0</v>
      </c>
      <c r="M86" s="246">
        <f ca="1">SUMIF(표2[[직종구분]:[작업 위치_코드]],'2.직종별 인원현황'!$F86,표2[조출])</f>
        <v>0</v>
      </c>
      <c r="N86" s="247">
        <f ca="1">SUMIF(표2[[직종구분]:[작업 위치_코드]],'2.직종별 인원현황'!$F86,표2[주간])</f>
        <v>0</v>
      </c>
      <c r="O86" s="247">
        <f ca="1">SUMIF(표2[[직종구분]:[작업 위치_코드]],'2.직종별 인원현황'!$F86,표2[연장])</f>
        <v>0</v>
      </c>
      <c r="P86" s="247">
        <f ca="1">SUMIF(표2[[직종구분]:[작업 위치_코드]],'2.직종별 인원현황'!$F86,표2[야간])</f>
        <v>0</v>
      </c>
      <c r="Q86" s="248">
        <f ca="1">SUMIF(표2[[직종구분]:[작업 위치_코드]],'2.직종별 인원현황'!$F86,표2[철야])</f>
        <v>0</v>
      </c>
      <c r="R86" s="249">
        <f t="shared" ca="1" si="10"/>
        <v>0</v>
      </c>
      <c r="S86" s="250">
        <f t="shared" ca="1" si="8"/>
        <v>0</v>
      </c>
      <c r="T86" s="243">
        <f t="shared" ca="1" si="8"/>
        <v>0</v>
      </c>
      <c r="U86" s="243">
        <f t="shared" ca="1" si="8"/>
        <v>0</v>
      </c>
      <c r="V86" s="243">
        <f t="shared" ca="1" si="8"/>
        <v>0</v>
      </c>
      <c r="W86" s="244">
        <f t="shared" ca="1" si="5"/>
        <v>0</v>
      </c>
      <c r="X86" s="251">
        <f t="shared" ca="1" si="6"/>
        <v>0</v>
      </c>
    </row>
    <row r="87" spans="2:24" ht="15" customHeight="1">
      <c r="B87" s="332" t="s">
        <v>138</v>
      </c>
      <c r="C87" s="333"/>
      <c r="D87" s="333"/>
      <c r="E87" s="333"/>
      <c r="F87" s="334"/>
      <c r="G87" s="37">
        <f t="shared" ref="G87:X87" si="12">SUM(G6:G15)</f>
        <v>21</v>
      </c>
      <c r="H87" s="38">
        <f t="shared" si="12"/>
        <v>214</v>
      </c>
      <c r="I87" s="38">
        <f t="shared" si="12"/>
        <v>148</v>
      </c>
      <c r="J87" s="38">
        <f t="shared" si="12"/>
        <v>0</v>
      </c>
      <c r="K87" s="39">
        <f t="shared" si="12"/>
        <v>0</v>
      </c>
      <c r="L87" s="123">
        <f t="shared" si="12"/>
        <v>383</v>
      </c>
      <c r="M87" s="121">
        <f t="shared" ca="1" si="12"/>
        <v>4</v>
      </c>
      <c r="N87" s="38">
        <f t="shared" ca="1" si="12"/>
        <v>17</v>
      </c>
      <c r="O87" s="38">
        <f t="shared" ca="1" si="12"/>
        <v>0</v>
      </c>
      <c r="P87" s="38">
        <f t="shared" ca="1" si="12"/>
        <v>0</v>
      </c>
      <c r="Q87" s="39">
        <f t="shared" ca="1" si="12"/>
        <v>0</v>
      </c>
      <c r="R87" s="123">
        <f t="shared" ca="1" si="12"/>
        <v>21</v>
      </c>
      <c r="S87" s="121">
        <f t="shared" ca="1" si="12"/>
        <v>25</v>
      </c>
      <c r="T87" s="38">
        <f t="shared" ca="1" si="12"/>
        <v>231</v>
      </c>
      <c r="U87" s="38">
        <f t="shared" ca="1" si="12"/>
        <v>148</v>
      </c>
      <c r="V87" s="38">
        <f t="shared" ca="1" si="12"/>
        <v>0</v>
      </c>
      <c r="W87" s="39">
        <f t="shared" ca="1" si="12"/>
        <v>0</v>
      </c>
      <c r="X87" s="40">
        <f t="shared" ca="1" si="12"/>
        <v>404</v>
      </c>
    </row>
    <row r="88" spans="2:24" ht="15" customHeight="1">
      <c r="B88" s="332" t="s">
        <v>139</v>
      </c>
      <c r="C88" s="333"/>
      <c r="D88" s="333"/>
      <c r="E88" s="333"/>
      <c r="F88" s="334"/>
      <c r="G88" s="37">
        <f t="shared" ref="G88:X88" si="13">SUM(G16:G86)</f>
        <v>307</v>
      </c>
      <c r="H88" s="38">
        <f t="shared" si="13"/>
        <v>1739</v>
      </c>
      <c r="I88" s="38">
        <f t="shared" si="13"/>
        <v>1126</v>
      </c>
      <c r="J88" s="38">
        <f t="shared" si="13"/>
        <v>6</v>
      </c>
      <c r="K88" s="39">
        <f t="shared" si="13"/>
        <v>0</v>
      </c>
      <c r="L88" s="123">
        <f t="shared" si="13"/>
        <v>3178</v>
      </c>
      <c r="M88" s="121">
        <f t="shared" ca="1" si="13"/>
        <v>45</v>
      </c>
      <c r="N88" s="38">
        <f t="shared" ca="1" si="13"/>
        <v>146</v>
      </c>
      <c r="O88" s="38">
        <f t="shared" ca="1" si="13"/>
        <v>0</v>
      </c>
      <c r="P88" s="38">
        <f t="shared" ca="1" si="13"/>
        <v>0</v>
      </c>
      <c r="Q88" s="39">
        <f t="shared" ca="1" si="13"/>
        <v>0</v>
      </c>
      <c r="R88" s="123">
        <f t="shared" ca="1" si="13"/>
        <v>191</v>
      </c>
      <c r="S88" s="121">
        <f t="shared" ca="1" si="13"/>
        <v>352</v>
      </c>
      <c r="T88" s="38">
        <f t="shared" ca="1" si="13"/>
        <v>1885</v>
      </c>
      <c r="U88" s="38">
        <f t="shared" ca="1" si="13"/>
        <v>1126</v>
      </c>
      <c r="V88" s="38">
        <f t="shared" ca="1" si="13"/>
        <v>6</v>
      </c>
      <c r="W88" s="39">
        <f t="shared" ca="1" si="13"/>
        <v>0</v>
      </c>
      <c r="X88" s="40">
        <f t="shared" ca="1" si="13"/>
        <v>3369</v>
      </c>
    </row>
    <row r="89" spans="2:24" ht="15" customHeight="1">
      <c r="B89" s="28"/>
      <c r="C89" s="12"/>
      <c r="D89" s="12"/>
      <c r="E89" s="12"/>
      <c r="F89" s="30" t="str">
        <f>CONCATENATE(B6," ",C6," ","기능공 투입 Total")</f>
        <v>UT M15X_PH4_041 기능공 투입 Total</v>
      </c>
      <c r="G89" s="13">
        <f t="shared" ref="G89:X89" si="14">SUM(G6:G86)</f>
        <v>328</v>
      </c>
      <c r="H89" s="14">
        <f t="shared" si="14"/>
        <v>1953</v>
      </c>
      <c r="I89" s="14">
        <f t="shared" si="14"/>
        <v>1274</v>
      </c>
      <c r="J89" s="14">
        <f t="shared" si="14"/>
        <v>6</v>
      </c>
      <c r="K89" s="15">
        <f t="shared" si="14"/>
        <v>0</v>
      </c>
      <c r="L89" s="124">
        <f t="shared" si="14"/>
        <v>3561</v>
      </c>
      <c r="M89" s="122">
        <f t="shared" ca="1" si="14"/>
        <v>49</v>
      </c>
      <c r="N89" s="14">
        <f t="shared" ca="1" si="14"/>
        <v>163</v>
      </c>
      <c r="O89" s="14">
        <f t="shared" ca="1" si="14"/>
        <v>0</v>
      </c>
      <c r="P89" s="14">
        <f t="shared" ca="1" si="14"/>
        <v>0</v>
      </c>
      <c r="Q89" s="15">
        <f t="shared" ca="1" si="14"/>
        <v>0</v>
      </c>
      <c r="R89" s="124">
        <f t="shared" ca="1" si="14"/>
        <v>212</v>
      </c>
      <c r="S89" s="122">
        <f t="shared" ca="1" si="14"/>
        <v>377</v>
      </c>
      <c r="T89" s="14">
        <f t="shared" ca="1" si="14"/>
        <v>2116</v>
      </c>
      <c r="U89" s="14">
        <f t="shared" ca="1" si="14"/>
        <v>1274</v>
      </c>
      <c r="V89" s="14">
        <f t="shared" ca="1" si="14"/>
        <v>6</v>
      </c>
      <c r="W89" s="15">
        <f t="shared" ca="1" si="14"/>
        <v>0</v>
      </c>
      <c r="X89" s="29">
        <f t="shared" ca="1" si="14"/>
        <v>3773</v>
      </c>
    </row>
  </sheetData>
  <mergeCells count="6">
    <mergeCell ref="B88:F88"/>
    <mergeCell ref="B3:X3"/>
    <mergeCell ref="S4:X4"/>
    <mergeCell ref="M4:R4"/>
    <mergeCell ref="G4:L4"/>
    <mergeCell ref="B87:F87"/>
  </mergeCells>
  <phoneticPr fontId="3" type="noConversion"/>
  <conditionalFormatting sqref="D6:F86">
    <cfRule type="expression" dxfId="198" priority="6">
      <formula>SUM($M6:$Q6)&gt;0</formula>
    </cfRule>
  </conditionalFormatting>
  <conditionalFormatting sqref="Q6:X30 R31:X73 Q74:X86 G6:L86">
    <cfRule type="expression" dxfId="197" priority="5">
      <formula>SUM($M6:$Q6)&gt;0</formula>
    </cfRule>
  </conditionalFormatting>
  <conditionalFormatting sqref="Q31:Q73">
    <cfRule type="expression" dxfId="196" priority="4">
      <formula>SUM($M31:$Q31)&gt;0</formula>
    </cfRule>
  </conditionalFormatting>
  <conditionalFormatting sqref="M86:P86">
    <cfRule type="expression" dxfId="195" priority="3">
      <formula>SUM($M86:$Q86)&gt;0</formula>
    </cfRule>
  </conditionalFormatting>
  <conditionalFormatting sqref="M84:P85">
    <cfRule type="expression" dxfId="194" priority="2">
      <formula>SUM($M84:$Q84)&gt;0</formula>
    </cfRule>
  </conditionalFormatting>
  <conditionalFormatting sqref="M6:P83">
    <cfRule type="expression" dxfId="193" priority="1">
      <formula>SUM($M6:$Q6)&gt;0</formula>
    </cfRule>
  </conditionalFormatting>
  <pageMargins left="0.70866141732283472" right="0.70866141732283472" top="0.74803149606299213" bottom="0.74803149606299213" header="0.31496062992125984" footer="0.31496062992125984"/>
  <pageSetup paperSize="9" scale="150" orientation="landscape" r:id="rId1"/>
  <ignoredErrors>
    <ignoredError sqref="M12:Q86 M11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X74"/>
  <sheetViews>
    <sheetView showGridLines="0" zoomScaleNormal="100" workbookViewId="0">
      <pane ySplit="5" topLeftCell="A6" activePane="bottomLeft" state="frozen"/>
      <selection activeCell="G19" sqref="G19"/>
      <selection pane="bottomLeft" activeCell="I27" sqref="I27"/>
    </sheetView>
  </sheetViews>
  <sheetFormatPr defaultRowHeight="16.5" outlineLevelCol="1"/>
  <cols>
    <col min="1" max="1" width="3.375" customWidth="1"/>
    <col min="3" max="3" width="10.875" customWidth="1"/>
    <col min="4" max="4" width="13.625" customWidth="1"/>
    <col min="5" max="5" width="13.125" customWidth="1"/>
    <col min="6" max="6" width="28.375" bestFit="1" customWidth="1"/>
    <col min="7" max="11" width="9" customWidth="1" outlineLevel="1"/>
    <col min="12" max="12" width="9" customWidth="1"/>
    <col min="19" max="23" width="9" customWidth="1" outlineLevel="1"/>
  </cols>
  <sheetData>
    <row r="1" spans="2:24" ht="22.5" customHeight="1">
      <c r="B1" s="113" t="s">
        <v>653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</row>
    <row r="2" spans="2:24" ht="17.25" customHeight="1" thickBot="1">
      <c r="B2" s="114" t="str">
        <f>CONCATENATE("금일 작업 현황 :",TEXT(Cover!E15," YYYY-MM-DD, aaaa"))</f>
        <v>금일 작업 현황 : 2025-09-17, 수요일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</row>
    <row r="3" spans="2:24">
      <c r="B3" s="335" t="str">
        <f>CONCATENATE("장비 투입인원 현황 ",TEXT(Cover!E15,"yyyy/mm/dd"))</f>
        <v>장비 투입인원 현황 2025/09/17</v>
      </c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7"/>
    </row>
    <row r="4" spans="2:24">
      <c r="B4" s="183" t="s">
        <v>2</v>
      </c>
      <c r="C4" s="184" t="s">
        <v>8</v>
      </c>
      <c r="D4" s="345" t="s">
        <v>60</v>
      </c>
      <c r="E4" s="346"/>
      <c r="F4" s="338"/>
      <c r="G4" s="339" t="str">
        <f>CONCATENATE("전일누계 [", TEXT(Cover!E15-1, "mm/dd"), "]")</f>
        <v>전일누계 [09/16]</v>
      </c>
      <c r="H4" s="339"/>
      <c r="I4" s="339"/>
      <c r="J4" s="339"/>
      <c r="K4" s="339"/>
      <c r="L4" s="341"/>
      <c r="M4" s="339" t="str">
        <f>CONCATENATE("금일투입 [", TEXT(Cover!E15, "mm/dd"), "]")</f>
        <v>금일투입 [09/17]</v>
      </c>
      <c r="N4" s="339"/>
      <c r="O4" s="339"/>
      <c r="P4" s="339"/>
      <c r="Q4" s="339"/>
      <c r="R4" s="341"/>
      <c r="S4" s="338" t="str">
        <f>CONCATENATE("금일누계 [", TEXT(Cover!E15, "mm/dd"), "]")</f>
        <v>금일누계 [09/17]</v>
      </c>
      <c r="T4" s="339"/>
      <c r="U4" s="339"/>
      <c r="V4" s="339"/>
      <c r="W4" s="339"/>
      <c r="X4" s="340"/>
    </row>
    <row r="5" spans="2:24">
      <c r="B5" s="24" t="s">
        <v>42</v>
      </c>
      <c r="C5" s="16" t="s">
        <v>24</v>
      </c>
      <c r="D5" s="17" t="s">
        <v>29</v>
      </c>
      <c r="E5" s="23" t="s">
        <v>30</v>
      </c>
      <c r="F5" s="17" t="s">
        <v>31</v>
      </c>
      <c r="G5" s="21" t="s">
        <v>34</v>
      </c>
      <c r="H5" s="18" t="s">
        <v>35</v>
      </c>
      <c r="I5" s="18" t="s">
        <v>36</v>
      </c>
      <c r="J5" s="18" t="s">
        <v>37</v>
      </c>
      <c r="K5" s="19" t="s">
        <v>38</v>
      </c>
      <c r="L5" s="120" t="s">
        <v>40</v>
      </c>
      <c r="M5" s="119" t="s">
        <v>34</v>
      </c>
      <c r="N5" s="18" t="s">
        <v>696</v>
      </c>
      <c r="O5" s="18" t="s">
        <v>36</v>
      </c>
      <c r="P5" s="18" t="s">
        <v>37</v>
      </c>
      <c r="Q5" s="19" t="s">
        <v>38</v>
      </c>
      <c r="R5" s="120" t="s">
        <v>41</v>
      </c>
      <c r="S5" s="119" t="s">
        <v>34</v>
      </c>
      <c r="T5" s="18" t="s">
        <v>35</v>
      </c>
      <c r="U5" s="18" t="s">
        <v>36</v>
      </c>
      <c r="V5" s="18" t="s">
        <v>37</v>
      </c>
      <c r="W5" s="19" t="s">
        <v>38</v>
      </c>
      <c r="X5" s="120" t="s">
        <v>39</v>
      </c>
    </row>
    <row r="6" spans="2:24">
      <c r="B6" s="26" t="str">
        <f>Cover!E18</f>
        <v>UT</v>
      </c>
      <c r="C6" s="20" t="str">
        <f>Cover!E16</f>
        <v>M15X_PH4_041</v>
      </c>
      <c r="D6" s="277" t="s">
        <v>281</v>
      </c>
      <c r="E6" s="279" t="s">
        <v>282</v>
      </c>
      <c r="F6" s="277" t="s">
        <v>283</v>
      </c>
      <c r="G6" s="232">
        <v>0</v>
      </c>
      <c r="H6" s="233">
        <v>0</v>
      </c>
      <c r="I6" s="233">
        <v>0</v>
      </c>
      <c r="J6" s="233">
        <v>0</v>
      </c>
      <c r="K6" s="234">
        <v>0</v>
      </c>
      <c r="L6" s="235">
        <v>0</v>
      </c>
      <c r="M6" s="236">
        <v>0</v>
      </c>
      <c r="N6" s="237">
        <v>0</v>
      </c>
      <c r="O6" s="237">
        <v>0</v>
      </c>
      <c r="P6" s="237">
        <v>0</v>
      </c>
      <c r="Q6" s="238">
        <v>0</v>
      </c>
      <c r="R6" s="272">
        <f t="shared" ref="R6:R54" si="0">SUM(M6:Q6)</f>
        <v>0</v>
      </c>
      <c r="S6" s="240">
        <f t="shared" ref="S6:W22" si="1">G6+M6</f>
        <v>0</v>
      </c>
      <c r="T6" s="233">
        <f t="shared" si="1"/>
        <v>0</v>
      </c>
      <c r="U6" s="233">
        <f t="shared" si="1"/>
        <v>0</v>
      </c>
      <c r="V6" s="233">
        <f t="shared" si="1"/>
        <v>0</v>
      </c>
      <c r="W6" s="234">
        <f t="shared" si="1"/>
        <v>0</v>
      </c>
      <c r="X6" s="235">
        <f t="shared" ref="X6:X54" si="2">SUM(S6:W6)</f>
        <v>0</v>
      </c>
    </row>
    <row r="7" spans="2:24">
      <c r="B7" s="27"/>
      <c r="C7" s="11" t="str">
        <f>Cover!E20</f>
        <v>중원엔지니어링FAB</v>
      </c>
      <c r="D7" s="278" t="s">
        <v>281</v>
      </c>
      <c r="E7" s="280" t="s">
        <v>282</v>
      </c>
      <c r="F7" s="278" t="s">
        <v>284</v>
      </c>
      <c r="G7" s="242">
        <v>0</v>
      </c>
      <c r="H7" s="243">
        <v>0</v>
      </c>
      <c r="I7" s="243">
        <v>0</v>
      </c>
      <c r="J7" s="243">
        <v>0</v>
      </c>
      <c r="K7" s="244">
        <v>0</v>
      </c>
      <c r="L7" s="245">
        <v>0</v>
      </c>
      <c r="M7" s="246">
        <v>0</v>
      </c>
      <c r="N7" s="247">
        <v>0</v>
      </c>
      <c r="O7" s="247">
        <v>0</v>
      </c>
      <c r="P7" s="247">
        <v>0</v>
      </c>
      <c r="Q7" s="248">
        <v>0</v>
      </c>
      <c r="R7" s="275">
        <f t="shared" si="0"/>
        <v>0</v>
      </c>
      <c r="S7" s="250">
        <f t="shared" si="1"/>
        <v>0</v>
      </c>
      <c r="T7" s="243">
        <f t="shared" si="1"/>
        <v>0</v>
      </c>
      <c r="U7" s="243">
        <f t="shared" si="1"/>
        <v>0</v>
      </c>
      <c r="V7" s="243">
        <f t="shared" si="1"/>
        <v>0</v>
      </c>
      <c r="W7" s="244">
        <f t="shared" si="1"/>
        <v>0</v>
      </c>
      <c r="X7" s="245">
        <f t="shared" si="2"/>
        <v>0</v>
      </c>
    </row>
    <row r="8" spans="2:24">
      <c r="B8" s="27"/>
      <c r="C8" s="11"/>
      <c r="D8" s="278" t="s">
        <v>281</v>
      </c>
      <c r="E8" s="280" t="s">
        <v>282</v>
      </c>
      <c r="F8" s="278" t="s">
        <v>285</v>
      </c>
      <c r="G8" s="242">
        <v>0</v>
      </c>
      <c r="H8" s="243">
        <v>0</v>
      </c>
      <c r="I8" s="243">
        <v>0</v>
      </c>
      <c r="J8" s="243">
        <v>0</v>
      </c>
      <c r="K8" s="244">
        <v>0</v>
      </c>
      <c r="L8" s="245">
        <v>0</v>
      </c>
      <c r="M8" s="246">
        <v>0</v>
      </c>
      <c r="N8" s="247">
        <v>0</v>
      </c>
      <c r="O8" s="247">
        <v>0</v>
      </c>
      <c r="P8" s="247">
        <v>0</v>
      </c>
      <c r="Q8" s="248">
        <v>0</v>
      </c>
      <c r="R8" s="275">
        <f t="shared" si="0"/>
        <v>0</v>
      </c>
      <c r="S8" s="250">
        <f t="shared" si="1"/>
        <v>0</v>
      </c>
      <c r="T8" s="243">
        <f t="shared" si="1"/>
        <v>0</v>
      </c>
      <c r="U8" s="243">
        <f t="shared" si="1"/>
        <v>0</v>
      </c>
      <c r="V8" s="243">
        <f t="shared" si="1"/>
        <v>0</v>
      </c>
      <c r="W8" s="244">
        <f t="shared" si="1"/>
        <v>0</v>
      </c>
      <c r="X8" s="245">
        <f t="shared" si="2"/>
        <v>0</v>
      </c>
    </row>
    <row r="9" spans="2:24">
      <c r="B9" s="27"/>
      <c r="C9" s="11"/>
      <c r="D9" s="278" t="s">
        <v>281</v>
      </c>
      <c r="E9" s="280" t="s">
        <v>282</v>
      </c>
      <c r="F9" s="278" t="s">
        <v>286</v>
      </c>
      <c r="G9" s="242">
        <v>0</v>
      </c>
      <c r="H9" s="243">
        <v>0</v>
      </c>
      <c r="I9" s="243">
        <v>0</v>
      </c>
      <c r="J9" s="243">
        <v>0</v>
      </c>
      <c r="K9" s="244">
        <v>0</v>
      </c>
      <c r="L9" s="245">
        <v>0</v>
      </c>
      <c r="M9" s="246">
        <v>0</v>
      </c>
      <c r="N9" s="247">
        <v>0</v>
      </c>
      <c r="O9" s="247">
        <v>0</v>
      </c>
      <c r="P9" s="247">
        <v>0</v>
      </c>
      <c r="Q9" s="248">
        <v>0</v>
      </c>
      <c r="R9" s="275">
        <f t="shared" si="0"/>
        <v>0</v>
      </c>
      <c r="S9" s="250">
        <f t="shared" si="1"/>
        <v>0</v>
      </c>
      <c r="T9" s="243">
        <f t="shared" si="1"/>
        <v>0</v>
      </c>
      <c r="U9" s="243">
        <f t="shared" si="1"/>
        <v>0</v>
      </c>
      <c r="V9" s="243">
        <f t="shared" si="1"/>
        <v>0</v>
      </c>
      <c r="W9" s="244">
        <f t="shared" si="1"/>
        <v>0</v>
      </c>
      <c r="X9" s="245">
        <f t="shared" si="2"/>
        <v>0</v>
      </c>
    </row>
    <row r="10" spans="2:24">
      <c r="B10" s="27"/>
      <c r="C10" s="11"/>
      <c r="D10" s="278" t="s">
        <v>281</v>
      </c>
      <c r="E10" s="280" t="s">
        <v>287</v>
      </c>
      <c r="F10" s="278" t="s">
        <v>1951</v>
      </c>
      <c r="G10" s="242">
        <v>0</v>
      </c>
      <c r="H10" s="243">
        <v>0</v>
      </c>
      <c r="I10" s="243">
        <v>0</v>
      </c>
      <c r="J10" s="243">
        <v>0</v>
      </c>
      <c r="K10" s="244">
        <v>0</v>
      </c>
      <c r="L10" s="245">
        <v>0</v>
      </c>
      <c r="M10" s="246">
        <v>0</v>
      </c>
      <c r="N10" s="247">
        <v>0</v>
      </c>
      <c r="O10" s="247">
        <v>0</v>
      </c>
      <c r="P10" s="247">
        <v>0</v>
      </c>
      <c r="Q10" s="248">
        <v>0</v>
      </c>
      <c r="R10" s="275">
        <f t="shared" si="0"/>
        <v>0</v>
      </c>
      <c r="S10" s="250">
        <f t="shared" si="1"/>
        <v>0</v>
      </c>
      <c r="T10" s="243">
        <f t="shared" si="1"/>
        <v>0</v>
      </c>
      <c r="U10" s="243">
        <f t="shared" si="1"/>
        <v>0</v>
      </c>
      <c r="V10" s="243">
        <f t="shared" si="1"/>
        <v>0</v>
      </c>
      <c r="W10" s="244">
        <f t="shared" si="1"/>
        <v>0</v>
      </c>
      <c r="X10" s="245">
        <f t="shared" si="2"/>
        <v>0</v>
      </c>
    </row>
    <row r="11" spans="2:24">
      <c r="B11" s="27"/>
      <c r="C11" s="11"/>
      <c r="D11" s="278" t="s">
        <v>281</v>
      </c>
      <c r="E11" s="280" t="s">
        <v>287</v>
      </c>
      <c r="F11" s="278" t="s">
        <v>288</v>
      </c>
      <c r="G11" s="242">
        <v>0</v>
      </c>
      <c r="H11" s="243">
        <v>0</v>
      </c>
      <c r="I11" s="243">
        <v>0</v>
      </c>
      <c r="J11" s="243">
        <v>0</v>
      </c>
      <c r="K11" s="244">
        <v>0</v>
      </c>
      <c r="L11" s="245">
        <v>0</v>
      </c>
      <c r="M11" s="246">
        <v>0</v>
      </c>
      <c r="N11" s="247">
        <v>0</v>
      </c>
      <c r="O11" s="247">
        <v>0</v>
      </c>
      <c r="P11" s="247">
        <v>0</v>
      </c>
      <c r="Q11" s="248">
        <v>0</v>
      </c>
      <c r="R11" s="275">
        <f t="shared" si="0"/>
        <v>0</v>
      </c>
      <c r="S11" s="250">
        <f t="shared" si="1"/>
        <v>0</v>
      </c>
      <c r="T11" s="243">
        <f t="shared" si="1"/>
        <v>0</v>
      </c>
      <c r="U11" s="243">
        <f t="shared" si="1"/>
        <v>0</v>
      </c>
      <c r="V11" s="243">
        <f t="shared" si="1"/>
        <v>0</v>
      </c>
      <c r="W11" s="244">
        <f t="shared" si="1"/>
        <v>0</v>
      </c>
      <c r="X11" s="245">
        <f t="shared" si="2"/>
        <v>0</v>
      </c>
    </row>
    <row r="12" spans="2:24">
      <c r="B12" s="27"/>
      <c r="C12" s="11"/>
      <c r="D12" s="278" t="s">
        <v>281</v>
      </c>
      <c r="E12" s="280" t="s">
        <v>287</v>
      </c>
      <c r="F12" s="278" t="s">
        <v>1952</v>
      </c>
      <c r="G12" s="242">
        <v>0</v>
      </c>
      <c r="H12" s="243">
        <v>0</v>
      </c>
      <c r="I12" s="243">
        <v>0</v>
      </c>
      <c r="J12" s="243">
        <v>0</v>
      </c>
      <c r="K12" s="244">
        <v>0</v>
      </c>
      <c r="L12" s="245">
        <v>0</v>
      </c>
      <c r="M12" s="246">
        <v>0</v>
      </c>
      <c r="N12" s="247">
        <v>0</v>
      </c>
      <c r="O12" s="247">
        <v>0</v>
      </c>
      <c r="P12" s="247">
        <v>0</v>
      </c>
      <c r="Q12" s="248">
        <v>0</v>
      </c>
      <c r="R12" s="275">
        <f t="shared" si="0"/>
        <v>0</v>
      </c>
      <c r="S12" s="250">
        <f t="shared" si="1"/>
        <v>0</v>
      </c>
      <c r="T12" s="243">
        <f t="shared" si="1"/>
        <v>0</v>
      </c>
      <c r="U12" s="243">
        <f t="shared" si="1"/>
        <v>0</v>
      </c>
      <c r="V12" s="243">
        <f t="shared" si="1"/>
        <v>0</v>
      </c>
      <c r="W12" s="244">
        <f t="shared" si="1"/>
        <v>0</v>
      </c>
      <c r="X12" s="245">
        <f t="shared" si="2"/>
        <v>0</v>
      </c>
    </row>
    <row r="13" spans="2:24">
      <c r="B13" s="27"/>
      <c r="C13" s="11"/>
      <c r="D13" s="278" t="s">
        <v>281</v>
      </c>
      <c r="E13" s="280" t="s">
        <v>287</v>
      </c>
      <c r="F13" s="278" t="s">
        <v>289</v>
      </c>
      <c r="G13" s="242">
        <v>0</v>
      </c>
      <c r="H13" s="243">
        <v>0</v>
      </c>
      <c r="I13" s="243">
        <v>0</v>
      </c>
      <c r="J13" s="243">
        <v>0</v>
      </c>
      <c r="K13" s="244">
        <v>0</v>
      </c>
      <c r="L13" s="245">
        <v>0</v>
      </c>
      <c r="M13" s="246">
        <v>0</v>
      </c>
      <c r="N13" s="247">
        <v>0</v>
      </c>
      <c r="O13" s="247">
        <v>0</v>
      </c>
      <c r="P13" s="247">
        <v>0</v>
      </c>
      <c r="Q13" s="248">
        <v>0</v>
      </c>
      <c r="R13" s="275">
        <f t="shared" si="0"/>
        <v>0</v>
      </c>
      <c r="S13" s="250">
        <f t="shared" si="1"/>
        <v>0</v>
      </c>
      <c r="T13" s="243">
        <f t="shared" si="1"/>
        <v>0</v>
      </c>
      <c r="U13" s="243">
        <f t="shared" si="1"/>
        <v>0</v>
      </c>
      <c r="V13" s="243">
        <f t="shared" si="1"/>
        <v>0</v>
      </c>
      <c r="W13" s="244">
        <f t="shared" si="1"/>
        <v>0</v>
      </c>
      <c r="X13" s="245">
        <f t="shared" si="2"/>
        <v>0</v>
      </c>
    </row>
    <row r="14" spans="2:24">
      <c r="B14" s="27"/>
      <c r="C14" s="11"/>
      <c r="D14" s="278" t="s">
        <v>281</v>
      </c>
      <c r="E14" s="280" t="s">
        <v>287</v>
      </c>
      <c r="F14" s="278" t="s">
        <v>1953</v>
      </c>
      <c r="G14" s="242">
        <v>0</v>
      </c>
      <c r="H14" s="243">
        <v>0</v>
      </c>
      <c r="I14" s="243">
        <v>0</v>
      </c>
      <c r="J14" s="243">
        <v>0</v>
      </c>
      <c r="K14" s="244">
        <v>0</v>
      </c>
      <c r="L14" s="245">
        <v>0</v>
      </c>
      <c r="M14" s="246">
        <v>0</v>
      </c>
      <c r="N14" s="247">
        <v>0</v>
      </c>
      <c r="O14" s="247">
        <v>0</v>
      </c>
      <c r="P14" s="247">
        <v>0</v>
      </c>
      <c r="Q14" s="248">
        <v>0</v>
      </c>
      <c r="R14" s="275">
        <f t="shared" si="0"/>
        <v>0</v>
      </c>
      <c r="S14" s="250">
        <f t="shared" si="1"/>
        <v>0</v>
      </c>
      <c r="T14" s="243">
        <f t="shared" si="1"/>
        <v>0</v>
      </c>
      <c r="U14" s="243">
        <f t="shared" si="1"/>
        <v>0</v>
      </c>
      <c r="V14" s="243">
        <f t="shared" si="1"/>
        <v>0</v>
      </c>
      <c r="W14" s="244">
        <f t="shared" si="1"/>
        <v>0</v>
      </c>
      <c r="X14" s="245">
        <f t="shared" si="2"/>
        <v>0</v>
      </c>
    </row>
    <row r="15" spans="2:24">
      <c r="B15" s="27"/>
      <c r="C15" s="11"/>
      <c r="D15" s="278" t="s">
        <v>290</v>
      </c>
      <c r="E15" s="280" t="s">
        <v>291</v>
      </c>
      <c r="F15" s="278" t="s">
        <v>292</v>
      </c>
      <c r="G15" s="242">
        <v>0</v>
      </c>
      <c r="H15" s="243">
        <v>0</v>
      </c>
      <c r="I15" s="243">
        <v>0</v>
      </c>
      <c r="J15" s="243">
        <v>0</v>
      </c>
      <c r="K15" s="244">
        <v>0</v>
      </c>
      <c r="L15" s="245">
        <v>0</v>
      </c>
      <c r="M15" s="246">
        <v>0</v>
      </c>
      <c r="N15" s="247">
        <v>0</v>
      </c>
      <c r="O15" s="247">
        <v>0</v>
      </c>
      <c r="P15" s="247">
        <v>0</v>
      </c>
      <c r="Q15" s="248">
        <v>0</v>
      </c>
      <c r="R15" s="275">
        <f t="shared" si="0"/>
        <v>0</v>
      </c>
      <c r="S15" s="250">
        <f t="shared" si="1"/>
        <v>0</v>
      </c>
      <c r="T15" s="243">
        <f t="shared" si="1"/>
        <v>0</v>
      </c>
      <c r="U15" s="243">
        <f t="shared" si="1"/>
        <v>0</v>
      </c>
      <c r="V15" s="243">
        <f t="shared" si="1"/>
        <v>0</v>
      </c>
      <c r="W15" s="244">
        <f t="shared" si="1"/>
        <v>0</v>
      </c>
      <c r="X15" s="245">
        <f t="shared" si="2"/>
        <v>0</v>
      </c>
    </row>
    <row r="16" spans="2:24">
      <c r="B16" s="27"/>
      <c r="C16" s="11"/>
      <c r="D16" s="278" t="s">
        <v>290</v>
      </c>
      <c r="E16" s="280" t="s">
        <v>291</v>
      </c>
      <c r="F16" s="278" t="s">
        <v>293</v>
      </c>
      <c r="G16" s="242">
        <v>42</v>
      </c>
      <c r="H16" s="243">
        <v>280</v>
      </c>
      <c r="I16" s="243">
        <v>182</v>
      </c>
      <c r="J16" s="243">
        <v>0</v>
      </c>
      <c r="K16" s="244">
        <v>0</v>
      </c>
      <c r="L16" s="245">
        <v>504</v>
      </c>
      <c r="M16" s="246">
        <v>9</v>
      </c>
      <c r="N16" s="247">
        <v>28</v>
      </c>
      <c r="O16" s="247">
        <v>0</v>
      </c>
      <c r="P16" s="247">
        <v>0</v>
      </c>
      <c r="Q16" s="248">
        <v>0</v>
      </c>
      <c r="R16" s="275">
        <f t="shared" si="0"/>
        <v>37</v>
      </c>
      <c r="S16" s="250">
        <f t="shared" si="1"/>
        <v>51</v>
      </c>
      <c r="T16" s="243">
        <f t="shared" si="1"/>
        <v>308</v>
      </c>
      <c r="U16" s="243">
        <f t="shared" si="1"/>
        <v>182</v>
      </c>
      <c r="V16" s="243">
        <f t="shared" si="1"/>
        <v>0</v>
      </c>
      <c r="W16" s="244">
        <f t="shared" si="1"/>
        <v>0</v>
      </c>
      <c r="X16" s="245">
        <f t="shared" si="2"/>
        <v>541</v>
      </c>
    </row>
    <row r="17" spans="2:24">
      <c r="B17" s="27"/>
      <c r="C17" s="11"/>
      <c r="D17" s="278" t="s">
        <v>290</v>
      </c>
      <c r="E17" s="280" t="s">
        <v>291</v>
      </c>
      <c r="F17" s="278" t="s">
        <v>294</v>
      </c>
      <c r="G17" s="242">
        <v>0</v>
      </c>
      <c r="H17" s="243">
        <v>0</v>
      </c>
      <c r="I17" s="243">
        <v>0</v>
      </c>
      <c r="J17" s="243">
        <v>0</v>
      </c>
      <c r="K17" s="244">
        <v>0</v>
      </c>
      <c r="L17" s="245">
        <v>0</v>
      </c>
      <c r="M17" s="246">
        <v>0</v>
      </c>
      <c r="N17" s="246">
        <v>0</v>
      </c>
      <c r="O17" s="246">
        <v>0</v>
      </c>
      <c r="P17" s="247">
        <v>0</v>
      </c>
      <c r="Q17" s="248">
        <v>0</v>
      </c>
      <c r="R17" s="275">
        <f t="shared" si="0"/>
        <v>0</v>
      </c>
      <c r="S17" s="250">
        <f t="shared" si="1"/>
        <v>0</v>
      </c>
      <c r="T17" s="243">
        <f t="shared" si="1"/>
        <v>0</v>
      </c>
      <c r="U17" s="243">
        <f t="shared" si="1"/>
        <v>0</v>
      </c>
      <c r="V17" s="243">
        <f t="shared" si="1"/>
        <v>0</v>
      </c>
      <c r="W17" s="244">
        <f t="shared" si="1"/>
        <v>0</v>
      </c>
      <c r="X17" s="245">
        <f t="shared" si="2"/>
        <v>0</v>
      </c>
    </row>
    <row r="18" spans="2:24">
      <c r="B18" s="27"/>
      <c r="C18" s="11"/>
      <c r="D18" s="278" t="s">
        <v>290</v>
      </c>
      <c r="E18" s="280" t="s">
        <v>291</v>
      </c>
      <c r="F18" s="278" t="s">
        <v>295</v>
      </c>
      <c r="G18" s="242">
        <v>0</v>
      </c>
      <c r="H18" s="243">
        <v>0</v>
      </c>
      <c r="I18" s="243">
        <v>0</v>
      </c>
      <c r="J18" s="243">
        <v>0</v>
      </c>
      <c r="K18" s="244">
        <v>0</v>
      </c>
      <c r="L18" s="245">
        <v>0</v>
      </c>
      <c r="M18" s="246">
        <v>0</v>
      </c>
      <c r="N18" s="246">
        <v>0</v>
      </c>
      <c r="O18" s="246">
        <v>0</v>
      </c>
      <c r="P18" s="247">
        <v>0</v>
      </c>
      <c r="Q18" s="248">
        <v>0</v>
      </c>
      <c r="R18" s="275">
        <f t="shared" si="0"/>
        <v>0</v>
      </c>
      <c r="S18" s="250">
        <f t="shared" si="1"/>
        <v>0</v>
      </c>
      <c r="T18" s="243">
        <f t="shared" si="1"/>
        <v>0</v>
      </c>
      <c r="U18" s="243">
        <f t="shared" si="1"/>
        <v>0</v>
      </c>
      <c r="V18" s="243">
        <f t="shared" si="1"/>
        <v>0</v>
      </c>
      <c r="W18" s="244">
        <f t="shared" si="1"/>
        <v>0</v>
      </c>
      <c r="X18" s="245">
        <f t="shared" si="2"/>
        <v>0</v>
      </c>
    </row>
    <row r="19" spans="2:24">
      <c r="B19" s="27"/>
      <c r="C19" s="11"/>
      <c r="D19" s="278" t="s">
        <v>290</v>
      </c>
      <c r="E19" s="280" t="s">
        <v>291</v>
      </c>
      <c r="F19" s="278" t="s">
        <v>296</v>
      </c>
      <c r="G19" s="242">
        <v>0</v>
      </c>
      <c r="H19" s="243">
        <v>0</v>
      </c>
      <c r="I19" s="243">
        <v>0</v>
      </c>
      <c r="J19" s="243">
        <v>0</v>
      </c>
      <c r="K19" s="244">
        <v>0</v>
      </c>
      <c r="L19" s="245">
        <v>0</v>
      </c>
      <c r="M19" s="246">
        <v>0</v>
      </c>
      <c r="N19" s="246">
        <v>0</v>
      </c>
      <c r="O19" s="246">
        <v>0</v>
      </c>
      <c r="P19" s="247">
        <v>0</v>
      </c>
      <c r="Q19" s="248">
        <v>0</v>
      </c>
      <c r="R19" s="275">
        <f t="shared" si="0"/>
        <v>0</v>
      </c>
      <c r="S19" s="250">
        <f t="shared" si="1"/>
        <v>0</v>
      </c>
      <c r="T19" s="243">
        <f t="shared" si="1"/>
        <v>0</v>
      </c>
      <c r="U19" s="243">
        <f t="shared" si="1"/>
        <v>0</v>
      </c>
      <c r="V19" s="243">
        <f t="shared" si="1"/>
        <v>0</v>
      </c>
      <c r="W19" s="244">
        <f t="shared" si="1"/>
        <v>0</v>
      </c>
      <c r="X19" s="245">
        <f t="shared" si="2"/>
        <v>0</v>
      </c>
    </row>
    <row r="20" spans="2:24">
      <c r="B20" s="27"/>
      <c r="C20" s="11"/>
      <c r="D20" s="278" t="s">
        <v>297</v>
      </c>
      <c r="E20" s="280" t="s">
        <v>298</v>
      </c>
      <c r="F20" s="278" t="s">
        <v>299</v>
      </c>
      <c r="G20" s="242">
        <v>6</v>
      </c>
      <c r="H20" s="243">
        <v>34</v>
      </c>
      <c r="I20" s="243">
        <v>26</v>
      </c>
      <c r="J20" s="243">
        <v>0</v>
      </c>
      <c r="K20" s="244">
        <v>0</v>
      </c>
      <c r="L20" s="245">
        <v>66</v>
      </c>
      <c r="M20" s="246">
        <v>1</v>
      </c>
      <c r="N20" s="247">
        <v>1</v>
      </c>
      <c r="O20" s="247">
        <v>0</v>
      </c>
      <c r="P20" s="247">
        <v>0</v>
      </c>
      <c r="Q20" s="248">
        <v>0</v>
      </c>
      <c r="R20" s="275">
        <f t="shared" si="0"/>
        <v>2</v>
      </c>
      <c r="S20" s="250">
        <f t="shared" si="1"/>
        <v>7</v>
      </c>
      <c r="T20" s="243">
        <f t="shared" si="1"/>
        <v>35</v>
      </c>
      <c r="U20" s="243">
        <f t="shared" si="1"/>
        <v>26</v>
      </c>
      <c r="V20" s="243">
        <f t="shared" si="1"/>
        <v>0</v>
      </c>
      <c r="W20" s="244">
        <f t="shared" si="1"/>
        <v>0</v>
      </c>
      <c r="X20" s="245">
        <f t="shared" si="2"/>
        <v>68</v>
      </c>
    </row>
    <row r="21" spans="2:24">
      <c r="B21" s="27"/>
      <c r="C21" s="11"/>
      <c r="D21" s="278" t="s">
        <v>297</v>
      </c>
      <c r="E21" s="280" t="s">
        <v>298</v>
      </c>
      <c r="F21" s="278" t="s">
        <v>300</v>
      </c>
      <c r="G21" s="242">
        <v>0</v>
      </c>
      <c r="H21" s="243">
        <v>0</v>
      </c>
      <c r="I21" s="243">
        <v>0</v>
      </c>
      <c r="J21" s="243">
        <v>0</v>
      </c>
      <c r="K21" s="244">
        <v>0</v>
      </c>
      <c r="L21" s="245">
        <v>0</v>
      </c>
      <c r="M21" s="246">
        <v>0</v>
      </c>
      <c r="N21" s="247">
        <v>0</v>
      </c>
      <c r="O21" s="247">
        <v>0</v>
      </c>
      <c r="P21" s="247">
        <v>0</v>
      </c>
      <c r="Q21" s="248">
        <v>0</v>
      </c>
      <c r="R21" s="275">
        <f t="shared" si="0"/>
        <v>0</v>
      </c>
      <c r="S21" s="250">
        <f t="shared" si="1"/>
        <v>0</v>
      </c>
      <c r="T21" s="243">
        <f t="shared" si="1"/>
        <v>0</v>
      </c>
      <c r="U21" s="243">
        <f t="shared" si="1"/>
        <v>0</v>
      </c>
      <c r="V21" s="243">
        <f t="shared" si="1"/>
        <v>0</v>
      </c>
      <c r="W21" s="244">
        <f t="shared" si="1"/>
        <v>0</v>
      </c>
      <c r="X21" s="245">
        <f t="shared" si="2"/>
        <v>0</v>
      </c>
    </row>
    <row r="22" spans="2:24">
      <c r="B22" s="27"/>
      <c r="C22" s="11"/>
      <c r="D22" s="278" t="s">
        <v>297</v>
      </c>
      <c r="E22" s="280" t="s">
        <v>298</v>
      </c>
      <c r="F22" s="278" t="s">
        <v>301</v>
      </c>
      <c r="G22" s="242">
        <v>0</v>
      </c>
      <c r="H22" s="243">
        <v>0</v>
      </c>
      <c r="I22" s="243">
        <v>0</v>
      </c>
      <c r="J22" s="243">
        <v>0</v>
      </c>
      <c r="K22" s="244">
        <v>0</v>
      </c>
      <c r="L22" s="245">
        <v>0</v>
      </c>
      <c r="M22" s="246">
        <v>0</v>
      </c>
      <c r="N22" s="247">
        <v>0</v>
      </c>
      <c r="O22" s="247">
        <v>0</v>
      </c>
      <c r="P22" s="247">
        <v>0</v>
      </c>
      <c r="Q22" s="248">
        <v>0</v>
      </c>
      <c r="R22" s="275">
        <f t="shared" si="0"/>
        <v>0</v>
      </c>
      <c r="S22" s="250">
        <f t="shared" si="1"/>
        <v>0</v>
      </c>
      <c r="T22" s="243">
        <f t="shared" si="1"/>
        <v>0</v>
      </c>
      <c r="U22" s="243">
        <f t="shared" si="1"/>
        <v>0</v>
      </c>
      <c r="V22" s="243">
        <f t="shared" si="1"/>
        <v>0</v>
      </c>
      <c r="W22" s="244">
        <f t="shared" si="1"/>
        <v>0</v>
      </c>
      <c r="X22" s="245">
        <f t="shared" si="2"/>
        <v>0</v>
      </c>
    </row>
    <row r="23" spans="2:24">
      <c r="B23" s="27"/>
      <c r="C23" s="11"/>
      <c r="D23" s="278" t="s">
        <v>297</v>
      </c>
      <c r="E23" s="280" t="s">
        <v>298</v>
      </c>
      <c r="F23" s="278" t="s">
        <v>302</v>
      </c>
      <c r="G23" s="242">
        <v>0</v>
      </c>
      <c r="H23" s="243">
        <v>0</v>
      </c>
      <c r="I23" s="243">
        <v>0</v>
      </c>
      <c r="J23" s="243">
        <v>0</v>
      </c>
      <c r="K23" s="244">
        <v>0</v>
      </c>
      <c r="L23" s="245">
        <v>0</v>
      </c>
      <c r="M23" s="246">
        <v>0</v>
      </c>
      <c r="N23" s="247">
        <v>0</v>
      </c>
      <c r="O23" s="247">
        <v>0</v>
      </c>
      <c r="P23" s="247">
        <v>0</v>
      </c>
      <c r="Q23" s="248">
        <v>0</v>
      </c>
      <c r="R23" s="275">
        <f t="shared" si="0"/>
        <v>0</v>
      </c>
      <c r="S23" s="250">
        <f t="shared" ref="S23:W54" si="3">G23+M23</f>
        <v>0</v>
      </c>
      <c r="T23" s="243">
        <f t="shared" si="3"/>
        <v>0</v>
      </c>
      <c r="U23" s="243">
        <f t="shared" si="3"/>
        <v>0</v>
      </c>
      <c r="V23" s="243">
        <f t="shared" si="3"/>
        <v>0</v>
      </c>
      <c r="W23" s="244">
        <f t="shared" si="3"/>
        <v>0</v>
      </c>
      <c r="X23" s="245">
        <f t="shared" si="2"/>
        <v>0</v>
      </c>
    </row>
    <row r="24" spans="2:24">
      <c r="B24" s="27"/>
      <c r="C24" s="11"/>
      <c r="D24" s="278" t="s">
        <v>297</v>
      </c>
      <c r="E24" s="280" t="s">
        <v>298</v>
      </c>
      <c r="F24" s="278" t="s">
        <v>303</v>
      </c>
      <c r="G24" s="242">
        <v>0</v>
      </c>
      <c r="H24" s="243">
        <v>0</v>
      </c>
      <c r="I24" s="243">
        <v>0</v>
      </c>
      <c r="J24" s="243">
        <v>0</v>
      </c>
      <c r="K24" s="244">
        <v>0</v>
      </c>
      <c r="L24" s="245">
        <v>0</v>
      </c>
      <c r="M24" s="246">
        <v>0</v>
      </c>
      <c r="N24" s="247">
        <v>0</v>
      </c>
      <c r="O24" s="247">
        <v>0</v>
      </c>
      <c r="P24" s="247">
        <v>0</v>
      </c>
      <c r="Q24" s="248">
        <v>0</v>
      </c>
      <c r="R24" s="275">
        <f t="shared" si="0"/>
        <v>0</v>
      </c>
      <c r="S24" s="250">
        <f t="shared" si="3"/>
        <v>0</v>
      </c>
      <c r="T24" s="243">
        <f t="shared" si="3"/>
        <v>0</v>
      </c>
      <c r="U24" s="243">
        <f t="shared" si="3"/>
        <v>0</v>
      </c>
      <c r="V24" s="243">
        <f t="shared" si="3"/>
        <v>0</v>
      </c>
      <c r="W24" s="244">
        <f t="shared" si="3"/>
        <v>0</v>
      </c>
      <c r="X24" s="245">
        <f t="shared" si="2"/>
        <v>0</v>
      </c>
    </row>
    <row r="25" spans="2:24">
      <c r="B25" s="27"/>
      <c r="C25" s="11"/>
      <c r="D25" s="278" t="s">
        <v>297</v>
      </c>
      <c r="E25" s="280" t="s">
        <v>298</v>
      </c>
      <c r="F25" s="278" t="s">
        <v>304</v>
      </c>
      <c r="G25" s="242">
        <v>0</v>
      </c>
      <c r="H25" s="243">
        <v>0</v>
      </c>
      <c r="I25" s="243">
        <v>0</v>
      </c>
      <c r="J25" s="243">
        <v>0</v>
      </c>
      <c r="K25" s="244">
        <v>0</v>
      </c>
      <c r="L25" s="245">
        <v>0</v>
      </c>
      <c r="M25" s="246">
        <v>0</v>
      </c>
      <c r="N25" s="247">
        <v>0</v>
      </c>
      <c r="O25" s="247">
        <v>0</v>
      </c>
      <c r="P25" s="247">
        <v>0</v>
      </c>
      <c r="Q25" s="248">
        <v>0</v>
      </c>
      <c r="R25" s="275">
        <f t="shared" si="0"/>
        <v>0</v>
      </c>
      <c r="S25" s="250">
        <f t="shared" si="3"/>
        <v>0</v>
      </c>
      <c r="T25" s="243">
        <f t="shared" si="3"/>
        <v>0</v>
      </c>
      <c r="U25" s="243">
        <f t="shared" si="3"/>
        <v>0</v>
      </c>
      <c r="V25" s="243">
        <f t="shared" si="3"/>
        <v>0</v>
      </c>
      <c r="W25" s="244">
        <f t="shared" si="3"/>
        <v>0</v>
      </c>
      <c r="X25" s="245">
        <f t="shared" si="2"/>
        <v>0</v>
      </c>
    </row>
    <row r="26" spans="2:24">
      <c r="B26" s="27"/>
      <c r="C26" s="11"/>
      <c r="D26" s="278" t="s">
        <v>297</v>
      </c>
      <c r="E26" s="280" t="s">
        <v>305</v>
      </c>
      <c r="F26" s="278" t="s">
        <v>305</v>
      </c>
      <c r="G26" s="242">
        <v>0</v>
      </c>
      <c r="H26" s="243">
        <v>0</v>
      </c>
      <c r="I26" s="243">
        <v>0</v>
      </c>
      <c r="J26" s="243">
        <v>0</v>
      </c>
      <c r="K26" s="244">
        <v>0</v>
      </c>
      <c r="L26" s="245">
        <v>0</v>
      </c>
      <c r="M26" s="246">
        <v>0</v>
      </c>
      <c r="N26" s="247">
        <v>0</v>
      </c>
      <c r="O26" s="247">
        <v>0</v>
      </c>
      <c r="P26" s="247">
        <v>0</v>
      </c>
      <c r="Q26" s="248">
        <v>0</v>
      </c>
      <c r="R26" s="275">
        <f t="shared" si="0"/>
        <v>0</v>
      </c>
      <c r="S26" s="250">
        <f t="shared" si="3"/>
        <v>0</v>
      </c>
      <c r="T26" s="243">
        <f t="shared" si="3"/>
        <v>0</v>
      </c>
      <c r="U26" s="243">
        <f t="shared" si="3"/>
        <v>0</v>
      </c>
      <c r="V26" s="243">
        <f t="shared" si="3"/>
        <v>0</v>
      </c>
      <c r="W26" s="244">
        <f t="shared" si="3"/>
        <v>0</v>
      </c>
      <c r="X26" s="245">
        <f t="shared" si="2"/>
        <v>0</v>
      </c>
    </row>
    <row r="27" spans="2:24">
      <c r="B27" s="27"/>
      <c r="C27" s="11"/>
      <c r="D27" s="278" t="s">
        <v>306</v>
      </c>
      <c r="E27" s="280" t="s">
        <v>307</v>
      </c>
      <c r="F27" s="280" t="s">
        <v>307</v>
      </c>
      <c r="G27" s="242">
        <v>0</v>
      </c>
      <c r="H27" s="243">
        <v>0</v>
      </c>
      <c r="I27" s="243">
        <v>0</v>
      </c>
      <c r="J27" s="243">
        <v>0</v>
      </c>
      <c r="K27" s="244">
        <v>0</v>
      </c>
      <c r="L27" s="245">
        <v>0</v>
      </c>
      <c r="M27" s="246">
        <v>0</v>
      </c>
      <c r="N27" s="247">
        <v>0</v>
      </c>
      <c r="O27" s="247">
        <v>0</v>
      </c>
      <c r="P27" s="247">
        <v>0</v>
      </c>
      <c r="Q27" s="248">
        <v>0</v>
      </c>
      <c r="R27" s="275">
        <f t="shared" si="0"/>
        <v>0</v>
      </c>
      <c r="S27" s="250">
        <f t="shared" si="3"/>
        <v>0</v>
      </c>
      <c r="T27" s="243">
        <f t="shared" si="3"/>
        <v>0</v>
      </c>
      <c r="U27" s="243">
        <f t="shared" si="3"/>
        <v>0</v>
      </c>
      <c r="V27" s="243">
        <f t="shared" si="3"/>
        <v>0</v>
      </c>
      <c r="W27" s="244">
        <f t="shared" si="3"/>
        <v>0</v>
      </c>
      <c r="X27" s="245">
        <f t="shared" si="2"/>
        <v>0</v>
      </c>
    </row>
    <row r="28" spans="2:24">
      <c r="B28" s="27"/>
      <c r="C28" s="11"/>
      <c r="D28" s="278" t="s">
        <v>306</v>
      </c>
      <c r="E28" s="280" t="s">
        <v>308</v>
      </c>
      <c r="F28" s="280" t="s">
        <v>308</v>
      </c>
      <c r="G28" s="242">
        <v>0</v>
      </c>
      <c r="H28" s="243">
        <v>0</v>
      </c>
      <c r="I28" s="243">
        <v>0</v>
      </c>
      <c r="J28" s="243">
        <v>0</v>
      </c>
      <c r="K28" s="244">
        <v>0</v>
      </c>
      <c r="L28" s="245">
        <v>0</v>
      </c>
      <c r="M28" s="246">
        <v>0</v>
      </c>
      <c r="N28" s="247">
        <v>0</v>
      </c>
      <c r="O28" s="247">
        <v>0</v>
      </c>
      <c r="P28" s="247">
        <v>0</v>
      </c>
      <c r="Q28" s="248">
        <v>0</v>
      </c>
      <c r="R28" s="275">
        <f t="shared" si="0"/>
        <v>0</v>
      </c>
      <c r="S28" s="250">
        <f t="shared" si="3"/>
        <v>0</v>
      </c>
      <c r="T28" s="243">
        <f t="shared" si="3"/>
        <v>0</v>
      </c>
      <c r="U28" s="243">
        <f t="shared" si="3"/>
        <v>0</v>
      </c>
      <c r="V28" s="243">
        <f t="shared" si="3"/>
        <v>0</v>
      </c>
      <c r="W28" s="244">
        <f t="shared" si="3"/>
        <v>0</v>
      </c>
      <c r="X28" s="245">
        <f t="shared" si="2"/>
        <v>0</v>
      </c>
    </row>
    <row r="29" spans="2:24">
      <c r="B29" s="27"/>
      <c r="C29" s="11"/>
      <c r="D29" s="278" t="s">
        <v>306</v>
      </c>
      <c r="E29" s="280" t="s">
        <v>309</v>
      </c>
      <c r="F29" s="280" t="s">
        <v>309</v>
      </c>
      <c r="G29" s="242">
        <v>0</v>
      </c>
      <c r="H29" s="243">
        <v>0</v>
      </c>
      <c r="I29" s="243">
        <v>0</v>
      </c>
      <c r="J29" s="243">
        <v>0</v>
      </c>
      <c r="K29" s="244">
        <v>0</v>
      </c>
      <c r="L29" s="245">
        <v>0</v>
      </c>
      <c r="M29" s="246">
        <v>0</v>
      </c>
      <c r="N29" s="247">
        <v>0</v>
      </c>
      <c r="O29" s="247">
        <v>0</v>
      </c>
      <c r="P29" s="247">
        <v>0</v>
      </c>
      <c r="Q29" s="248">
        <v>0</v>
      </c>
      <c r="R29" s="275">
        <f t="shared" si="0"/>
        <v>0</v>
      </c>
      <c r="S29" s="250">
        <f t="shared" si="3"/>
        <v>0</v>
      </c>
      <c r="T29" s="243">
        <f t="shared" si="3"/>
        <v>0</v>
      </c>
      <c r="U29" s="243">
        <f t="shared" si="3"/>
        <v>0</v>
      </c>
      <c r="V29" s="243">
        <f t="shared" si="3"/>
        <v>0</v>
      </c>
      <c r="W29" s="244">
        <f t="shared" si="3"/>
        <v>0</v>
      </c>
      <c r="X29" s="245">
        <f t="shared" si="2"/>
        <v>0</v>
      </c>
    </row>
    <row r="30" spans="2:24">
      <c r="B30" s="27"/>
      <c r="C30" s="11"/>
      <c r="D30" s="278" t="s">
        <v>306</v>
      </c>
      <c r="E30" s="280" t="s">
        <v>309</v>
      </c>
      <c r="F30" s="278" t="s">
        <v>310</v>
      </c>
      <c r="G30" s="242">
        <v>0</v>
      </c>
      <c r="H30" s="243">
        <v>0</v>
      </c>
      <c r="I30" s="243">
        <v>0</v>
      </c>
      <c r="J30" s="243">
        <v>0</v>
      </c>
      <c r="K30" s="244">
        <v>0</v>
      </c>
      <c r="L30" s="245">
        <v>0</v>
      </c>
      <c r="M30" s="246">
        <v>0</v>
      </c>
      <c r="N30" s="247">
        <v>0</v>
      </c>
      <c r="O30" s="247">
        <v>0</v>
      </c>
      <c r="P30" s="247">
        <v>0</v>
      </c>
      <c r="Q30" s="248">
        <v>0</v>
      </c>
      <c r="R30" s="275">
        <f t="shared" si="0"/>
        <v>0</v>
      </c>
      <c r="S30" s="250">
        <f t="shared" si="3"/>
        <v>0</v>
      </c>
      <c r="T30" s="243">
        <f t="shared" si="3"/>
        <v>0</v>
      </c>
      <c r="U30" s="243">
        <f t="shared" si="3"/>
        <v>0</v>
      </c>
      <c r="V30" s="243">
        <f t="shared" si="3"/>
        <v>0</v>
      </c>
      <c r="W30" s="244">
        <f t="shared" si="3"/>
        <v>0</v>
      </c>
      <c r="X30" s="245">
        <f t="shared" si="2"/>
        <v>0</v>
      </c>
    </row>
    <row r="31" spans="2:24">
      <c r="B31" s="27"/>
      <c r="C31" s="11"/>
      <c r="D31" s="278" t="s">
        <v>311</v>
      </c>
      <c r="E31" s="280" t="s">
        <v>312</v>
      </c>
      <c r="F31" s="278" t="s">
        <v>313</v>
      </c>
      <c r="G31" s="242">
        <v>0</v>
      </c>
      <c r="H31" s="243">
        <v>0</v>
      </c>
      <c r="I31" s="243">
        <v>0</v>
      </c>
      <c r="J31" s="243">
        <v>0</v>
      </c>
      <c r="K31" s="244">
        <v>0</v>
      </c>
      <c r="L31" s="245">
        <v>0</v>
      </c>
      <c r="M31" s="246">
        <v>0</v>
      </c>
      <c r="N31" s="247">
        <v>0</v>
      </c>
      <c r="O31" s="247">
        <v>0</v>
      </c>
      <c r="P31" s="247">
        <v>0</v>
      </c>
      <c r="Q31" s="248">
        <v>0</v>
      </c>
      <c r="R31" s="275">
        <f t="shared" si="0"/>
        <v>0</v>
      </c>
      <c r="S31" s="250">
        <f t="shared" si="3"/>
        <v>0</v>
      </c>
      <c r="T31" s="243">
        <f t="shared" si="3"/>
        <v>0</v>
      </c>
      <c r="U31" s="243">
        <f t="shared" si="3"/>
        <v>0</v>
      </c>
      <c r="V31" s="243">
        <f t="shared" si="3"/>
        <v>0</v>
      </c>
      <c r="W31" s="244">
        <f t="shared" si="3"/>
        <v>0</v>
      </c>
      <c r="X31" s="245">
        <f t="shared" si="2"/>
        <v>0</v>
      </c>
    </row>
    <row r="32" spans="2:24">
      <c r="B32" s="27"/>
      <c r="C32" s="11"/>
      <c r="D32" s="278" t="s">
        <v>311</v>
      </c>
      <c r="E32" s="280" t="s">
        <v>312</v>
      </c>
      <c r="F32" s="278" t="s">
        <v>314</v>
      </c>
      <c r="G32" s="242">
        <v>0</v>
      </c>
      <c r="H32" s="243">
        <v>0</v>
      </c>
      <c r="I32" s="243">
        <v>0</v>
      </c>
      <c r="J32" s="243">
        <v>0</v>
      </c>
      <c r="K32" s="244">
        <v>0</v>
      </c>
      <c r="L32" s="245">
        <v>0</v>
      </c>
      <c r="M32" s="246">
        <v>0</v>
      </c>
      <c r="N32" s="247">
        <v>0</v>
      </c>
      <c r="O32" s="247">
        <v>0</v>
      </c>
      <c r="P32" s="247">
        <v>0</v>
      </c>
      <c r="Q32" s="248">
        <v>0</v>
      </c>
      <c r="R32" s="275">
        <f t="shared" si="0"/>
        <v>0</v>
      </c>
      <c r="S32" s="250">
        <f t="shared" si="3"/>
        <v>0</v>
      </c>
      <c r="T32" s="243">
        <f t="shared" si="3"/>
        <v>0</v>
      </c>
      <c r="U32" s="243">
        <f t="shared" si="3"/>
        <v>0</v>
      </c>
      <c r="V32" s="243">
        <f t="shared" si="3"/>
        <v>0</v>
      </c>
      <c r="W32" s="244">
        <f t="shared" si="3"/>
        <v>0</v>
      </c>
      <c r="X32" s="245">
        <f t="shared" si="2"/>
        <v>0</v>
      </c>
    </row>
    <row r="33" spans="2:24">
      <c r="B33" s="27"/>
      <c r="C33" s="11"/>
      <c r="D33" s="278" t="s">
        <v>311</v>
      </c>
      <c r="E33" s="280" t="s">
        <v>312</v>
      </c>
      <c r="F33" s="278" t="s">
        <v>315</v>
      </c>
      <c r="G33" s="242">
        <v>0</v>
      </c>
      <c r="H33" s="243">
        <v>0</v>
      </c>
      <c r="I33" s="243">
        <v>0</v>
      </c>
      <c r="J33" s="243">
        <v>0</v>
      </c>
      <c r="K33" s="244">
        <v>0</v>
      </c>
      <c r="L33" s="245">
        <v>0</v>
      </c>
      <c r="M33" s="246">
        <v>0</v>
      </c>
      <c r="N33" s="247">
        <v>0</v>
      </c>
      <c r="O33" s="247">
        <v>0</v>
      </c>
      <c r="P33" s="247">
        <v>0</v>
      </c>
      <c r="Q33" s="248">
        <v>0</v>
      </c>
      <c r="R33" s="275">
        <f t="shared" si="0"/>
        <v>0</v>
      </c>
      <c r="S33" s="250">
        <f t="shared" si="3"/>
        <v>0</v>
      </c>
      <c r="T33" s="243">
        <f t="shared" si="3"/>
        <v>0</v>
      </c>
      <c r="U33" s="243">
        <f t="shared" si="3"/>
        <v>0</v>
      </c>
      <c r="V33" s="243">
        <f t="shared" si="3"/>
        <v>0</v>
      </c>
      <c r="W33" s="244">
        <f t="shared" si="3"/>
        <v>0</v>
      </c>
      <c r="X33" s="245">
        <f t="shared" si="2"/>
        <v>0</v>
      </c>
    </row>
    <row r="34" spans="2:24">
      <c r="B34" s="27"/>
      <c r="C34" s="11"/>
      <c r="D34" s="278" t="s">
        <v>306</v>
      </c>
      <c r="E34" s="280" t="s">
        <v>316</v>
      </c>
      <c r="F34" s="278" t="s">
        <v>317</v>
      </c>
      <c r="G34" s="242">
        <v>0</v>
      </c>
      <c r="H34" s="243">
        <v>0</v>
      </c>
      <c r="I34" s="243">
        <v>0</v>
      </c>
      <c r="J34" s="243">
        <v>0</v>
      </c>
      <c r="K34" s="244">
        <v>0</v>
      </c>
      <c r="L34" s="245">
        <v>0</v>
      </c>
      <c r="M34" s="246">
        <v>0</v>
      </c>
      <c r="N34" s="247">
        <v>0</v>
      </c>
      <c r="O34" s="247">
        <v>0</v>
      </c>
      <c r="P34" s="247">
        <v>0</v>
      </c>
      <c r="Q34" s="248">
        <v>0</v>
      </c>
      <c r="R34" s="275">
        <f t="shared" si="0"/>
        <v>0</v>
      </c>
      <c r="S34" s="250">
        <f t="shared" si="3"/>
        <v>0</v>
      </c>
      <c r="T34" s="243">
        <f t="shared" si="3"/>
        <v>0</v>
      </c>
      <c r="U34" s="243">
        <f t="shared" si="3"/>
        <v>0</v>
      </c>
      <c r="V34" s="243">
        <f t="shared" si="3"/>
        <v>0</v>
      </c>
      <c r="W34" s="244">
        <f t="shared" si="3"/>
        <v>0</v>
      </c>
      <c r="X34" s="245">
        <f t="shared" si="2"/>
        <v>0</v>
      </c>
    </row>
    <row r="35" spans="2:24">
      <c r="B35" s="27"/>
      <c r="C35" s="11"/>
      <c r="D35" s="278" t="s">
        <v>306</v>
      </c>
      <c r="E35" s="280" t="s">
        <v>316</v>
      </c>
      <c r="F35" s="278" t="s">
        <v>318</v>
      </c>
      <c r="G35" s="242">
        <v>0</v>
      </c>
      <c r="H35" s="243">
        <v>0</v>
      </c>
      <c r="I35" s="243">
        <v>0</v>
      </c>
      <c r="J35" s="243">
        <v>0</v>
      </c>
      <c r="K35" s="244">
        <v>0</v>
      </c>
      <c r="L35" s="245">
        <v>0</v>
      </c>
      <c r="M35" s="246">
        <v>0</v>
      </c>
      <c r="N35" s="247">
        <v>0</v>
      </c>
      <c r="O35" s="247">
        <v>0</v>
      </c>
      <c r="P35" s="247">
        <v>0</v>
      </c>
      <c r="Q35" s="248">
        <v>0</v>
      </c>
      <c r="R35" s="275">
        <f t="shared" si="0"/>
        <v>0</v>
      </c>
      <c r="S35" s="250">
        <f t="shared" si="3"/>
        <v>0</v>
      </c>
      <c r="T35" s="243">
        <f t="shared" si="3"/>
        <v>0</v>
      </c>
      <c r="U35" s="243">
        <f t="shared" si="3"/>
        <v>0</v>
      </c>
      <c r="V35" s="243">
        <f t="shared" si="3"/>
        <v>0</v>
      </c>
      <c r="W35" s="244">
        <f t="shared" si="3"/>
        <v>0</v>
      </c>
      <c r="X35" s="245">
        <f t="shared" si="2"/>
        <v>0</v>
      </c>
    </row>
    <row r="36" spans="2:24">
      <c r="B36" s="27"/>
      <c r="C36" s="11"/>
      <c r="D36" s="278" t="s">
        <v>306</v>
      </c>
      <c r="E36" s="280" t="s">
        <v>319</v>
      </c>
      <c r="F36" s="278" t="s">
        <v>320</v>
      </c>
      <c r="G36" s="242">
        <v>0</v>
      </c>
      <c r="H36" s="243">
        <v>0</v>
      </c>
      <c r="I36" s="243">
        <v>0</v>
      </c>
      <c r="J36" s="243">
        <v>0</v>
      </c>
      <c r="K36" s="244">
        <v>0</v>
      </c>
      <c r="L36" s="245">
        <v>0</v>
      </c>
      <c r="M36" s="246">
        <v>0</v>
      </c>
      <c r="N36" s="247">
        <v>0</v>
      </c>
      <c r="O36" s="247">
        <v>0</v>
      </c>
      <c r="P36" s="247">
        <v>0</v>
      </c>
      <c r="Q36" s="248">
        <v>0</v>
      </c>
      <c r="R36" s="275">
        <f t="shared" si="0"/>
        <v>0</v>
      </c>
      <c r="S36" s="250">
        <f t="shared" si="3"/>
        <v>0</v>
      </c>
      <c r="T36" s="243">
        <f t="shared" si="3"/>
        <v>0</v>
      </c>
      <c r="U36" s="243">
        <f t="shared" si="3"/>
        <v>0</v>
      </c>
      <c r="V36" s="243">
        <f t="shared" si="3"/>
        <v>0</v>
      </c>
      <c r="W36" s="244">
        <f t="shared" si="3"/>
        <v>0</v>
      </c>
      <c r="X36" s="245">
        <f t="shared" si="2"/>
        <v>0</v>
      </c>
    </row>
    <row r="37" spans="2:24">
      <c r="B37" s="27"/>
      <c r="C37" s="11"/>
      <c r="D37" s="278" t="s">
        <v>306</v>
      </c>
      <c r="E37" s="280" t="s">
        <v>319</v>
      </c>
      <c r="F37" s="278" t="s">
        <v>310</v>
      </c>
      <c r="G37" s="242">
        <v>0</v>
      </c>
      <c r="H37" s="243">
        <v>0</v>
      </c>
      <c r="I37" s="243">
        <v>0</v>
      </c>
      <c r="J37" s="243">
        <v>0</v>
      </c>
      <c r="K37" s="244">
        <v>0</v>
      </c>
      <c r="L37" s="245">
        <v>0</v>
      </c>
      <c r="M37" s="246">
        <v>0</v>
      </c>
      <c r="N37" s="247">
        <v>0</v>
      </c>
      <c r="O37" s="247">
        <v>0</v>
      </c>
      <c r="P37" s="247">
        <v>0</v>
      </c>
      <c r="Q37" s="248">
        <v>0</v>
      </c>
      <c r="R37" s="275">
        <f t="shared" si="0"/>
        <v>0</v>
      </c>
      <c r="S37" s="250">
        <f t="shared" si="3"/>
        <v>0</v>
      </c>
      <c r="T37" s="243">
        <f t="shared" si="3"/>
        <v>0</v>
      </c>
      <c r="U37" s="243">
        <f t="shared" si="3"/>
        <v>0</v>
      </c>
      <c r="V37" s="243">
        <f t="shared" si="3"/>
        <v>0</v>
      </c>
      <c r="W37" s="244">
        <f t="shared" si="3"/>
        <v>0</v>
      </c>
      <c r="X37" s="245">
        <f t="shared" si="2"/>
        <v>0</v>
      </c>
    </row>
    <row r="38" spans="2:24">
      <c r="B38" s="27"/>
      <c r="C38" s="11"/>
      <c r="D38" s="278" t="s">
        <v>306</v>
      </c>
      <c r="E38" s="280" t="s">
        <v>319</v>
      </c>
      <c r="F38" s="278" t="s">
        <v>321</v>
      </c>
      <c r="G38" s="242">
        <v>0</v>
      </c>
      <c r="H38" s="243">
        <v>0</v>
      </c>
      <c r="I38" s="243">
        <v>0</v>
      </c>
      <c r="J38" s="243">
        <v>0</v>
      </c>
      <c r="K38" s="244">
        <v>0</v>
      </c>
      <c r="L38" s="245">
        <v>0</v>
      </c>
      <c r="M38" s="246">
        <v>0</v>
      </c>
      <c r="N38" s="247">
        <v>0</v>
      </c>
      <c r="O38" s="247">
        <v>0</v>
      </c>
      <c r="P38" s="247">
        <v>0</v>
      </c>
      <c r="Q38" s="248">
        <v>0</v>
      </c>
      <c r="R38" s="275">
        <f t="shared" si="0"/>
        <v>0</v>
      </c>
      <c r="S38" s="250">
        <f t="shared" si="3"/>
        <v>0</v>
      </c>
      <c r="T38" s="243">
        <f t="shared" si="3"/>
        <v>0</v>
      </c>
      <c r="U38" s="243">
        <f t="shared" si="3"/>
        <v>0</v>
      </c>
      <c r="V38" s="243">
        <f t="shared" si="3"/>
        <v>0</v>
      </c>
      <c r="W38" s="244">
        <f t="shared" si="3"/>
        <v>0</v>
      </c>
      <c r="X38" s="245">
        <f t="shared" si="2"/>
        <v>0</v>
      </c>
    </row>
    <row r="39" spans="2:24">
      <c r="B39" s="27"/>
      <c r="C39" s="11"/>
      <c r="D39" s="278" t="s">
        <v>322</v>
      </c>
      <c r="E39" s="280" t="s">
        <v>323</v>
      </c>
      <c r="F39" s="278" t="s">
        <v>324</v>
      </c>
      <c r="G39" s="242">
        <v>0</v>
      </c>
      <c r="H39" s="243">
        <v>0</v>
      </c>
      <c r="I39" s="243">
        <v>0</v>
      </c>
      <c r="J39" s="243">
        <v>0</v>
      </c>
      <c r="K39" s="244">
        <v>0</v>
      </c>
      <c r="L39" s="245">
        <v>0</v>
      </c>
      <c r="M39" s="246">
        <v>0</v>
      </c>
      <c r="N39" s="247">
        <v>0</v>
      </c>
      <c r="O39" s="247">
        <v>0</v>
      </c>
      <c r="P39" s="247">
        <v>0</v>
      </c>
      <c r="Q39" s="248">
        <v>0</v>
      </c>
      <c r="R39" s="275">
        <f t="shared" si="0"/>
        <v>0</v>
      </c>
      <c r="S39" s="250">
        <f t="shared" si="3"/>
        <v>0</v>
      </c>
      <c r="T39" s="243">
        <f t="shared" si="3"/>
        <v>0</v>
      </c>
      <c r="U39" s="243">
        <f t="shared" si="3"/>
        <v>0</v>
      </c>
      <c r="V39" s="243">
        <f t="shared" si="3"/>
        <v>0</v>
      </c>
      <c r="W39" s="244">
        <f t="shared" si="3"/>
        <v>0</v>
      </c>
      <c r="X39" s="245">
        <f t="shared" si="2"/>
        <v>0</v>
      </c>
    </row>
    <row r="40" spans="2:24">
      <c r="B40" s="27"/>
      <c r="C40" s="11"/>
      <c r="D40" s="278" t="s">
        <v>306</v>
      </c>
      <c r="E40" s="280" t="s">
        <v>325</v>
      </c>
      <c r="F40" s="280" t="s">
        <v>325</v>
      </c>
      <c r="G40" s="242">
        <v>0</v>
      </c>
      <c r="H40" s="243">
        <v>0</v>
      </c>
      <c r="I40" s="243">
        <v>0</v>
      </c>
      <c r="J40" s="243">
        <v>0</v>
      </c>
      <c r="K40" s="244">
        <v>0</v>
      </c>
      <c r="L40" s="245">
        <v>0</v>
      </c>
      <c r="M40" s="246">
        <v>0</v>
      </c>
      <c r="N40" s="247">
        <v>0</v>
      </c>
      <c r="O40" s="247">
        <v>0</v>
      </c>
      <c r="P40" s="247">
        <v>0</v>
      </c>
      <c r="Q40" s="248">
        <v>0</v>
      </c>
      <c r="R40" s="275">
        <f t="shared" si="0"/>
        <v>0</v>
      </c>
      <c r="S40" s="250">
        <f t="shared" si="3"/>
        <v>0</v>
      </c>
      <c r="T40" s="243">
        <f t="shared" si="3"/>
        <v>0</v>
      </c>
      <c r="U40" s="243">
        <f t="shared" si="3"/>
        <v>0</v>
      </c>
      <c r="V40" s="243">
        <f t="shared" si="3"/>
        <v>0</v>
      </c>
      <c r="W40" s="244">
        <f t="shared" si="3"/>
        <v>0</v>
      </c>
      <c r="X40" s="245">
        <f t="shared" si="2"/>
        <v>0</v>
      </c>
    </row>
    <row r="41" spans="2:24">
      <c r="B41" s="27"/>
      <c r="C41" s="11"/>
      <c r="D41" s="278" t="s">
        <v>306</v>
      </c>
      <c r="E41" s="280" t="s">
        <v>326</v>
      </c>
      <c r="F41" s="278" t="s">
        <v>327</v>
      </c>
      <c r="G41" s="242">
        <v>0</v>
      </c>
      <c r="H41" s="243">
        <v>0</v>
      </c>
      <c r="I41" s="243">
        <v>0</v>
      </c>
      <c r="J41" s="243">
        <v>0</v>
      </c>
      <c r="K41" s="244">
        <v>0</v>
      </c>
      <c r="L41" s="245">
        <v>0</v>
      </c>
      <c r="M41" s="246">
        <v>0</v>
      </c>
      <c r="N41" s="247">
        <v>0</v>
      </c>
      <c r="O41" s="247">
        <v>0</v>
      </c>
      <c r="P41" s="247">
        <v>0</v>
      </c>
      <c r="Q41" s="248">
        <v>0</v>
      </c>
      <c r="R41" s="275">
        <f t="shared" si="0"/>
        <v>0</v>
      </c>
      <c r="S41" s="250">
        <f t="shared" si="3"/>
        <v>0</v>
      </c>
      <c r="T41" s="243">
        <f t="shared" si="3"/>
        <v>0</v>
      </c>
      <c r="U41" s="243">
        <f t="shared" si="3"/>
        <v>0</v>
      </c>
      <c r="V41" s="243">
        <f t="shared" si="3"/>
        <v>0</v>
      </c>
      <c r="W41" s="244">
        <f t="shared" si="3"/>
        <v>0</v>
      </c>
      <c r="X41" s="245">
        <f t="shared" si="2"/>
        <v>0</v>
      </c>
    </row>
    <row r="42" spans="2:24">
      <c r="B42" s="27"/>
      <c r="C42" s="11"/>
      <c r="D42" s="278" t="s">
        <v>306</v>
      </c>
      <c r="E42" s="280" t="s">
        <v>328</v>
      </c>
      <c r="F42" s="280" t="s">
        <v>328</v>
      </c>
      <c r="G42" s="242">
        <v>0</v>
      </c>
      <c r="H42" s="243">
        <v>0</v>
      </c>
      <c r="I42" s="243">
        <v>0</v>
      </c>
      <c r="J42" s="243">
        <v>0</v>
      </c>
      <c r="K42" s="244">
        <v>0</v>
      </c>
      <c r="L42" s="245">
        <v>0</v>
      </c>
      <c r="M42" s="246">
        <v>0</v>
      </c>
      <c r="N42" s="247">
        <v>0</v>
      </c>
      <c r="O42" s="247">
        <v>0</v>
      </c>
      <c r="P42" s="247">
        <v>0</v>
      </c>
      <c r="Q42" s="248">
        <v>0</v>
      </c>
      <c r="R42" s="275">
        <f t="shared" si="0"/>
        <v>0</v>
      </c>
      <c r="S42" s="250">
        <f t="shared" si="3"/>
        <v>0</v>
      </c>
      <c r="T42" s="243">
        <f t="shared" si="3"/>
        <v>0</v>
      </c>
      <c r="U42" s="243">
        <f t="shared" si="3"/>
        <v>0</v>
      </c>
      <c r="V42" s="243">
        <f t="shared" si="3"/>
        <v>0</v>
      </c>
      <c r="W42" s="244">
        <f t="shared" si="3"/>
        <v>0</v>
      </c>
      <c r="X42" s="245">
        <f t="shared" si="2"/>
        <v>0</v>
      </c>
    </row>
    <row r="43" spans="2:24">
      <c r="B43" s="27"/>
      <c r="C43" s="11"/>
      <c r="D43" s="278" t="s">
        <v>306</v>
      </c>
      <c r="E43" s="280" t="s">
        <v>329</v>
      </c>
      <c r="F43" s="280" t="s">
        <v>329</v>
      </c>
      <c r="G43" s="242">
        <v>0</v>
      </c>
      <c r="H43" s="243">
        <v>0</v>
      </c>
      <c r="I43" s="243">
        <v>0</v>
      </c>
      <c r="J43" s="243">
        <v>0</v>
      </c>
      <c r="K43" s="244">
        <v>0</v>
      </c>
      <c r="L43" s="245">
        <v>0</v>
      </c>
      <c r="M43" s="246">
        <v>0</v>
      </c>
      <c r="N43" s="247">
        <v>0</v>
      </c>
      <c r="O43" s="247">
        <v>0</v>
      </c>
      <c r="P43" s="247">
        <v>0</v>
      </c>
      <c r="Q43" s="248">
        <v>0</v>
      </c>
      <c r="R43" s="275">
        <f t="shared" si="0"/>
        <v>0</v>
      </c>
      <c r="S43" s="250">
        <f t="shared" si="3"/>
        <v>0</v>
      </c>
      <c r="T43" s="243">
        <f t="shared" si="3"/>
        <v>0</v>
      </c>
      <c r="U43" s="243">
        <f t="shared" si="3"/>
        <v>0</v>
      </c>
      <c r="V43" s="243">
        <f t="shared" si="3"/>
        <v>0</v>
      </c>
      <c r="W43" s="244">
        <f t="shared" si="3"/>
        <v>0</v>
      </c>
      <c r="X43" s="245">
        <f t="shared" si="2"/>
        <v>0</v>
      </c>
    </row>
    <row r="44" spans="2:24">
      <c r="B44" s="27"/>
      <c r="C44" s="11"/>
      <c r="D44" s="278" t="s">
        <v>306</v>
      </c>
      <c r="E44" s="280" t="s">
        <v>330</v>
      </c>
      <c r="F44" s="280" t="s">
        <v>330</v>
      </c>
      <c r="G44" s="242">
        <v>0</v>
      </c>
      <c r="H44" s="243">
        <v>0</v>
      </c>
      <c r="I44" s="243">
        <v>0</v>
      </c>
      <c r="J44" s="243">
        <v>0</v>
      </c>
      <c r="K44" s="244">
        <v>0</v>
      </c>
      <c r="L44" s="245">
        <v>0</v>
      </c>
      <c r="M44" s="246">
        <v>0</v>
      </c>
      <c r="N44" s="247">
        <v>0</v>
      </c>
      <c r="O44" s="247">
        <v>0</v>
      </c>
      <c r="P44" s="247">
        <v>0</v>
      </c>
      <c r="Q44" s="248">
        <v>0</v>
      </c>
      <c r="R44" s="275">
        <f t="shared" si="0"/>
        <v>0</v>
      </c>
      <c r="S44" s="250">
        <f t="shared" si="3"/>
        <v>0</v>
      </c>
      <c r="T44" s="243">
        <f t="shared" si="3"/>
        <v>0</v>
      </c>
      <c r="U44" s="243">
        <f t="shared" si="3"/>
        <v>0</v>
      </c>
      <c r="V44" s="243">
        <f t="shared" si="3"/>
        <v>0</v>
      </c>
      <c r="W44" s="244">
        <f t="shared" si="3"/>
        <v>0</v>
      </c>
      <c r="X44" s="245">
        <f t="shared" si="2"/>
        <v>0</v>
      </c>
    </row>
    <row r="45" spans="2:24">
      <c r="B45" s="27"/>
      <c r="C45" s="11"/>
      <c r="D45" s="278" t="s">
        <v>306</v>
      </c>
      <c r="E45" s="280" t="s">
        <v>331</v>
      </c>
      <c r="F45" s="278" t="s">
        <v>332</v>
      </c>
      <c r="G45" s="242">
        <v>0</v>
      </c>
      <c r="H45" s="243">
        <v>0</v>
      </c>
      <c r="I45" s="243">
        <v>0</v>
      </c>
      <c r="J45" s="243">
        <v>0</v>
      </c>
      <c r="K45" s="244">
        <v>0</v>
      </c>
      <c r="L45" s="245">
        <v>0</v>
      </c>
      <c r="M45" s="246">
        <v>0</v>
      </c>
      <c r="N45" s="247">
        <v>0</v>
      </c>
      <c r="O45" s="247">
        <v>0</v>
      </c>
      <c r="P45" s="247">
        <v>0</v>
      </c>
      <c r="Q45" s="248">
        <v>0</v>
      </c>
      <c r="R45" s="275">
        <f t="shared" si="0"/>
        <v>0</v>
      </c>
      <c r="S45" s="250">
        <f t="shared" si="3"/>
        <v>0</v>
      </c>
      <c r="T45" s="243">
        <f t="shared" si="3"/>
        <v>0</v>
      </c>
      <c r="U45" s="243">
        <f t="shared" si="3"/>
        <v>0</v>
      </c>
      <c r="V45" s="243">
        <f t="shared" si="3"/>
        <v>0</v>
      </c>
      <c r="W45" s="244">
        <f t="shared" si="3"/>
        <v>0</v>
      </c>
      <c r="X45" s="245">
        <f t="shared" si="2"/>
        <v>0</v>
      </c>
    </row>
    <row r="46" spans="2:24">
      <c r="B46" s="27"/>
      <c r="C46" s="11"/>
      <c r="D46" s="273" t="s">
        <v>306</v>
      </c>
      <c r="E46" s="274" t="s">
        <v>333</v>
      </c>
      <c r="F46" s="274" t="s">
        <v>333</v>
      </c>
      <c r="G46" s="242">
        <v>0</v>
      </c>
      <c r="H46" s="243">
        <v>0</v>
      </c>
      <c r="I46" s="243">
        <v>0</v>
      </c>
      <c r="J46" s="243">
        <v>0</v>
      </c>
      <c r="K46" s="244">
        <v>0</v>
      </c>
      <c r="L46" s="245">
        <v>0</v>
      </c>
      <c r="M46" s="246">
        <v>0</v>
      </c>
      <c r="N46" s="247">
        <v>0</v>
      </c>
      <c r="O46" s="247">
        <v>0</v>
      </c>
      <c r="P46" s="247">
        <v>0</v>
      </c>
      <c r="Q46" s="248">
        <v>0</v>
      </c>
      <c r="R46" s="275">
        <f t="shared" si="0"/>
        <v>0</v>
      </c>
      <c r="S46" s="250">
        <f t="shared" si="3"/>
        <v>0</v>
      </c>
      <c r="T46" s="243">
        <f t="shared" si="3"/>
        <v>0</v>
      </c>
      <c r="U46" s="243">
        <f t="shared" si="3"/>
        <v>0</v>
      </c>
      <c r="V46" s="243">
        <f t="shared" si="3"/>
        <v>0</v>
      </c>
      <c r="W46" s="244">
        <f t="shared" si="3"/>
        <v>0</v>
      </c>
      <c r="X46" s="245">
        <f t="shared" si="2"/>
        <v>0</v>
      </c>
    </row>
    <row r="47" spans="2:24">
      <c r="B47" s="27"/>
      <c r="C47" s="11"/>
      <c r="D47" s="273" t="s">
        <v>334</v>
      </c>
      <c r="E47" s="274" t="s">
        <v>335</v>
      </c>
      <c r="F47" s="273" t="s">
        <v>336</v>
      </c>
      <c r="G47" s="242">
        <v>0</v>
      </c>
      <c r="H47" s="243">
        <v>0</v>
      </c>
      <c r="I47" s="243">
        <v>0</v>
      </c>
      <c r="J47" s="243">
        <v>0</v>
      </c>
      <c r="K47" s="244">
        <v>0</v>
      </c>
      <c r="L47" s="245">
        <v>0</v>
      </c>
      <c r="M47" s="246">
        <v>0</v>
      </c>
      <c r="N47" s="247">
        <v>0</v>
      </c>
      <c r="O47" s="247">
        <v>0</v>
      </c>
      <c r="P47" s="247">
        <v>0</v>
      </c>
      <c r="Q47" s="248">
        <v>0</v>
      </c>
      <c r="R47" s="275">
        <f t="shared" si="0"/>
        <v>0</v>
      </c>
      <c r="S47" s="250">
        <f t="shared" si="3"/>
        <v>0</v>
      </c>
      <c r="T47" s="243">
        <f t="shared" si="3"/>
        <v>0</v>
      </c>
      <c r="U47" s="243">
        <f t="shared" si="3"/>
        <v>0</v>
      </c>
      <c r="V47" s="243">
        <f t="shared" si="3"/>
        <v>0</v>
      </c>
      <c r="W47" s="244">
        <f t="shared" si="3"/>
        <v>0</v>
      </c>
      <c r="X47" s="245">
        <f t="shared" si="2"/>
        <v>0</v>
      </c>
    </row>
    <row r="48" spans="2:24">
      <c r="B48" s="27"/>
      <c r="C48" s="11"/>
      <c r="D48" s="273" t="s">
        <v>334</v>
      </c>
      <c r="E48" s="274" t="s">
        <v>337</v>
      </c>
      <c r="F48" s="274" t="s">
        <v>337</v>
      </c>
      <c r="G48" s="242">
        <v>0</v>
      </c>
      <c r="H48" s="243">
        <v>0</v>
      </c>
      <c r="I48" s="243">
        <v>0</v>
      </c>
      <c r="J48" s="243">
        <v>0</v>
      </c>
      <c r="K48" s="244">
        <v>0</v>
      </c>
      <c r="L48" s="245">
        <v>0</v>
      </c>
      <c r="M48" s="246">
        <v>0</v>
      </c>
      <c r="N48" s="247">
        <v>0</v>
      </c>
      <c r="O48" s="247">
        <v>0</v>
      </c>
      <c r="P48" s="247">
        <v>0</v>
      </c>
      <c r="Q48" s="248">
        <v>0</v>
      </c>
      <c r="R48" s="275">
        <f t="shared" si="0"/>
        <v>0</v>
      </c>
      <c r="S48" s="250">
        <f t="shared" si="3"/>
        <v>0</v>
      </c>
      <c r="T48" s="243">
        <f t="shared" si="3"/>
        <v>0</v>
      </c>
      <c r="U48" s="243">
        <f t="shared" si="3"/>
        <v>0</v>
      </c>
      <c r="V48" s="243">
        <f t="shared" si="3"/>
        <v>0</v>
      </c>
      <c r="W48" s="244">
        <f t="shared" si="3"/>
        <v>0</v>
      </c>
      <c r="X48" s="245">
        <f t="shared" si="2"/>
        <v>0</v>
      </c>
    </row>
    <row r="49" spans="2:24">
      <c r="B49" s="27"/>
      <c r="C49" s="11"/>
      <c r="D49" s="273" t="s">
        <v>334</v>
      </c>
      <c r="E49" s="274" t="s">
        <v>338</v>
      </c>
      <c r="F49" s="274" t="s">
        <v>338</v>
      </c>
      <c r="G49" s="242">
        <v>0</v>
      </c>
      <c r="H49" s="243">
        <v>0</v>
      </c>
      <c r="I49" s="243">
        <v>0</v>
      </c>
      <c r="J49" s="243">
        <v>0</v>
      </c>
      <c r="K49" s="244">
        <v>0</v>
      </c>
      <c r="L49" s="245">
        <v>0</v>
      </c>
      <c r="M49" s="246">
        <v>0</v>
      </c>
      <c r="N49" s="247">
        <v>0</v>
      </c>
      <c r="O49" s="247">
        <v>0</v>
      </c>
      <c r="P49" s="247">
        <v>0</v>
      </c>
      <c r="Q49" s="248">
        <v>0</v>
      </c>
      <c r="R49" s="275">
        <f t="shared" si="0"/>
        <v>0</v>
      </c>
      <c r="S49" s="250">
        <f t="shared" si="3"/>
        <v>0</v>
      </c>
      <c r="T49" s="243">
        <f t="shared" si="3"/>
        <v>0</v>
      </c>
      <c r="U49" s="243">
        <f t="shared" si="3"/>
        <v>0</v>
      </c>
      <c r="V49" s="243">
        <f t="shared" si="3"/>
        <v>0</v>
      </c>
      <c r="W49" s="244">
        <f t="shared" si="3"/>
        <v>0</v>
      </c>
      <c r="X49" s="245">
        <f t="shared" si="2"/>
        <v>0</v>
      </c>
    </row>
    <row r="50" spans="2:24">
      <c r="B50" s="27"/>
      <c r="C50" s="11"/>
      <c r="D50" s="273" t="s">
        <v>339</v>
      </c>
      <c r="E50" s="274" t="s">
        <v>340</v>
      </c>
      <c r="F50" s="273" t="s">
        <v>341</v>
      </c>
      <c r="G50" s="242">
        <v>0</v>
      </c>
      <c r="H50" s="243">
        <v>0</v>
      </c>
      <c r="I50" s="243">
        <v>0</v>
      </c>
      <c r="J50" s="243">
        <v>0</v>
      </c>
      <c r="K50" s="244">
        <v>0</v>
      </c>
      <c r="L50" s="245">
        <v>0</v>
      </c>
      <c r="M50" s="246">
        <v>0</v>
      </c>
      <c r="N50" s="247">
        <v>0</v>
      </c>
      <c r="O50" s="247">
        <v>0</v>
      </c>
      <c r="P50" s="247">
        <v>0</v>
      </c>
      <c r="Q50" s="248">
        <v>0</v>
      </c>
      <c r="R50" s="275">
        <f t="shared" si="0"/>
        <v>0</v>
      </c>
      <c r="S50" s="250">
        <f t="shared" si="3"/>
        <v>0</v>
      </c>
      <c r="T50" s="243">
        <f t="shared" si="3"/>
        <v>0</v>
      </c>
      <c r="U50" s="243">
        <f t="shared" si="3"/>
        <v>0</v>
      </c>
      <c r="V50" s="243">
        <f t="shared" si="3"/>
        <v>0</v>
      </c>
      <c r="W50" s="244">
        <f t="shared" si="3"/>
        <v>0</v>
      </c>
      <c r="X50" s="245">
        <f t="shared" si="2"/>
        <v>0</v>
      </c>
    </row>
    <row r="51" spans="2:24">
      <c r="B51" s="27"/>
      <c r="C51" s="11"/>
      <c r="D51" s="273" t="s">
        <v>339</v>
      </c>
      <c r="E51" s="274" t="s">
        <v>342</v>
      </c>
      <c r="F51" s="274" t="s">
        <v>342</v>
      </c>
      <c r="G51" s="242">
        <v>0</v>
      </c>
      <c r="H51" s="243">
        <v>0</v>
      </c>
      <c r="I51" s="243">
        <v>0</v>
      </c>
      <c r="J51" s="243">
        <v>0</v>
      </c>
      <c r="K51" s="244">
        <v>0</v>
      </c>
      <c r="L51" s="245">
        <v>0</v>
      </c>
      <c r="M51" s="246">
        <v>0</v>
      </c>
      <c r="N51" s="247">
        <v>0</v>
      </c>
      <c r="O51" s="247">
        <v>0</v>
      </c>
      <c r="P51" s="247">
        <v>0</v>
      </c>
      <c r="Q51" s="248">
        <v>0</v>
      </c>
      <c r="R51" s="275">
        <f t="shared" si="0"/>
        <v>0</v>
      </c>
      <c r="S51" s="250">
        <f t="shared" si="3"/>
        <v>0</v>
      </c>
      <c r="T51" s="243">
        <f t="shared" si="3"/>
        <v>0</v>
      </c>
      <c r="U51" s="243">
        <f t="shared" si="3"/>
        <v>0</v>
      </c>
      <c r="V51" s="243">
        <f t="shared" si="3"/>
        <v>0</v>
      </c>
      <c r="W51" s="244">
        <f t="shared" si="3"/>
        <v>0</v>
      </c>
      <c r="X51" s="245">
        <f t="shared" si="2"/>
        <v>0</v>
      </c>
    </row>
    <row r="52" spans="2:24">
      <c r="B52" s="27"/>
      <c r="C52" s="11"/>
      <c r="D52" s="273" t="s">
        <v>339</v>
      </c>
      <c r="E52" s="274" t="s">
        <v>343</v>
      </c>
      <c r="F52" s="274" t="s">
        <v>343</v>
      </c>
      <c r="G52" s="242">
        <v>0</v>
      </c>
      <c r="H52" s="243">
        <v>0</v>
      </c>
      <c r="I52" s="243">
        <v>0</v>
      </c>
      <c r="J52" s="243">
        <v>0</v>
      </c>
      <c r="K52" s="244">
        <v>0</v>
      </c>
      <c r="L52" s="245">
        <v>0</v>
      </c>
      <c r="M52" s="246">
        <v>0</v>
      </c>
      <c r="N52" s="247">
        <v>0</v>
      </c>
      <c r="O52" s="247">
        <v>0</v>
      </c>
      <c r="P52" s="247">
        <v>0</v>
      </c>
      <c r="Q52" s="248">
        <v>0</v>
      </c>
      <c r="R52" s="275">
        <f t="shared" si="0"/>
        <v>0</v>
      </c>
      <c r="S52" s="250">
        <f t="shared" si="3"/>
        <v>0</v>
      </c>
      <c r="T52" s="243">
        <f t="shared" si="3"/>
        <v>0</v>
      </c>
      <c r="U52" s="243">
        <f t="shared" si="3"/>
        <v>0</v>
      </c>
      <c r="V52" s="243">
        <f t="shared" si="3"/>
        <v>0</v>
      </c>
      <c r="W52" s="244">
        <f t="shared" si="3"/>
        <v>0</v>
      </c>
      <c r="X52" s="245">
        <f t="shared" si="2"/>
        <v>0</v>
      </c>
    </row>
    <row r="53" spans="2:24">
      <c r="B53" s="27"/>
      <c r="C53" s="11"/>
      <c r="D53" s="273" t="s">
        <v>344</v>
      </c>
      <c r="E53" s="274" t="s">
        <v>345</v>
      </c>
      <c r="F53" s="274" t="s">
        <v>345</v>
      </c>
      <c r="G53" s="242">
        <v>0</v>
      </c>
      <c r="H53" s="243">
        <v>0</v>
      </c>
      <c r="I53" s="243">
        <v>0</v>
      </c>
      <c r="J53" s="243">
        <v>0</v>
      </c>
      <c r="K53" s="244">
        <v>0</v>
      </c>
      <c r="L53" s="245">
        <v>0</v>
      </c>
      <c r="M53" s="246">
        <v>0</v>
      </c>
      <c r="N53" s="247">
        <v>0</v>
      </c>
      <c r="O53" s="247">
        <v>0</v>
      </c>
      <c r="P53" s="247">
        <v>0</v>
      </c>
      <c r="Q53" s="248">
        <v>0</v>
      </c>
      <c r="R53" s="275">
        <f t="shared" si="0"/>
        <v>0</v>
      </c>
      <c r="S53" s="250">
        <f t="shared" si="3"/>
        <v>0</v>
      </c>
      <c r="T53" s="243">
        <f t="shared" si="3"/>
        <v>0</v>
      </c>
      <c r="U53" s="243">
        <f t="shared" si="3"/>
        <v>0</v>
      </c>
      <c r="V53" s="243">
        <f t="shared" si="3"/>
        <v>0</v>
      </c>
      <c r="W53" s="244">
        <f t="shared" si="3"/>
        <v>0</v>
      </c>
      <c r="X53" s="245">
        <f t="shared" si="2"/>
        <v>0</v>
      </c>
    </row>
    <row r="54" spans="2:24">
      <c r="B54" s="27"/>
      <c r="C54" s="11"/>
      <c r="D54" s="273" t="s">
        <v>339</v>
      </c>
      <c r="E54" s="274" t="s">
        <v>346</v>
      </c>
      <c r="F54" s="274" t="s">
        <v>346</v>
      </c>
      <c r="G54" s="242"/>
      <c r="H54" s="243"/>
      <c r="I54" s="243"/>
      <c r="J54" s="243"/>
      <c r="K54" s="244"/>
      <c r="L54" s="245"/>
      <c r="M54" s="246">
        <v>0</v>
      </c>
      <c r="N54" s="247">
        <v>0</v>
      </c>
      <c r="O54" s="247">
        <v>0</v>
      </c>
      <c r="P54" s="247">
        <v>0</v>
      </c>
      <c r="Q54" s="248">
        <v>0</v>
      </c>
      <c r="R54" s="275">
        <f t="shared" si="0"/>
        <v>0</v>
      </c>
      <c r="S54" s="250">
        <f t="shared" si="3"/>
        <v>0</v>
      </c>
      <c r="T54" s="243">
        <f t="shared" si="3"/>
        <v>0</v>
      </c>
      <c r="U54" s="243">
        <f t="shared" si="3"/>
        <v>0</v>
      </c>
      <c r="V54" s="243">
        <f t="shared" si="3"/>
        <v>0</v>
      </c>
      <c r="W54" s="244">
        <f t="shared" si="3"/>
        <v>0</v>
      </c>
      <c r="X54" s="245">
        <f t="shared" si="2"/>
        <v>0</v>
      </c>
    </row>
    <row r="55" spans="2:24">
      <c r="B55" s="27"/>
      <c r="C55" s="11"/>
      <c r="D55" s="126" t="s">
        <v>339</v>
      </c>
      <c r="E55" s="127" t="s">
        <v>328</v>
      </c>
      <c r="F55" s="127" t="s">
        <v>328</v>
      </c>
      <c r="G55" s="144"/>
      <c r="H55" s="145"/>
      <c r="I55" s="145"/>
      <c r="J55" s="145"/>
      <c r="K55" s="146"/>
      <c r="L55" s="147"/>
      <c r="M55" s="132">
        <v>0</v>
      </c>
      <c r="N55" s="133">
        <v>0</v>
      </c>
      <c r="O55" s="133">
        <v>0</v>
      </c>
      <c r="P55" s="133">
        <v>0</v>
      </c>
      <c r="Q55" s="134">
        <v>0</v>
      </c>
      <c r="R55" s="138">
        <f t="shared" ref="R55:R69" si="4">SUM(M55:Q55)</f>
        <v>0</v>
      </c>
      <c r="S55" s="148">
        <f t="shared" ref="S55:S73" si="5">G55+M55</f>
        <v>0</v>
      </c>
      <c r="T55" s="145">
        <f t="shared" ref="T55:T66" si="6">H55+N55</f>
        <v>0</v>
      </c>
      <c r="U55" s="145">
        <f t="shared" ref="U55:U66" si="7">I55+O55</f>
        <v>0</v>
      </c>
      <c r="V55" s="145">
        <f t="shared" ref="V55:V66" si="8">J55+P55</f>
        <v>0</v>
      </c>
      <c r="W55" s="146">
        <f t="shared" ref="W55:W66" si="9">K55+Q55</f>
        <v>0</v>
      </c>
      <c r="X55" s="147">
        <f t="shared" ref="X55:X69" si="10">SUM(S55:W55)</f>
        <v>0</v>
      </c>
    </row>
    <row r="56" spans="2:24">
      <c r="B56" s="27"/>
      <c r="C56" s="11"/>
      <c r="D56" s="126" t="s">
        <v>339</v>
      </c>
      <c r="E56" s="127" t="s">
        <v>347</v>
      </c>
      <c r="F56" s="126" t="s">
        <v>348</v>
      </c>
      <c r="G56" s="144">
        <v>0</v>
      </c>
      <c r="H56" s="145">
        <v>0</v>
      </c>
      <c r="I56" s="145">
        <v>0</v>
      </c>
      <c r="J56" s="145">
        <v>0</v>
      </c>
      <c r="K56" s="146">
        <v>0</v>
      </c>
      <c r="L56" s="147">
        <v>0</v>
      </c>
      <c r="M56" s="132">
        <v>0</v>
      </c>
      <c r="N56" s="133">
        <v>0</v>
      </c>
      <c r="O56" s="133">
        <v>0</v>
      </c>
      <c r="P56" s="133">
        <v>0</v>
      </c>
      <c r="Q56" s="134">
        <v>0</v>
      </c>
      <c r="R56" s="138">
        <f t="shared" si="4"/>
        <v>0</v>
      </c>
      <c r="S56" s="148">
        <f t="shared" si="5"/>
        <v>0</v>
      </c>
      <c r="T56" s="145">
        <f t="shared" si="6"/>
        <v>0</v>
      </c>
      <c r="U56" s="145">
        <f t="shared" si="7"/>
        <v>0</v>
      </c>
      <c r="V56" s="145">
        <f t="shared" si="8"/>
        <v>0</v>
      </c>
      <c r="W56" s="146">
        <f t="shared" si="9"/>
        <v>0</v>
      </c>
      <c r="X56" s="147">
        <f t="shared" si="10"/>
        <v>0</v>
      </c>
    </row>
    <row r="57" spans="2:24">
      <c r="B57" s="27"/>
      <c r="C57" s="11"/>
      <c r="D57" s="126" t="s">
        <v>43</v>
      </c>
      <c r="E57" s="127"/>
      <c r="F57" s="126"/>
      <c r="G57" s="144">
        <v>0</v>
      </c>
      <c r="H57" s="145">
        <v>0</v>
      </c>
      <c r="I57" s="145">
        <v>0</v>
      </c>
      <c r="J57" s="145">
        <v>0</v>
      </c>
      <c r="K57" s="146">
        <v>0</v>
      </c>
      <c r="L57" s="147">
        <v>0</v>
      </c>
      <c r="M57" s="132">
        <v>0</v>
      </c>
      <c r="N57" s="133">
        <v>0</v>
      </c>
      <c r="O57" s="133">
        <v>0</v>
      </c>
      <c r="P57" s="133">
        <v>0</v>
      </c>
      <c r="Q57" s="134">
        <v>0</v>
      </c>
      <c r="R57" s="138">
        <f t="shared" si="4"/>
        <v>0</v>
      </c>
      <c r="S57" s="148">
        <f t="shared" si="5"/>
        <v>0</v>
      </c>
      <c r="T57" s="145">
        <f t="shared" si="6"/>
        <v>0</v>
      </c>
      <c r="U57" s="145">
        <f t="shared" si="7"/>
        <v>0</v>
      </c>
      <c r="V57" s="145">
        <f t="shared" si="8"/>
        <v>0</v>
      </c>
      <c r="W57" s="146">
        <f t="shared" si="9"/>
        <v>0</v>
      </c>
      <c r="X57" s="147">
        <f t="shared" si="10"/>
        <v>0</v>
      </c>
    </row>
    <row r="58" spans="2:24">
      <c r="B58" s="27"/>
      <c r="C58" s="11"/>
      <c r="D58" s="126" t="s">
        <v>44</v>
      </c>
      <c r="E58" s="127"/>
      <c r="F58" s="126"/>
      <c r="G58" s="144">
        <v>0</v>
      </c>
      <c r="H58" s="145">
        <v>0</v>
      </c>
      <c r="I58" s="145">
        <v>0</v>
      </c>
      <c r="J58" s="145">
        <v>0</v>
      </c>
      <c r="K58" s="146">
        <v>0</v>
      </c>
      <c r="L58" s="147">
        <v>0</v>
      </c>
      <c r="M58" s="132">
        <v>0</v>
      </c>
      <c r="N58" s="133">
        <v>0</v>
      </c>
      <c r="O58" s="133">
        <v>0</v>
      </c>
      <c r="P58" s="133">
        <v>0</v>
      </c>
      <c r="Q58" s="134">
        <v>0</v>
      </c>
      <c r="R58" s="138">
        <f t="shared" si="4"/>
        <v>0</v>
      </c>
      <c r="S58" s="148">
        <f t="shared" si="5"/>
        <v>0</v>
      </c>
      <c r="T58" s="145">
        <f t="shared" si="6"/>
        <v>0</v>
      </c>
      <c r="U58" s="145">
        <f t="shared" si="7"/>
        <v>0</v>
      </c>
      <c r="V58" s="145">
        <f t="shared" si="8"/>
        <v>0</v>
      </c>
      <c r="W58" s="146">
        <f t="shared" si="9"/>
        <v>0</v>
      </c>
      <c r="X58" s="147">
        <f t="shared" si="10"/>
        <v>0</v>
      </c>
    </row>
    <row r="59" spans="2:24">
      <c r="B59" s="27"/>
      <c r="C59" s="11"/>
      <c r="D59" s="126" t="s">
        <v>45</v>
      </c>
      <c r="E59" s="127"/>
      <c r="F59" s="126"/>
      <c r="G59" s="144">
        <v>0</v>
      </c>
      <c r="H59" s="145">
        <v>0</v>
      </c>
      <c r="I59" s="145">
        <v>0</v>
      </c>
      <c r="J59" s="145">
        <v>0</v>
      </c>
      <c r="K59" s="146">
        <v>0</v>
      </c>
      <c r="L59" s="147">
        <v>0</v>
      </c>
      <c r="M59" s="132">
        <v>0</v>
      </c>
      <c r="N59" s="133">
        <v>0</v>
      </c>
      <c r="O59" s="133">
        <v>0</v>
      </c>
      <c r="P59" s="133">
        <v>0</v>
      </c>
      <c r="Q59" s="134">
        <v>0</v>
      </c>
      <c r="R59" s="138">
        <f t="shared" si="4"/>
        <v>0</v>
      </c>
      <c r="S59" s="148">
        <f t="shared" si="5"/>
        <v>0</v>
      </c>
      <c r="T59" s="145">
        <f t="shared" si="6"/>
        <v>0</v>
      </c>
      <c r="U59" s="145">
        <f t="shared" si="7"/>
        <v>0</v>
      </c>
      <c r="V59" s="145">
        <f t="shared" si="8"/>
        <v>0</v>
      </c>
      <c r="W59" s="146">
        <f t="shared" si="9"/>
        <v>0</v>
      </c>
      <c r="X59" s="147">
        <f t="shared" si="10"/>
        <v>0</v>
      </c>
    </row>
    <row r="60" spans="2:24">
      <c r="B60" s="27"/>
      <c r="C60" s="11"/>
      <c r="D60" s="126" t="s">
        <v>46</v>
      </c>
      <c r="E60" s="127"/>
      <c r="F60" s="126"/>
      <c r="G60" s="144">
        <v>0</v>
      </c>
      <c r="H60" s="145">
        <v>0</v>
      </c>
      <c r="I60" s="145">
        <v>0</v>
      </c>
      <c r="J60" s="145">
        <v>0</v>
      </c>
      <c r="K60" s="146">
        <v>0</v>
      </c>
      <c r="L60" s="147">
        <v>0</v>
      </c>
      <c r="M60" s="132">
        <v>0</v>
      </c>
      <c r="N60" s="133">
        <v>0</v>
      </c>
      <c r="O60" s="133">
        <v>0</v>
      </c>
      <c r="P60" s="133">
        <v>0</v>
      </c>
      <c r="Q60" s="134">
        <v>0</v>
      </c>
      <c r="R60" s="138">
        <f t="shared" si="4"/>
        <v>0</v>
      </c>
      <c r="S60" s="148">
        <f t="shared" si="5"/>
        <v>0</v>
      </c>
      <c r="T60" s="145">
        <f t="shared" si="6"/>
        <v>0</v>
      </c>
      <c r="U60" s="145">
        <f t="shared" si="7"/>
        <v>0</v>
      </c>
      <c r="V60" s="145">
        <f t="shared" si="8"/>
        <v>0</v>
      </c>
      <c r="W60" s="146">
        <f t="shared" si="9"/>
        <v>0</v>
      </c>
      <c r="X60" s="147">
        <f t="shared" si="10"/>
        <v>0</v>
      </c>
    </row>
    <row r="61" spans="2:24">
      <c r="B61" s="27"/>
      <c r="C61" s="11"/>
      <c r="D61" s="126" t="s">
        <v>47</v>
      </c>
      <c r="E61" s="127"/>
      <c r="F61" s="126"/>
      <c r="G61" s="144">
        <v>0</v>
      </c>
      <c r="H61" s="145">
        <v>0</v>
      </c>
      <c r="I61" s="145">
        <v>0</v>
      </c>
      <c r="J61" s="145">
        <v>0</v>
      </c>
      <c r="K61" s="146">
        <v>0</v>
      </c>
      <c r="L61" s="147">
        <v>0</v>
      </c>
      <c r="M61" s="132">
        <v>0</v>
      </c>
      <c r="N61" s="133">
        <v>0</v>
      </c>
      <c r="O61" s="133">
        <v>0</v>
      </c>
      <c r="P61" s="133">
        <v>0</v>
      </c>
      <c r="Q61" s="134">
        <v>0</v>
      </c>
      <c r="R61" s="138">
        <f t="shared" si="4"/>
        <v>0</v>
      </c>
      <c r="S61" s="148">
        <f t="shared" si="5"/>
        <v>0</v>
      </c>
      <c r="T61" s="145">
        <f t="shared" si="6"/>
        <v>0</v>
      </c>
      <c r="U61" s="145">
        <f t="shared" si="7"/>
        <v>0</v>
      </c>
      <c r="V61" s="145">
        <f t="shared" si="8"/>
        <v>0</v>
      </c>
      <c r="W61" s="146">
        <f t="shared" si="9"/>
        <v>0</v>
      </c>
      <c r="X61" s="147">
        <f t="shared" si="10"/>
        <v>0</v>
      </c>
    </row>
    <row r="62" spans="2:24">
      <c r="B62" s="27"/>
      <c r="C62" s="11"/>
      <c r="D62" s="126" t="s">
        <v>48</v>
      </c>
      <c r="E62" s="127"/>
      <c r="F62" s="126"/>
      <c r="G62" s="144">
        <v>0</v>
      </c>
      <c r="H62" s="145">
        <v>0</v>
      </c>
      <c r="I62" s="145">
        <v>0</v>
      </c>
      <c r="J62" s="145">
        <v>0</v>
      </c>
      <c r="K62" s="146">
        <v>0</v>
      </c>
      <c r="L62" s="147">
        <v>0</v>
      </c>
      <c r="M62" s="132">
        <v>0</v>
      </c>
      <c r="N62" s="133">
        <v>0</v>
      </c>
      <c r="O62" s="133">
        <v>0</v>
      </c>
      <c r="P62" s="133">
        <v>0</v>
      </c>
      <c r="Q62" s="134">
        <v>0</v>
      </c>
      <c r="R62" s="138">
        <f t="shared" si="4"/>
        <v>0</v>
      </c>
      <c r="S62" s="148">
        <f t="shared" si="5"/>
        <v>0</v>
      </c>
      <c r="T62" s="145">
        <f t="shared" si="6"/>
        <v>0</v>
      </c>
      <c r="U62" s="145">
        <f t="shared" si="7"/>
        <v>0</v>
      </c>
      <c r="V62" s="145">
        <f t="shared" si="8"/>
        <v>0</v>
      </c>
      <c r="W62" s="146">
        <f t="shared" si="9"/>
        <v>0</v>
      </c>
      <c r="X62" s="147">
        <f t="shared" si="10"/>
        <v>0</v>
      </c>
    </row>
    <row r="63" spans="2:24">
      <c r="B63" s="27"/>
      <c r="C63" s="11"/>
      <c r="D63" s="126" t="s">
        <v>49</v>
      </c>
      <c r="E63" s="127"/>
      <c r="F63" s="126"/>
      <c r="G63" s="144">
        <v>0</v>
      </c>
      <c r="H63" s="145">
        <v>0</v>
      </c>
      <c r="I63" s="145">
        <v>0</v>
      </c>
      <c r="J63" s="145">
        <v>0</v>
      </c>
      <c r="K63" s="146">
        <v>0</v>
      </c>
      <c r="L63" s="147">
        <v>0</v>
      </c>
      <c r="M63" s="132">
        <v>0</v>
      </c>
      <c r="N63" s="133">
        <v>0</v>
      </c>
      <c r="O63" s="133">
        <v>0</v>
      </c>
      <c r="P63" s="133">
        <v>0</v>
      </c>
      <c r="Q63" s="134">
        <v>0</v>
      </c>
      <c r="R63" s="138">
        <f t="shared" si="4"/>
        <v>0</v>
      </c>
      <c r="S63" s="148">
        <f t="shared" si="5"/>
        <v>0</v>
      </c>
      <c r="T63" s="145">
        <f t="shared" si="6"/>
        <v>0</v>
      </c>
      <c r="U63" s="145">
        <f t="shared" si="7"/>
        <v>0</v>
      </c>
      <c r="V63" s="145">
        <f t="shared" si="8"/>
        <v>0</v>
      </c>
      <c r="W63" s="146">
        <f t="shared" si="9"/>
        <v>0</v>
      </c>
      <c r="X63" s="147">
        <f t="shared" si="10"/>
        <v>0</v>
      </c>
    </row>
    <row r="64" spans="2:24">
      <c r="B64" s="27"/>
      <c r="C64" s="11"/>
      <c r="D64" s="126" t="s">
        <v>50</v>
      </c>
      <c r="E64" s="127"/>
      <c r="F64" s="126"/>
      <c r="G64" s="144">
        <v>0</v>
      </c>
      <c r="H64" s="145">
        <v>0</v>
      </c>
      <c r="I64" s="145">
        <v>0</v>
      </c>
      <c r="J64" s="145">
        <v>0</v>
      </c>
      <c r="K64" s="146">
        <v>0</v>
      </c>
      <c r="L64" s="147">
        <v>0</v>
      </c>
      <c r="M64" s="132">
        <v>0</v>
      </c>
      <c r="N64" s="133">
        <v>0</v>
      </c>
      <c r="O64" s="133">
        <v>0</v>
      </c>
      <c r="P64" s="133">
        <v>0</v>
      </c>
      <c r="Q64" s="134">
        <v>0</v>
      </c>
      <c r="R64" s="138">
        <f t="shared" si="4"/>
        <v>0</v>
      </c>
      <c r="S64" s="148">
        <f t="shared" si="5"/>
        <v>0</v>
      </c>
      <c r="T64" s="145">
        <f t="shared" si="6"/>
        <v>0</v>
      </c>
      <c r="U64" s="145">
        <f t="shared" si="7"/>
        <v>0</v>
      </c>
      <c r="V64" s="145">
        <f t="shared" si="8"/>
        <v>0</v>
      </c>
      <c r="W64" s="146">
        <f t="shared" si="9"/>
        <v>0</v>
      </c>
      <c r="X64" s="147">
        <f t="shared" si="10"/>
        <v>0</v>
      </c>
    </row>
    <row r="65" spans="2:24">
      <c r="B65" s="27"/>
      <c r="C65" s="11"/>
      <c r="D65" s="126" t="s">
        <v>51</v>
      </c>
      <c r="E65" s="127"/>
      <c r="F65" s="126"/>
      <c r="G65" s="144">
        <v>0</v>
      </c>
      <c r="H65" s="145">
        <v>0</v>
      </c>
      <c r="I65" s="145">
        <v>0</v>
      </c>
      <c r="J65" s="145">
        <v>0</v>
      </c>
      <c r="K65" s="146">
        <v>0</v>
      </c>
      <c r="L65" s="147">
        <v>0</v>
      </c>
      <c r="M65" s="132">
        <v>0</v>
      </c>
      <c r="N65" s="133">
        <v>0</v>
      </c>
      <c r="O65" s="133">
        <v>0</v>
      </c>
      <c r="P65" s="133">
        <v>0</v>
      </c>
      <c r="Q65" s="134">
        <v>0</v>
      </c>
      <c r="R65" s="138">
        <f t="shared" si="4"/>
        <v>0</v>
      </c>
      <c r="S65" s="148">
        <f t="shared" si="5"/>
        <v>0</v>
      </c>
      <c r="T65" s="145">
        <f t="shared" si="6"/>
        <v>0</v>
      </c>
      <c r="U65" s="145">
        <f t="shared" si="7"/>
        <v>0</v>
      </c>
      <c r="V65" s="145">
        <f t="shared" si="8"/>
        <v>0</v>
      </c>
      <c r="W65" s="146">
        <f t="shared" si="9"/>
        <v>0</v>
      </c>
      <c r="X65" s="147">
        <f t="shared" si="10"/>
        <v>0</v>
      </c>
    </row>
    <row r="66" spans="2:24">
      <c r="B66" s="27"/>
      <c r="C66" s="11"/>
      <c r="D66" s="126" t="s">
        <v>52</v>
      </c>
      <c r="E66" s="127"/>
      <c r="F66" s="126"/>
      <c r="G66" s="144">
        <v>0</v>
      </c>
      <c r="H66" s="145">
        <v>0</v>
      </c>
      <c r="I66" s="145">
        <v>0</v>
      </c>
      <c r="J66" s="145">
        <v>0</v>
      </c>
      <c r="K66" s="146">
        <v>0</v>
      </c>
      <c r="L66" s="147">
        <v>0</v>
      </c>
      <c r="M66" s="132">
        <v>0</v>
      </c>
      <c r="N66" s="133">
        <v>0</v>
      </c>
      <c r="O66" s="133">
        <v>0</v>
      </c>
      <c r="P66" s="133">
        <v>0</v>
      </c>
      <c r="Q66" s="134">
        <v>0</v>
      </c>
      <c r="R66" s="138">
        <f t="shared" si="4"/>
        <v>0</v>
      </c>
      <c r="S66" s="148">
        <f t="shared" si="5"/>
        <v>0</v>
      </c>
      <c r="T66" s="145">
        <f t="shared" si="6"/>
        <v>0</v>
      </c>
      <c r="U66" s="145">
        <f t="shared" si="7"/>
        <v>0</v>
      </c>
      <c r="V66" s="145">
        <f t="shared" si="8"/>
        <v>0</v>
      </c>
      <c r="W66" s="146">
        <f t="shared" si="9"/>
        <v>0</v>
      </c>
      <c r="X66" s="147">
        <f t="shared" si="10"/>
        <v>0</v>
      </c>
    </row>
    <row r="67" spans="2:24">
      <c r="B67" s="27"/>
      <c r="C67" s="11"/>
      <c r="D67" s="126" t="s">
        <v>53</v>
      </c>
      <c r="E67" s="127"/>
      <c r="F67" s="126"/>
      <c r="G67" s="144">
        <v>0</v>
      </c>
      <c r="H67" s="145">
        <v>0</v>
      </c>
      <c r="I67" s="145">
        <v>0</v>
      </c>
      <c r="J67" s="145">
        <v>0</v>
      </c>
      <c r="K67" s="146">
        <v>0</v>
      </c>
      <c r="L67" s="147">
        <v>0</v>
      </c>
      <c r="M67" s="132">
        <v>0</v>
      </c>
      <c r="N67" s="133">
        <v>0</v>
      </c>
      <c r="O67" s="133">
        <v>0</v>
      </c>
      <c r="P67" s="133">
        <v>0</v>
      </c>
      <c r="Q67" s="134">
        <v>0</v>
      </c>
      <c r="R67" s="138">
        <f t="shared" si="4"/>
        <v>0</v>
      </c>
      <c r="S67" s="148">
        <f t="shared" si="5"/>
        <v>0</v>
      </c>
      <c r="T67" s="145">
        <f t="shared" ref="T67:T73" si="11">H67+N67</f>
        <v>0</v>
      </c>
      <c r="U67" s="145">
        <f t="shared" ref="U67:U73" si="12">I67+O67</f>
        <v>0</v>
      </c>
      <c r="V67" s="145">
        <f t="shared" ref="V67:V73" si="13">J67+P67</f>
        <v>0</v>
      </c>
      <c r="W67" s="146">
        <f t="shared" ref="W67:W73" si="14">K67+Q67</f>
        <v>0</v>
      </c>
      <c r="X67" s="147">
        <f t="shared" si="10"/>
        <v>0</v>
      </c>
    </row>
    <row r="68" spans="2:24">
      <c r="B68" s="27"/>
      <c r="C68" s="11"/>
      <c r="D68" s="126" t="s">
        <v>54</v>
      </c>
      <c r="E68" s="127"/>
      <c r="F68" s="126"/>
      <c r="G68" s="144">
        <v>0</v>
      </c>
      <c r="H68" s="145">
        <v>0</v>
      </c>
      <c r="I68" s="145">
        <v>0</v>
      </c>
      <c r="J68" s="145">
        <v>0</v>
      </c>
      <c r="K68" s="146">
        <v>0</v>
      </c>
      <c r="L68" s="147">
        <v>0</v>
      </c>
      <c r="M68" s="132">
        <v>0</v>
      </c>
      <c r="N68" s="133">
        <v>0</v>
      </c>
      <c r="O68" s="133">
        <v>0</v>
      </c>
      <c r="P68" s="133">
        <v>0</v>
      </c>
      <c r="Q68" s="134">
        <v>0</v>
      </c>
      <c r="R68" s="138">
        <f t="shared" si="4"/>
        <v>0</v>
      </c>
      <c r="S68" s="148">
        <f t="shared" si="5"/>
        <v>0</v>
      </c>
      <c r="T68" s="145">
        <f t="shared" si="11"/>
        <v>0</v>
      </c>
      <c r="U68" s="145">
        <f t="shared" si="12"/>
        <v>0</v>
      </c>
      <c r="V68" s="145">
        <f t="shared" si="13"/>
        <v>0</v>
      </c>
      <c r="W68" s="146">
        <f t="shared" si="14"/>
        <v>0</v>
      </c>
      <c r="X68" s="147">
        <f t="shared" si="10"/>
        <v>0</v>
      </c>
    </row>
    <row r="69" spans="2:24">
      <c r="B69" s="27"/>
      <c r="C69" s="11"/>
      <c r="D69" s="126" t="s">
        <v>55</v>
      </c>
      <c r="E69" s="127"/>
      <c r="F69" s="126"/>
      <c r="G69" s="144">
        <v>0</v>
      </c>
      <c r="H69" s="145">
        <v>0</v>
      </c>
      <c r="I69" s="145">
        <v>0</v>
      </c>
      <c r="J69" s="145">
        <v>0</v>
      </c>
      <c r="K69" s="146">
        <v>0</v>
      </c>
      <c r="L69" s="147">
        <v>0</v>
      </c>
      <c r="M69" s="132">
        <v>0</v>
      </c>
      <c r="N69" s="133">
        <v>0</v>
      </c>
      <c r="O69" s="133">
        <v>0</v>
      </c>
      <c r="P69" s="133">
        <v>0</v>
      </c>
      <c r="Q69" s="134">
        <v>0</v>
      </c>
      <c r="R69" s="138">
        <f t="shared" si="4"/>
        <v>0</v>
      </c>
      <c r="S69" s="148">
        <f t="shared" si="5"/>
        <v>0</v>
      </c>
      <c r="T69" s="145">
        <f t="shared" si="11"/>
        <v>0</v>
      </c>
      <c r="U69" s="145">
        <f t="shared" si="12"/>
        <v>0</v>
      </c>
      <c r="V69" s="145">
        <f t="shared" si="13"/>
        <v>0</v>
      </c>
      <c r="W69" s="146">
        <f t="shared" si="14"/>
        <v>0</v>
      </c>
      <c r="X69" s="147">
        <f t="shared" si="10"/>
        <v>0</v>
      </c>
    </row>
    <row r="70" spans="2:24">
      <c r="B70" s="27"/>
      <c r="C70" s="11"/>
      <c r="D70" s="126" t="s">
        <v>56</v>
      </c>
      <c r="E70" s="127"/>
      <c r="F70" s="126"/>
      <c r="G70" s="144">
        <v>0</v>
      </c>
      <c r="H70" s="145">
        <v>0</v>
      </c>
      <c r="I70" s="145">
        <v>0</v>
      </c>
      <c r="J70" s="145">
        <v>0</v>
      </c>
      <c r="K70" s="146">
        <v>0</v>
      </c>
      <c r="L70" s="147">
        <f>SUM(G70:K70)</f>
        <v>0</v>
      </c>
      <c r="M70" s="132">
        <v>0</v>
      </c>
      <c r="N70" s="133">
        <v>0</v>
      </c>
      <c r="O70" s="133">
        <v>0</v>
      </c>
      <c r="P70" s="133">
        <v>0</v>
      </c>
      <c r="Q70" s="134">
        <v>0</v>
      </c>
      <c r="R70" s="138">
        <f>SUM(M70:Q70)</f>
        <v>0</v>
      </c>
      <c r="S70" s="148">
        <f t="shared" si="5"/>
        <v>0</v>
      </c>
      <c r="T70" s="145">
        <f t="shared" si="11"/>
        <v>0</v>
      </c>
      <c r="U70" s="145">
        <f t="shared" si="12"/>
        <v>0</v>
      </c>
      <c r="V70" s="145">
        <f t="shared" si="13"/>
        <v>0</v>
      </c>
      <c r="W70" s="146">
        <f t="shared" si="14"/>
        <v>0</v>
      </c>
      <c r="X70" s="147">
        <f>SUM(S70:W70)</f>
        <v>0</v>
      </c>
    </row>
    <row r="71" spans="2:24">
      <c r="B71" s="27"/>
      <c r="C71" s="11"/>
      <c r="D71" s="126" t="s">
        <v>57</v>
      </c>
      <c r="E71" s="127"/>
      <c r="F71" s="129"/>
      <c r="G71" s="144">
        <v>0</v>
      </c>
      <c r="H71" s="145">
        <v>0</v>
      </c>
      <c r="I71" s="145">
        <v>0</v>
      </c>
      <c r="J71" s="145">
        <v>0</v>
      </c>
      <c r="K71" s="146">
        <v>0</v>
      </c>
      <c r="L71" s="147">
        <f>SUM(G71:K71)</f>
        <v>0</v>
      </c>
      <c r="M71" s="132">
        <v>0</v>
      </c>
      <c r="N71" s="133">
        <v>0</v>
      </c>
      <c r="O71" s="133">
        <v>0</v>
      </c>
      <c r="P71" s="133">
        <v>0</v>
      </c>
      <c r="Q71" s="134">
        <v>0</v>
      </c>
      <c r="R71" s="138">
        <f>SUM(M71:Q71)</f>
        <v>0</v>
      </c>
      <c r="S71" s="148">
        <f t="shared" ref="S71" si="15">G71+M71</f>
        <v>0</v>
      </c>
      <c r="T71" s="145">
        <f t="shared" ref="T71" si="16">H71+N71</f>
        <v>0</v>
      </c>
      <c r="U71" s="145">
        <f t="shared" ref="U71" si="17">I71+O71</f>
        <v>0</v>
      </c>
      <c r="V71" s="145">
        <f t="shared" ref="V71" si="18">J71+P71</f>
        <v>0</v>
      </c>
      <c r="W71" s="146">
        <f t="shared" ref="W71" si="19">K71+Q71</f>
        <v>0</v>
      </c>
      <c r="X71" s="147">
        <f>SUM(S71:W71)</f>
        <v>0</v>
      </c>
    </row>
    <row r="72" spans="2:24">
      <c r="B72" s="27"/>
      <c r="C72" s="11"/>
      <c r="D72" s="126" t="s">
        <v>58</v>
      </c>
      <c r="E72" s="127"/>
      <c r="F72" s="129"/>
      <c r="G72" s="144">
        <v>0</v>
      </c>
      <c r="H72" s="145">
        <v>0</v>
      </c>
      <c r="I72" s="145">
        <v>0</v>
      </c>
      <c r="J72" s="145">
        <v>0</v>
      </c>
      <c r="K72" s="146">
        <v>0</v>
      </c>
      <c r="L72" s="147">
        <f>SUM(G72:K72)</f>
        <v>0</v>
      </c>
      <c r="M72" s="132">
        <v>0</v>
      </c>
      <c r="N72" s="133">
        <v>0</v>
      </c>
      <c r="O72" s="133">
        <v>0</v>
      </c>
      <c r="P72" s="133">
        <v>0</v>
      </c>
      <c r="Q72" s="134">
        <v>0</v>
      </c>
      <c r="R72" s="138">
        <f>SUM(M72:Q72)</f>
        <v>0</v>
      </c>
      <c r="S72" s="148">
        <f t="shared" si="5"/>
        <v>0</v>
      </c>
      <c r="T72" s="145">
        <f t="shared" si="11"/>
        <v>0</v>
      </c>
      <c r="U72" s="145">
        <f t="shared" si="12"/>
        <v>0</v>
      </c>
      <c r="V72" s="145">
        <f t="shared" si="13"/>
        <v>0</v>
      </c>
      <c r="W72" s="146">
        <f t="shared" si="14"/>
        <v>0</v>
      </c>
      <c r="X72" s="147">
        <f>SUM(S72:W72)</f>
        <v>0</v>
      </c>
    </row>
    <row r="73" spans="2:24" ht="17.25" thickBot="1">
      <c r="B73" s="34"/>
      <c r="C73" s="105"/>
      <c r="D73" s="126" t="s">
        <v>59</v>
      </c>
      <c r="E73" s="131"/>
      <c r="F73" s="130"/>
      <c r="G73" s="149">
        <v>0</v>
      </c>
      <c r="H73" s="150">
        <v>0</v>
      </c>
      <c r="I73" s="150">
        <v>0</v>
      </c>
      <c r="J73" s="150">
        <v>0</v>
      </c>
      <c r="K73" s="151">
        <v>0</v>
      </c>
      <c r="L73" s="152">
        <f>SUM(G73:K73)</f>
        <v>0</v>
      </c>
      <c r="M73" s="135">
        <v>0</v>
      </c>
      <c r="N73" s="136">
        <v>0</v>
      </c>
      <c r="O73" s="136">
        <v>0</v>
      </c>
      <c r="P73" s="136">
        <v>0</v>
      </c>
      <c r="Q73" s="137">
        <v>0</v>
      </c>
      <c r="R73" s="139">
        <f>SUM(M73:Q73)</f>
        <v>0</v>
      </c>
      <c r="S73" s="153">
        <f t="shared" si="5"/>
        <v>0</v>
      </c>
      <c r="T73" s="150">
        <f t="shared" si="11"/>
        <v>0</v>
      </c>
      <c r="U73" s="150">
        <f t="shared" si="12"/>
        <v>0</v>
      </c>
      <c r="V73" s="150">
        <f t="shared" si="13"/>
        <v>0</v>
      </c>
      <c r="W73" s="151">
        <f t="shared" si="14"/>
        <v>0</v>
      </c>
      <c r="X73" s="152">
        <f>SUM(S73:W73)</f>
        <v>0</v>
      </c>
    </row>
    <row r="74" spans="2:24" ht="17.25" thickBot="1">
      <c r="B74" s="342" t="s">
        <v>695</v>
      </c>
      <c r="C74" s="343"/>
      <c r="D74" s="343"/>
      <c r="E74" s="343"/>
      <c r="F74" s="344"/>
      <c r="G74" s="154">
        <f>SUM(G6:G73)</f>
        <v>48</v>
      </c>
      <c r="H74" s="155">
        <f>SUM(H6:H73)</f>
        <v>314</v>
      </c>
      <c r="I74" s="155">
        <f>SUM(I6:I73)</f>
        <v>208</v>
      </c>
      <c r="J74" s="155">
        <f t="shared" ref="J74:X74" si="20">SUM(J6:J73)</f>
        <v>0</v>
      </c>
      <c r="K74" s="156">
        <f t="shared" si="20"/>
        <v>0</v>
      </c>
      <c r="L74" s="157">
        <f t="shared" si="20"/>
        <v>570</v>
      </c>
      <c r="M74" s="154">
        <f t="shared" si="20"/>
        <v>10</v>
      </c>
      <c r="N74" s="155">
        <f t="shared" si="20"/>
        <v>29</v>
      </c>
      <c r="O74" s="155">
        <f t="shared" si="20"/>
        <v>0</v>
      </c>
      <c r="P74" s="155">
        <f t="shared" si="20"/>
        <v>0</v>
      </c>
      <c r="Q74" s="156">
        <f t="shared" si="20"/>
        <v>0</v>
      </c>
      <c r="R74" s="157">
        <f t="shared" si="20"/>
        <v>39</v>
      </c>
      <c r="S74" s="154">
        <f t="shared" si="20"/>
        <v>58</v>
      </c>
      <c r="T74" s="155">
        <f t="shared" si="20"/>
        <v>343</v>
      </c>
      <c r="U74" s="155">
        <f t="shared" si="20"/>
        <v>208</v>
      </c>
      <c r="V74" s="155">
        <f t="shared" si="20"/>
        <v>0</v>
      </c>
      <c r="W74" s="156">
        <f t="shared" si="20"/>
        <v>0</v>
      </c>
      <c r="X74" s="157">
        <f t="shared" si="20"/>
        <v>609</v>
      </c>
    </row>
  </sheetData>
  <mergeCells count="6">
    <mergeCell ref="B74:F74"/>
    <mergeCell ref="B3:X3"/>
    <mergeCell ref="D4:F4"/>
    <mergeCell ref="G4:L4"/>
    <mergeCell ref="M4:R4"/>
    <mergeCell ref="S4:X4"/>
  </mergeCells>
  <phoneticPr fontId="3" type="noConversion"/>
  <conditionalFormatting sqref="D55:X73">
    <cfRule type="expression" dxfId="192" priority="4">
      <formula>SUM($M55:$Q55)&gt;0</formula>
    </cfRule>
  </conditionalFormatting>
  <conditionalFormatting sqref="D6:L54 R6:X54">
    <cfRule type="expression" dxfId="191" priority="3">
      <formula>SUM($M6:$Q6)&gt;0</formula>
    </cfRule>
  </conditionalFormatting>
  <conditionalFormatting sqref="M6:Q14 Q15:Q54">
    <cfRule type="expression" dxfId="190" priority="2">
      <formula>SUM($M6:$Q6)&gt;0</formula>
    </cfRule>
  </conditionalFormatting>
  <conditionalFormatting sqref="M15:P54">
    <cfRule type="expression" dxfId="189" priority="1">
      <formula>SUM($M15:$Q15)&gt;0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S84"/>
  <sheetViews>
    <sheetView showGridLines="0" zoomScaleNormal="100" workbookViewId="0">
      <pane xSplit="8" ySplit="4" topLeftCell="I5" activePane="bottomRight" state="frozen"/>
      <selection activeCell="G19" sqref="G19"/>
      <selection pane="topRight" activeCell="G19" sqref="G19"/>
      <selection pane="bottomLeft" activeCell="G19" sqref="G19"/>
      <selection pane="bottomRight" activeCell="G10" sqref="G10"/>
    </sheetView>
  </sheetViews>
  <sheetFormatPr defaultColWidth="8.75" defaultRowHeight="15" customHeight="1"/>
  <cols>
    <col min="1" max="1" width="2.25" style="10" customWidth="1"/>
    <col min="2" max="5" width="8.75" style="10"/>
    <col min="6" max="6" width="21.875" style="10" customWidth="1"/>
    <col min="7" max="7" width="37.25" style="10" customWidth="1"/>
    <col min="8" max="8" width="8.75" style="10"/>
    <col min="9" max="12" width="11.125" style="117" customWidth="1"/>
    <col min="13" max="13" width="14.125" style="118" customWidth="1"/>
    <col min="14" max="14" width="11.125" style="117" customWidth="1"/>
    <col min="15" max="15" width="14.125" style="118" customWidth="1"/>
    <col min="16" max="16" width="18.25" style="72" customWidth="1"/>
    <col min="17" max="18" width="18.5" style="72" bestFit="1" customWidth="1"/>
    <col min="19" max="19" width="30.25" style="72" customWidth="1"/>
    <col min="20" max="16384" width="8.75" style="10"/>
  </cols>
  <sheetData>
    <row r="1" spans="2:19" ht="22.5" customHeight="1">
      <c r="B1" s="113" t="s">
        <v>654</v>
      </c>
    </row>
    <row r="2" spans="2:19" ht="17.25" customHeight="1" thickBot="1">
      <c r="B2" s="114" t="str">
        <f>CONCATENATE("금일 작업 현황 :",TEXT(Cover!E15," YYYY-MM-DD, aaaa"))</f>
        <v>금일 작업 현황 : 2025-09-17, 수요일</v>
      </c>
    </row>
    <row r="3" spans="2:19" ht="15" customHeight="1">
      <c r="B3" s="185" t="s">
        <v>9</v>
      </c>
      <c r="C3" s="186" t="s">
        <v>1</v>
      </c>
      <c r="D3" s="186" t="s">
        <v>2</v>
      </c>
      <c r="E3" s="186" t="s">
        <v>8</v>
      </c>
      <c r="F3" s="186" t="s">
        <v>10</v>
      </c>
      <c r="G3" s="186" t="s">
        <v>73</v>
      </c>
      <c r="H3" s="186" t="s">
        <v>61</v>
      </c>
      <c r="I3" s="187" t="s">
        <v>62</v>
      </c>
      <c r="J3" s="187" t="s">
        <v>63</v>
      </c>
      <c r="K3" s="187" t="s">
        <v>64</v>
      </c>
      <c r="L3" s="336" t="s">
        <v>65</v>
      </c>
      <c r="M3" s="336"/>
      <c r="N3" s="336" t="s">
        <v>66</v>
      </c>
      <c r="O3" s="336"/>
      <c r="P3" s="224" t="s">
        <v>713</v>
      </c>
      <c r="Q3" s="225" t="s">
        <v>1947</v>
      </c>
      <c r="R3" s="225"/>
      <c r="S3" s="225"/>
    </row>
    <row r="4" spans="2:19" ht="15" customHeight="1" thickBot="1">
      <c r="B4" s="188" t="s">
        <v>0</v>
      </c>
      <c r="C4" s="189"/>
      <c r="D4" s="189" t="s">
        <v>18</v>
      </c>
      <c r="E4" s="189" t="s">
        <v>25</v>
      </c>
      <c r="F4" s="189"/>
      <c r="G4" s="190"/>
      <c r="H4" s="190"/>
      <c r="I4" s="191" t="s">
        <v>68</v>
      </c>
      <c r="J4" s="191" t="s">
        <v>69</v>
      </c>
      <c r="K4" s="191" t="s">
        <v>70</v>
      </c>
      <c r="L4" s="191" t="s">
        <v>71</v>
      </c>
      <c r="M4" s="192" t="s">
        <v>74</v>
      </c>
      <c r="N4" s="191" t="s">
        <v>72</v>
      </c>
      <c r="O4" s="192" t="s">
        <v>75</v>
      </c>
      <c r="P4" s="226"/>
      <c r="Q4" s="227" t="s">
        <v>710</v>
      </c>
      <c r="R4" s="227" t="s">
        <v>1948</v>
      </c>
      <c r="S4" s="227" t="s">
        <v>1949</v>
      </c>
    </row>
    <row r="5" spans="2:19" ht="15" customHeight="1">
      <c r="B5" s="176" t="s">
        <v>703</v>
      </c>
      <c r="C5" s="32"/>
      <c r="D5" s="32" t="str">
        <f>Cover!E18</f>
        <v>UT</v>
      </c>
      <c r="E5" s="32" t="str">
        <f>Cover!E16</f>
        <v>M15X_PH4_041</v>
      </c>
      <c r="F5" s="195" t="s">
        <v>1984</v>
      </c>
      <c r="G5" s="140" t="s">
        <v>1981</v>
      </c>
      <c r="H5" s="196" t="s">
        <v>1971</v>
      </c>
      <c r="I5" s="141">
        <v>2178</v>
      </c>
      <c r="J5" s="158">
        <v>90</v>
      </c>
      <c r="K5" s="141">
        <v>30</v>
      </c>
      <c r="L5" s="158">
        <f>J5+K5</f>
        <v>120</v>
      </c>
      <c r="M5" s="160">
        <f>IFERROR(L5/I5,0)</f>
        <v>5.5096418732782371E-2</v>
      </c>
      <c r="N5" s="158">
        <f t="shared" ref="N5:N10" si="0">I5-L5</f>
        <v>2058</v>
      </c>
      <c r="O5" s="160">
        <f>IF(M5=0,0,IFERROR(100%-M5,0))</f>
        <v>0.94490358126721763</v>
      </c>
      <c r="P5" s="140" t="str">
        <f>LEFT(F5,11)&amp;"/"&amp;LEFT(G5,10)</f>
        <v xml:space="preserve">F02 5F/PCW 20 배관 </v>
      </c>
      <c r="Q5" s="140" t="s">
        <v>853</v>
      </c>
      <c r="R5" s="140" t="s">
        <v>853</v>
      </c>
      <c r="S5" s="140" t="s">
        <v>1931</v>
      </c>
    </row>
    <row r="6" spans="2:19" ht="15" customHeight="1">
      <c r="B6" s="31"/>
      <c r="C6" s="32"/>
      <c r="D6" s="32"/>
      <c r="E6" s="32" t="str">
        <f>Cover!E20</f>
        <v>중원엔지니어링FAB</v>
      </c>
      <c r="F6" s="195" t="s">
        <v>1984</v>
      </c>
      <c r="G6" s="140" t="s">
        <v>1982</v>
      </c>
      <c r="H6" s="196" t="s">
        <v>1971</v>
      </c>
      <c r="I6" s="141">
        <v>2010</v>
      </c>
      <c r="J6" s="158"/>
      <c r="K6" s="141">
        <v>0</v>
      </c>
      <c r="L6" s="158">
        <f t="shared" ref="L6:L10" si="1">J6+K6</f>
        <v>0</v>
      </c>
      <c r="M6" s="160">
        <f t="shared" ref="M6:M69" si="2">IFERROR(L6/I6,0)</f>
        <v>0</v>
      </c>
      <c r="N6" s="158">
        <f t="shared" si="0"/>
        <v>2010</v>
      </c>
      <c r="O6" s="160">
        <f>IF(M6=0,0,IFERROR(100%-M6,0))</f>
        <v>0</v>
      </c>
      <c r="P6" s="140" t="str">
        <f>LEFT(F6,11)&amp;"/"&amp;LEFT(G6,10)</f>
        <v>F02 5F/PCW 20(SCR</v>
      </c>
      <c r="Q6" s="140" t="s">
        <v>853</v>
      </c>
      <c r="R6" s="140" t="s">
        <v>853</v>
      </c>
      <c r="S6" s="140" t="s">
        <v>1931</v>
      </c>
    </row>
    <row r="7" spans="2:19" ht="15" customHeight="1">
      <c r="B7" s="31"/>
      <c r="C7" s="32"/>
      <c r="D7" s="32"/>
      <c r="E7" s="32"/>
      <c r="F7" s="195" t="s">
        <v>1984</v>
      </c>
      <c r="G7" s="140" t="s">
        <v>1970</v>
      </c>
      <c r="H7" s="196" t="s">
        <v>1971</v>
      </c>
      <c r="I7" s="141">
        <v>857</v>
      </c>
      <c r="J7" s="158">
        <v>0</v>
      </c>
      <c r="K7" s="141">
        <v>0</v>
      </c>
      <c r="L7" s="158">
        <f t="shared" si="1"/>
        <v>0</v>
      </c>
      <c r="M7" s="160">
        <f t="shared" si="2"/>
        <v>0</v>
      </c>
      <c r="N7" s="158">
        <f t="shared" si="0"/>
        <v>857</v>
      </c>
      <c r="O7" s="160">
        <f t="shared" ref="O7:O70" si="3">IF(M7=0,0,IFERROR(100%-M7,0))</f>
        <v>0</v>
      </c>
      <c r="P7" s="140" t="str">
        <f>LEFT(F7,11)&amp;"/"&amp;LEFT(G7,10)</f>
        <v>F02 5F/NPW 배관 공사</v>
      </c>
      <c r="Q7" s="140" t="s">
        <v>856</v>
      </c>
      <c r="R7" s="140" t="s">
        <v>856</v>
      </c>
      <c r="S7" s="140" t="s">
        <v>1932</v>
      </c>
    </row>
    <row r="8" spans="2:19" ht="15" customHeight="1">
      <c r="B8" s="31"/>
      <c r="C8" s="32"/>
      <c r="D8" s="32"/>
      <c r="E8" s="32"/>
      <c r="F8" s="195" t="s">
        <v>1985</v>
      </c>
      <c r="G8" s="140" t="s">
        <v>1981</v>
      </c>
      <c r="H8" s="196" t="s">
        <v>1971</v>
      </c>
      <c r="I8" s="141">
        <v>4591</v>
      </c>
      <c r="J8" s="158">
        <v>121</v>
      </c>
      <c r="K8" s="141">
        <v>30</v>
      </c>
      <c r="L8" s="158">
        <f t="shared" si="1"/>
        <v>151</v>
      </c>
      <c r="M8" s="160">
        <f t="shared" si="2"/>
        <v>3.2890437813112613E-2</v>
      </c>
      <c r="N8" s="158">
        <f t="shared" si="0"/>
        <v>4440</v>
      </c>
      <c r="O8" s="160">
        <f t="shared" si="3"/>
        <v>0.96710956218688737</v>
      </c>
      <c r="P8" s="140" t="str">
        <f t="shared" ref="P8:P37" si="4">LEFT(F8,11)&amp;"/"&amp;LEFT(G8,10)</f>
        <v xml:space="preserve">F02 6F/PCW 20 배관 </v>
      </c>
      <c r="Q8" s="140" t="s">
        <v>853</v>
      </c>
      <c r="R8" s="140" t="s">
        <v>853</v>
      </c>
      <c r="S8" s="140" t="s">
        <v>1931</v>
      </c>
    </row>
    <row r="9" spans="2:19" ht="15" customHeight="1">
      <c r="B9" s="31"/>
      <c r="C9" s="32"/>
      <c r="D9" s="32"/>
      <c r="E9" s="32"/>
      <c r="F9" s="195" t="s">
        <v>1985</v>
      </c>
      <c r="G9" s="140" t="s">
        <v>1983</v>
      </c>
      <c r="H9" s="196" t="s">
        <v>1971</v>
      </c>
      <c r="I9" s="141">
        <v>1256</v>
      </c>
      <c r="J9" s="158"/>
      <c r="K9" s="141">
        <v>0</v>
      </c>
      <c r="L9" s="158">
        <f t="shared" si="1"/>
        <v>0</v>
      </c>
      <c r="M9" s="160">
        <f t="shared" si="2"/>
        <v>0</v>
      </c>
      <c r="N9" s="158">
        <f t="shared" si="0"/>
        <v>1256</v>
      </c>
      <c r="O9" s="160">
        <f t="shared" si="3"/>
        <v>0</v>
      </c>
      <c r="P9" s="140" t="str">
        <f t="shared" si="4"/>
        <v xml:space="preserve">F02 6F/PCW 13 배관 </v>
      </c>
      <c r="Q9" s="140" t="s">
        <v>853</v>
      </c>
      <c r="R9" s="140" t="s">
        <v>853</v>
      </c>
      <c r="S9" s="140" t="s">
        <v>1930</v>
      </c>
    </row>
    <row r="10" spans="2:19" ht="15" customHeight="1">
      <c r="B10" s="31"/>
      <c r="C10" s="32"/>
      <c r="D10" s="32"/>
      <c r="E10" s="32"/>
      <c r="F10" s="195" t="s">
        <v>1985</v>
      </c>
      <c r="G10" s="140" t="s">
        <v>1970</v>
      </c>
      <c r="H10" s="196" t="s">
        <v>1971</v>
      </c>
      <c r="I10" s="141">
        <v>861</v>
      </c>
      <c r="J10" s="158"/>
      <c r="K10" s="141">
        <v>0</v>
      </c>
      <c r="L10" s="158">
        <f t="shared" si="1"/>
        <v>0</v>
      </c>
      <c r="M10" s="160">
        <f t="shared" si="2"/>
        <v>0</v>
      </c>
      <c r="N10" s="158">
        <f t="shared" si="0"/>
        <v>861</v>
      </c>
      <c r="O10" s="160">
        <f t="shared" si="3"/>
        <v>0</v>
      </c>
      <c r="P10" s="140" t="str">
        <f t="shared" si="4"/>
        <v>F02 6F/NPW 배관 공사</v>
      </c>
      <c r="Q10" s="140" t="s">
        <v>856</v>
      </c>
      <c r="R10" s="140" t="s">
        <v>856</v>
      </c>
      <c r="S10" s="140" t="s">
        <v>1932</v>
      </c>
    </row>
    <row r="11" spans="2:19" ht="15" customHeight="1">
      <c r="B11" s="31"/>
      <c r="C11" s="32"/>
      <c r="D11" s="32"/>
      <c r="E11" s="32"/>
      <c r="F11" s="195" t="s">
        <v>1972</v>
      </c>
      <c r="G11" s="140" t="s">
        <v>1983</v>
      </c>
      <c r="H11" s="196" t="s">
        <v>1971</v>
      </c>
      <c r="I11" s="141">
        <v>90</v>
      </c>
      <c r="J11" s="158">
        <v>0</v>
      </c>
      <c r="K11" s="141">
        <v>0</v>
      </c>
      <c r="L11" s="158">
        <f t="shared" ref="L11:L74" si="5">J11+K11</f>
        <v>0</v>
      </c>
      <c r="M11" s="160">
        <f t="shared" si="2"/>
        <v>0</v>
      </c>
      <c r="N11" s="158">
        <f t="shared" ref="N11:N74" si="6">I11-L11</f>
        <v>90</v>
      </c>
      <c r="O11" s="160">
        <f t="shared" si="3"/>
        <v>0</v>
      </c>
      <c r="P11" s="140" t="str">
        <f t="shared" si="4"/>
        <v xml:space="preserve">F03 5F/PCW 13 배관 </v>
      </c>
      <c r="Q11" s="140" t="s">
        <v>853</v>
      </c>
      <c r="R11" s="140" t="s">
        <v>853</v>
      </c>
      <c r="S11" s="140" t="s">
        <v>1930</v>
      </c>
    </row>
    <row r="12" spans="2:19" ht="15" customHeight="1">
      <c r="B12" s="31"/>
      <c r="C12" s="32"/>
      <c r="D12" s="32"/>
      <c r="E12" s="32"/>
      <c r="F12" s="195" t="s">
        <v>1972</v>
      </c>
      <c r="G12" s="140" t="s">
        <v>1986</v>
      </c>
      <c r="H12" s="196" t="s">
        <v>1971</v>
      </c>
      <c r="I12" s="141">
        <v>26</v>
      </c>
      <c r="J12" s="158">
        <v>0</v>
      </c>
      <c r="K12" s="141">
        <v>0</v>
      </c>
      <c r="L12" s="158">
        <f t="shared" si="5"/>
        <v>0</v>
      </c>
      <c r="M12" s="160">
        <f t="shared" si="2"/>
        <v>0</v>
      </c>
      <c r="N12" s="158">
        <f t="shared" si="6"/>
        <v>26</v>
      </c>
      <c r="O12" s="160">
        <f t="shared" si="3"/>
        <v>0</v>
      </c>
      <c r="P12" s="140" t="str">
        <f t="shared" si="4"/>
        <v>F03 5F/RO 배관 공사</v>
      </c>
      <c r="Q12" s="229" t="s">
        <v>1990</v>
      </c>
      <c r="R12" s="229" t="s">
        <v>1990</v>
      </c>
      <c r="S12" s="140" t="s">
        <v>1933</v>
      </c>
    </row>
    <row r="13" spans="2:19" ht="15" customHeight="1">
      <c r="B13" s="31"/>
      <c r="C13" s="32"/>
      <c r="D13" s="32"/>
      <c r="E13" s="32"/>
      <c r="F13" s="195" t="s">
        <v>1973</v>
      </c>
      <c r="G13" s="140" t="s">
        <v>1981</v>
      </c>
      <c r="H13" s="196" t="s">
        <v>1971</v>
      </c>
      <c r="I13" s="141">
        <v>487</v>
      </c>
      <c r="J13" s="158">
        <v>407</v>
      </c>
      <c r="K13" s="141"/>
      <c r="L13" s="158">
        <f t="shared" si="5"/>
        <v>407</v>
      </c>
      <c r="M13" s="160">
        <f t="shared" si="2"/>
        <v>0.83572895277207393</v>
      </c>
      <c r="N13" s="158">
        <f t="shared" si="6"/>
        <v>80</v>
      </c>
      <c r="O13" s="160">
        <f t="shared" si="3"/>
        <v>0.16427104722792607</v>
      </c>
      <c r="P13" s="140" t="str">
        <f t="shared" si="4"/>
        <v xml:space="preserve">F03 6F/PCW 20 배관 </v>
      </c>
      <c r="Q13" s="140" t="s">
        <v>853</v>
      </c>
      <c r="R13" s="140" t="s">
        <v>853</v>
      </c>
      <c r="S13" s="140" t="s">
        <v>1931</v>
      </c>
    </row>
    <row r="14" spans="2:19" ht="15" customHeight="1">
      <c r="B14" s="31"/>
      <c r="C14" s="32"/>
      <c r="D14" s="32"/>
      <c r="E14" s="32"/>
      <c r="F14" s="195" t="s">
        <v>1974</v>
      </c>
      <c r="G14" s="140" t="s">
        <v>1981</v>
      </c>
      <c r="H14" s="196" t="s">
        <v>1971</v>
      </c>
      <c r="I14" s="141">
        <v>882</v>
      </c>
      <c r="J14" s="158">
        <v>350</v>
      </c>
      <c r="K14" s="141">
        <v>30</v>
      </c>
      <c r="L14" s="158">
        <f t="shared" si="5"/>
        <v>380</v>
      </c>
      <c r="M14" s="160">
        <f t="shared" si="2"/>
        <v>0.43083900226757371</v>
      </c>
      <c r="N14" s="158">
        <f t="shared" si="6"/>
        <v>502</v>
      </c>
      <c r="O14" s="160">
        <f t="shared" si="3"/>
        <v>0.56916099773242634</v>
      </c>
      <c r="P14" s="140" t="str">
        <f t="shared" si="4"/>
        <v xml:space="preserve">F03 7F/PCW 20 배관 </v>
      </c>
      <c r="Q14" s="140" t="s">
        <v>853</v>
      </c>
      <c r="R14" s="140" t="s">
        <v>853</v>
      </c>
      <c r="S14" s="140" t="s">
        <v>1931</v>
      </c>
    </row>
    <row r="15" spans="2:19" ht="15" customHeight="1">
      <c r="B15" s="31"/>
      <c r="C15" s="32"/>
      <c r="D15" s="32"/>
      <c r="E15" s="32"/>
      <c r="F15" s="195" t="s">
        <v>1974</v>
      </c>
      <c r="G15" s="140" t="s">
        <v>1982</v>
      </c>
      <c r="H15" s="196" t="s">
        <v>1971</v>
      </c>
      <c r="I15" s="141">
        <v>162</v>
      </c>
      <c r="J15" s="158">
        <v>62</v>
      </c>
      <c r="K15" s="141">
        <v>0</v>
      </c>
      <c r="L15" s="158">
        <f t="shared" si="5"/>
        <v>62</v>
      </c>
      <c r="M15" s="160">
        <f t="shared" si="2"/>
        <v>0.38271604938271603</v>
      </c>
      <c r="N15" s="158">
        <f t="shared" si="6"/>
        <v>100</v>
      </c>
      <c r="O15" s="160">
        <f t="shared" si="3"/>
        <v>0.61728395061728403</v>
      </c>
      <c r="P15" s="140" t="str">
        <f t="shared" si="4"/>
        <v>F03 7F/PCW 20(SCR</v>
      </c>
      <c r="Q15" s="140" t="s">
        <v>853</v>
      </c>
      <c r="R15" s="140" t="s">
        <v>853</v>
      </c>
      <c r="S15" s="140" t="s">
        <v>1931</v>
      </c>
    </row>
    <row r="16" spans="2:19" ht="15" customHeight="1">
      <c r="B16" s="31"/>
      <c r="C16" s="32"/>
      <c r="D16" s="32"/>
      <c r="E16" s="32"/>
      <c r="F16" s="195" t="s">
        <v>1974</v>
      </c>
      <c r="G16" s="140" t="s">
        <v>1970</v>
      </c>
      <c r="H16" s="196" t="s">
        <v>1971</v>
      </c>
      <c r="I16" s="141">
        <v>80</v>
      </c>
      <c r="J16" s="158">
        <v>30</v>
      </c>
      <c r="K16" s="141"/>
      <c r="L16" s="158">
        <f t="shared" si="5"/>
        <v>30</v>
      </c>
      <c r="M16" s="160">
        <f t="shared" si="2"/>
        <v>0.375</v>
      </c>
      <c r="N16" s="158">
        <f t="shared" si="6"/>
        <v>50</v>
      </c>
      <c r="O16" s="160">
        <f t="shared" si="3"/>
        <v>0.625</v>
      </c>
      <c r="P16" s="140" t="str">
        <f t="shared" si="4"/>
        <v>F03 7F/NPW 배관 공사</v>
      </c>
      <c r="Q16" s="140" t="s">
        <v>856</v>
      </c>
      <c r="R16" s="140" t="s">
        <v>856</v>
      </c>
      <c r="S16" s="140" t="s">
        <v>1932</v>
      </c>
    </row>
    <row r="17" spans="2:19" ht="15" customHeight="1">
      <c r="B17" s="31"/>
      <c r="C17" s="32"/>
      <c r="D17" s="32"/>
      <c r="E17" s="32"/>
      <c r="F17" s="195" t="s">
        <v>1974</v>
      </c>
      <c r="G17" s="140" t="s">
        <v>1986</v>
      </c>
      <c r="H17" s="196" t="s">
        <v>1971</v>
      </c>
      <c r="I17" s="141">
        <v>70</v>
      </c>
      <c r="J17" s="158">
        <v>8</v>
      </c>
      <c r="K17" s="141"/>
      <c r="L17" s="158">
        <f t="shared" si="5"/>
        <v>8</v>
      </c>
      <c r="M17" s="160">
        <f t="shared" si="2"/>
        <v>0.11428571428571428</v>
      </c>
      <c r="N17" s="158">
        <f t="shared" si="6"/>
        <v>62</v>
      </c>
      <c r="O17" s="160">
        <f t="shared" si="3"/>
        <v>0.88571428571428568</v>
      </c>
      <c r="P17" s="140" t="str">
        <f t="shared" si="4"/>
        <v>F03 7F/RO 배관 공사</v>
      </c>
      <c r="Q17" s="229" t="s">
        <v>1990</v>
      </c>
      <c r="R17" s="229" t="s">
        <v>1990</v>
      </c>
      <c r="S17" s="140" t="s">
        <v>1933</v>
      </c>
    </row>
    <row r="18" spans="2:19" ht="15" customHeight="1">
      <c r="B18" s="31"/>
      <c r="C18" s="32"/>
      <c r="D18" s="32"/>
      <c r="E18" s="32"/>
      <c r="F18" s="195" t="s">
        <v>1987</v>
      </c>
      <c r="G18" s="140" t="s">
        <v>1981</v>
      </c>
      <c r="H18" s="196" t="s">
        <v>1971</v>
      </c>
      <c r="I18" s="141">
        <v>24</v>
      </c>
      <c r="J18" s="158">
        <v>0</v>
      </c>
      <c r="K18" s="141">
        <v>0</v>
      </c>
      <c r="L18" s="158">
        <f t="shared" si="5"/>
        <v>0</v>
      </c>
      <c r="M18" s="160">
        <f t="shared" si="2"/>
        <v>0</v>
      </c>
      <c r="N18" s="158">
        <f t="shared" si="6"/>
        <v>24</v>
      </c>
      <c r="O18" s="160">
        <f t="shared" si="3"/>
        <v>0</v>
      </c>
      <c r="P18" s="140" t="str">
        <f t="shared" si="4"/>
        <v xml:space="preserve">F03 D/S/PCW 20 배관 </v>
      </c>
      <c r="Q18" s="140" t="s">
        <v>853</v>
      </c>
      <c r="R18" s="140" t="s">
        <v>853</v>
      </c>
      <c r="S18" s="140" t="s">
        <v>1931</v>
      </c>
    </row>
    <row r="19" spans="2:19" ht="15" customHeight="1">
      <c r="B19" s="31"/>
      <c r="C19" s="32"/>
      <c r="D19" s="32"/>
      <c r="E19" s="32"/>
      <c r="F19" s="195" t="s">
        <v>1987</v>
      </c>
      <c r="G19" s="140" t="s">
        <v>1982</v>
      </c>
      <c r="H19" s="196" t="s">
        <v>1971</v>
      </c>
      <c r="I19" s="141">
        <v>108</v>
      </c>
      <c r="J19" s="158">
        <v>0</v>
      </c>
      <c r="K19" s="141">
        <v>0</v>
      </c>
      <c r="L19" s="158">
        <f t="shared" si="5"/>
        <v>0</v>
      </c>
      <c r="M19" s="160">
        <f t="shared" si="2"/>
        <v>0</v>
      </c>
      <c r="N19" s="158">
        <f t="shared" si="6"/>
        <v>108</v>
      </c>
      <c r="O19" s="160">
        <f t="shared" si="3"/>
        <v>0</v>
      </c>
      <c r="P19" s="140" t="str">
        <f t="shared" si="4"/>
        <v>F03 D/S/PCW 20(SCR</v>
      </c>
      <c r="Q19" s="140" t="s">
        <v>853</v>
      </c>
      <c r="R19" s="140" t="s">
        <v>853</v>
      </c>
      <c r="S19" s="140" t="s">
        <v>1931</v>
      </c>
    </row>
    <row r="20" spans="2:19" ht="15" customHeight="1">
      <c r="B20" s="31"/>
      <c r="C20" s="32"/>
      <c r="D20" s="32"/>
      <c r="E20" s="32"/>
      <c r="F20" s="195" t="s">
        <v>1987</v>
      </c>
      <c r="G20" s="140" t="s">
        <v>1983</v>
      </c>
      <c r="H20" s="196" t="s">
        <v>1971</v>
      </c>
      <c r="I20" s="141">
        <v>21</v>
      </c>
      <c r="J20" s="158">
        <v>0</v>
      </c>
      <c r="K20" s="141">
        <v>0</v>
      </c>
      <c r="L20" s="158">
        <f t="shared" si="5"/>
        <v>0</v>
      </c>
      <c r="M20" s="160">
        <f t="shared" si="2"/>
        <v>0</v>
      </c>
      <c r="N20" s="158">
        <f t="shared" si="6"/>
        <v>21</v>
      </c>
      <c r="O20" s="160">
        <f t="shared" si="3"/>
        <v>0</v>
      </c>
      <c r="P20" s="140" t="str">
        <f t="shared" si="4"/>
        <v xml:space="preserve">F03 D/S/PCW 13 배관 </v>
      </c>
      <c r="Q20" s="140" t="s">
        <v>853</v>
      </c>
      <c r="R20" s="140" t="s">
        <v>853</v>
      </c>
      <c r="S20" s="140" t="s">
        <v>1930</v>
      </c>
    </row>
    <row r="21" spans="2:19" ht="15" customHeight="1">
      <c r="B21" s="31"/>
      <c r="C21" s="32"/>
      <c r="D21" s="32"/>
      <c r="E21" s="32"/>
      <c r="F21" s="195" t="s">
        <v>1987</v>
      </c>
      <c r="G21" s="140" t="s">
        <v>1970</v>
      </c>
      <c r="H21" s="196" t="s">
        <v>1971</v>
      </c>
      <c r="I21" s="141">
        <v>29</v>
      </c>
      <c r="J21" s="158">
        <v>0</v>
      </c>
      <c r="K21" s="141">
        <v>0</v>
      </c>
      <c r="L21" s="158">
        <f t="shared" si="5"/>
        <v>0</v>
      </c>
      <c r="M21" s="160">
        <f t="shared" si="2"/>
        <v>0</v>
      </c>
      <c r="N21" s="158">
        <f t="shared" si="6"/>
        <v>29</v>
      </c>
      <c r="O21" s="160">
        <f t="shared" si="3"/>
        <v>0</v>
      </c>
      <c r="P21" s="140" t="str">
        <f t="shared" si="4"/>
        <v>F03 D/S/NPW 배관 공사</v>
      </c>
      <c r="Q21" s="140" t="s">
        <v>856</v>
      </c>
      <c r="R21" s="140" t="s">
        <v>856</v>
      </c>
      <c r="S21" s="140" t="s">
        <v>1932</v>
      </c>
    </row>
    <row r="22" spans="2:19" ht="15" customHeight="1">
      <c r="B22" s="31"/>
      <c r="C22" s="32"/>
      <c r="D22" s="32"/>
      <c r="E22" s="32"/>
      <c r="F22" s="195" t="s">
        <v>1987</v>
      </c>
      <c r="G22" s="140" t="s">
        <v>1986</v>
      </c>
      <c r="H22" s="196" t="s">
        <v>1971</v>
      </c>
      <c r="I22" s="141">
        <v>10</v>
      </c>
      <c r="J22" s="158">
        <v>0</v>
      </c>
      <c r="K22" s="141">
        <v>0</v>
      </c>
      <c r="L22" s="158">
        <f t="shared" si="5"/>
        <v>0</v>
      </c>
      <c r="M22" s="160">
        <f t="shared" si="2"/>
        <v>0</v>
      </c>
      <c r="N22" s="158">
        <f t="shared" si="6"/>
        <v>10</v>
      </c>
      <c r="O22" s="160">
        <f t="shared" si="3"/>
        <v>0</v>
      </c>
      <c r="P22" s="140" t="str">
        <f t="shared" si="4"/>
        <v>F03 D/S/RO 배관 공사</v>
      </c>
      <c r="Q22" s="229" t="s">
        <v>1990</v>
      </c>
      <c r="R22" s="229" t="s">
        <v>1990</v>
      </c>
      <c r="S22" s="140" t="s">
        <v>1933</v>
      </c>
    </row>
    <row r="23" spans="2:19" ht="15" customHeight="1">
      <c r="B23" s="31"/>
      <c r="C23" s="32"/>
      <c r="D23" s="32"/>
      <c r="E23" s="32"/>
      <c r="F23" s="195" t="s">
        <v>1975</v>
      </c>
      <c r="G23" s="140" t="s">
        <v>1981</v>
      </c>
      <c r="H23" s="196" t="s">
        <v>1971</v>
      </c>
      <c r="I23" s="141">
        <v>60</v>
      </c>
      <c r="J23" s="158">
        <v>0</v>
      </c>
      <c r="K23" s="141">
        <v>0</v>
      </c>
      <c r="L23" s="158">
        <f t="shared" si="5"/>
        <v>0</v>
      </c>
      <c r="M23" s="160">
        <f t="shared" si="2"/>
        <v>0</v>
      </c>
      <c r="N23" s="158">
        <f t="shared" si="6"/>
        <v>60</v>
      </c>
      <c r="O23" s="160">
        <f t="shared" si="3"/>
        <v>0</v>
      </c>
      <c r="P23" s="140" t="str">
        <f t="shared" si="4"/>
        <v xml:space="preserve">F04 6F/PCW 20 배관 </v>
      </c>
      <c r="Q23" s="140" t="s">
        <v>853</v>
      </c>
      <c r="R23" s="140" t="s">
        <v>853</v>
      </c>
      <c r="S23" s="140" t="s">
        <v>1931</v>
      </c>
    </row>
    <row r="24" spans="2:19" ht="15" customHeight="1">
      <c r="B24" s="31"/>
      <c r="C24" s="32"/>
      <c r="D24" s="32"/>
      <c r="E24" s="32"/>
      <c r="F24" s="195" t="s">
        <v>1976</v>
      </c>
      <c r="G24" s="140" t="s">
        <v>1981</v>
      </c>
      <c r="H24" s="196" t="s">
        <v>1971</v>
      </c>
      <c r="I24" s="141">
        <v>100</v>
      </c>
      <c r="J24" s="158">
        <v>0</v>
      </c>
      <c r="K24" s="141">
        <v>0</v>
      </c>
      <c r="L24" s="158">
        <f t="shared" si="5"/>
        <v>0</v>
      </c>
      <c r="M24" s="160">
        <f t="shared" si="2"/>
        <v>0</v>
      </c>
      <c r="N24" s="158">
        <f t="shared" si="6"/>
        <v>100</v>
      </c>
      <c r="O24" s="160">
        <f t="shared" si="3"/>
        <v>0</v>
      </c>
      <c r="P24" s="140" t="str">
        <f t="shared" si="4"/>
        <v xml:space="preserve">F04 7F/PCW 20 배관 </v>
      </c>
      <c r="Q24" s="140" t="s">
        <v>853</v>
      </c>
      <c r="R24" s="140" t="s">
        <v>853</v>
      </c>
      <c r="S24" s="140" t="s">
        <v>1931</v>
      </c>
    </row>
    <row r="25" spans="2:19" ht="15" customHeight="1">
      <c r="B25" s="31"/>
      <c r="C25" s="32"/>
      <c r="D25" s="32"/>
      <c r="E25" s="32"/>
      <c r="F25" s="195" t="s">
        <v>1976</v>
      </c>
      <c r="G25" s="140" t="s">
        <v>1970</v>
      </c>
      <c r="H25" s="196" t="s">
        <v>1971</v>
      </c>
      <c r="I25" s="141">
        <v>5</v>
      </c>
      <c r="J25" s="158">
        <v>0</v>
      </c>
      <c r="K25" s="141">
        <v>0</v>
      </c>
      <c r="L25" s="158">
        <f t="shared" si="5"/>
        <v>0</v>
      </c>
      <c r="M25" s="160">
        <f t="shared" si="2"/>
        <v>0</v>
      </c>
      <c r="N25" s="158">
        <f t="shared" si="6"/>
        <v>5</v>
      </c>
      <c r="O25" s="160">
        <f t="shared" si="3"/>
        <v>0</v>
      </c>
      <c r="P25" s="140" t="str">
        <f t="shared" si="4"/>
        <v>F04 7F/NPW 배관 공사</v>
      </c>
      <c r="Q25" s="140" t="s">
        <v>856</v>
      </c>
      <c r="R25" s="140" t="s">
        <v>856</v>
      </c>
      <c r="S25" s="140" t="s">
        <v>1932</v>
      </c>
    </row>
    <row r="26" spans="2:19" ht="15" customHeight="1">
      <c r="B26" s="31"/>
      <c r="C26" s="32"/>
      <c r="D26" s="32"/>
      <c r="E26" s="32"/>
      <c r="F26" s="195" t="s">
        <v>1988</v>
      </c>
      <c r="G26" s="140" t="s">
        <v>1981</v>
      </c>
      <c r="H26" s="196" t="s">
        <v>1971</v>
      </c>
      <c r="I26" s="141">
        <v>10</v>
      </c>
      <c r="J26" s="158">
        <v>0</v>
      </c>
      <c r="K26" s="141">
        <v>0</v>
      </c>
      <c r="L26" s="158">
        <f t="shared" si="5"/>
        <v>0</v>
      </c>
      <c r="M26" s="160">
        <f t="shared" si="2"/>
        <v>0</v>
      </c>
      <c r="N26" s="158">
        <f t="shared" si="6"/>
        <v>10</v>
      </c>
      <c r="O26" s="160">
        <f t="shared" si="3"/>
        <v>0</v>
      </c>
      <c r="P26" s="140" t="str">
        <f t="shared" si="4"/>
        <v xml:space="preserve">F04 D/S/PCW 20 배관 </v>
      </c>
      <c r="Q26" s="140" t="s">
        <v>853</v>
      </c>
      <c r="R26" s="140" t="s">
        <v>853</v>
      </c>
      <c r="S26" s="140" t="s">
        <v>1931</v>
      </c>
    </row>
    <row r="27" spans="2:19" ht="15" customHeight="1">
      <c r="B27" s="31"/>
      <c r="C27" s="32"/>
      <c r="D27" s="32"/>
      <c r="E27" s="32"/>
      <c r="F27" s="195" t="s">
        <v>1988</v>
      </c>
      <c r="G27" s="140" t="s">
        <v>1970</v>
      </c>
      <c r="H27" s="196" t="s">
        <v>1971</v>
      </c>
      <c r="I27" s="141">
        <v>10</v>
      </c>
      <c r="J27" s="158">
        <v>0</v>
      </c>
      <c r="K27" s="141">
        <v>0</v>
      </c>
      <c r="L27" s="158">
        <f t="shared" si="5"/>
        <v>0</v>
      </c>
      <c r="M27" s="160">
        <f t="shared" si="2"/>
        <v>0</v>
      </c>
      <c r="N27" s="158">
        <f t="shared" si="6"/>
        <v>10</v>
      </c>
      <c r="O27" s="160">
        <f t="shared" si="3"/>
        <v>0</v>
      </c>
      <c r="P27" s="140" t="str">
        <f t="shared" si="4"/>
        <v>F04 D/S/NPW 배관 공사</v>
      </c>
      <c r="Q27" s="140" t="s">
        <v>856</v>
      </c>
      <c r="R27" s="140" t="s">
        <v>856</v>
      </c>
      <c r="S27" s="140" t="s">
        <v>1932</v>
      </c>
    </row>
    <row r="28" spans="2:19" ht="15" customHeight="1">
      <c r="B28" s="31"/>
      <c r="C28" s="32"/>
      <c r="D28" s="32"/>
      <c r="E28" s="32"/>
      <c r="F28" s="195" t="s">
        <v>1977</v>
      </c>
      <c r="G28" s="140" t="s">
        <v>1986</v>
      </c>
      <c r="H28" s="196" t="s">
        <v>1971</v>
      </c>
      <c r="I28" s="141">
        <v>65</v>
      </c>
      <c r="J28" s="158">
        <v>0</v>
      </c>
      <c r="K28" s="141">
        <v>0</v>
      </c>
      <c r="L28" s="158">
        <f t="shared" si="5"/>
        <v>0</v>
      </c>
      <c r="M28" s="160">
        <f t="shared" si="2"/>
        <v>0</v>
      </c>
      <c r="N28" s="158">
        <f t="shared" si="6"/>
        <v>65</v>
      </c>
      <c r="O28" s="160">
        <f t="shared" si="3"/>
        <v>0</v>
      </c>
      <c r="P28" s="140" t="str">
        <f t="shared" si="4"/>
        <v>CUB 1F/RO 배관 공사</v>
      </c>
      <c r="Q28" s="229" t="s">
        <v>1990</v>
      </c>
      <c r="R28" s="229" t="s">
        <v>1990</v>
      </c>
      <c r="S28" s="140" t="s">
        <v>1933</v>
      </c>
    </row>
    <row r="29" spans="2:19" ht="15" customHeight="1">
      <c r="B29" s="31"/>
      <c r="C29" s="32"/>
      <c r="D29" s="32"/>
      <c r="E29" s="32"/>
      <c r="F29" s="195" t="s">
        <v>1978</v>
      </c>
      <c r="G29" s="140" t="s">
        <v>1970</v>
      </c>
      <c r="H29" s="196" t="s">
        <v>1971</v>
      </c>
      <c r="I29" s="141">
        <v>238</v>
      </c>
      <c r="J29" s="158">
        <v>0</v>
      </c>
      <c r="K29" s="141">
        <v>0</v>
      </c>
      <c r="L29" s="158">
        <f t="shared" si="5"/>
        <v>0</v>
      </c>
      <c r="M29" s="160">
        <f t="shared" si="2"/>
        <v>0</v>
      </c>
      <c r="N29" s="158">
        <f t="shared" si="6"/>
        <v>238</v>
      </c>
      <c r="O29" s="160">
        <f t="shared" si="3"/>
        <v>0</v>
      </c>
      <c r="P29" s="140" t="str">
        <f t="shared" si="4"/>
        <v>CUB 4F/NPW 배관 공사</v>
      </c>
      <c r="Q29" s="140" t="s">
        <v>856</v>
      </c>
      <c r="R29" s="140" t="s">
        <v>856</v>
      </c>
      <c r="S29" s="140" t="s">
        <v>1932</v>
      </c>
    </row>
    <row r="30" spans="2:19" ht="15" customHeight="1">
      <c r="B30" s="31"/>
      <c r="C30" s="32"/>
      <c r="D30" s="32"/>
      <c r="E30" s="32"/>
      <c r="F30" s="195" t="s">
        <v>1979</v>
      </c>
      <c r="G30" s="140" t="s">
        <v>1981</v>
      </c>
      <c r="H30" s="196" t="s">
        <v>1971</v>
      </c>
      <c r="I30" s="141">
        <v>2660</v>
      </c>
      <c r="J30" s="158">
        <v>100</v>
      </c>
      <c r="K30" s="141">
        <v>0</v>
      </c>
      <c r="L30" s="158">
        <f t="shared" si="5"/>
        <v>100</v>
      </c>
      <c r="M30" s="160">
        <f t="shared" si="2"/>
        <v>3.7593984962406013E-2</v>
      </c>
      <c r="N30" s="158">
        <f t="shared" si="6"/>
        <v>2560</v>
      </c>
      <c r="O30" s="160">
        <f t="shared" si="3"/>
        <v>0.96240601503759393</v>
      </c>
      <c r="P30" s="140" t="str">
        <f t="shared" si="4"/>
        <v xml:space="preserve">CUB 7F/PCW 20 배관 </v>
      </c>
      <c r="Q30" s="140" t="s">
        <v>853</v>
      </c>
      <c r="R30" s="140" t="s">
        <v>853</v>
      </c>
      <c r="S30" s="140" t="s">
        <v>1931</v>
      </c>
    </row>
    <row r="31" spans="2:19" ht="15" customHeight="1">
      <c r="B31" s="31"/>
      <c r="C31" s="32"/>
      <c r="D31" s="32"/>
      <c r="E31" s="32"/>
      <c r="F31" s="195" t="s">
        <v>1979</v>
      </c>
      <c r="G31" s="140" t="s">
        <v>1986</v>
      </c>
      <c r="H31" s="196" t="s">
        <v>1971</v>
      </c>
      <c r="I31" s="141">
        <v>206</v>
      </c>
      <c r="J31" s="158">
        <v>0</v>
      </c>
      <c r="K31" s="141">
        <v>0</v>
      </c>
      <c r="L31" s="158">
        <f t="shared" si="5"/>
        <v>0</v>
      </c>
      <c r="M31" s="160">
        <f t="shared" si="2"/>
        <v>0</v>
      </c>
      <c r="N31" s="158">
        <f t="shared" si="6"/>
        <v>206</v>
      </c>
      <c r="O31" s="160">
        <f t="shared" si="3"/>
        <v>0</v>
      </c>
      <c r="P31" s="140" t="str">
        <f t="shared" si="4"/>
        <v>CUB 7F/RO 배관 공사</v>
      </c>
      <c r="Q31" s="229" t="s">
        <v>1990</v>
      </c>
      <c r="R31" s="229" t="s">
        <v>1990</v>
      </c>
      <c r="S31" s="140" t="s">
        <v>1933</v>
      </c>
    </row>
    <row r="32" spans="2:19" ht="15" customHeight="1">
      <c r="B32" s="31"/>
      <c r="C32" s="32"/>
      <c r="D32" s="32"/>
      <c r="E32" s="32"/>
      <c r="F32" s="195" t="s">
        <v>1980</v>
      </c>
      <c r="G32" s="140" t="s">
        <v>1982</v>
      </c>
      <c r="H32" s="196" t="s">
        <v>1971</v>
      </c>
      <c r="I32" s="141">
        <v>360</v>
      </c>
      <c r="J32" s="158">
        <v>0</v>
      </c>
      <c r="K32" s="141">
        <v>0</v>
      </c>
      <c r="L32" s="158">
        <f t="shared" si="5"/>
        <v>0</v>
      </c>
      <c r="M32" s="160">
        <f t="shared" si="2"/>
        <v>0</v>
      </c>
      <c r="N32" s="158">
        <f t="shared" si="6"/>
        <v>360</v>
      </c>
      <c r="O32" s="160">
        <f t="shared" si="3"/>
        <v>0</v>
      </c>
      <c r="P32" s="140" t="str">
        <f t="shared" si="4"/>
        <v>CUB 8F/PCW 20(SCR</v>
      </c>
      <c r="Q32" s="140" t="s">
        <v>853</v>
      </c>
      <c r="R32" s="140" t="s">
        <v>853</v>
      </c>
      <c r="S32" s="140" t="s">
        <v>1931</v>
      </c>
    </row>
    <row r="33" spans="2:19" ht="15" customHeight="1">
      <c r="B33" s="31"/>
      <c r="C33" s="32"/>
      <c r="D33" s="32"/>
      <c r="E33" s="32"/>
      <c r="F33" s="195" t="s">
        <v>1980</v>
      </c>
      <c r="G33" s="140" t="s">
        <v>1986</v>
      </c>
      <c r="H33" s="196" t="s">
        <v>1971</v>
      </c>
      <c r="I33" s="141">
        <v>107</v>
      </c>
      <c r="J33" s="158">
        <v>0</v>
      </c>
      <c r="K33" s="141">
        <v>0</v>
      </c>
      <c r="L33" s="158">
        <f t="shared" si="5"/>
        <v>0</v>
      </c>
      <c r="M33" s="160">
        <f t="shared" si="2"/>
        <v>0</v>
      </c>
      <c r="N33" s="158">
        <f t="shared" si="6"/>
        <v>107</v>
      </c>
      <c r="O33" s="160">
        <f t="shared" si="3"/>
        <v>0</v>
      </c>
      <c r="P33" s="140" t="str">
        <f t="shared" si="4"/>
        <v>CUB 8F/RO 배관 공사</v>
      </c>
      <c r="Q33" s="229" t="s">
        <v>1990</v>
      </c>
      <c r="R33" s="229" t="s">
        <v>1990</v>
      </c>
      <c r="S33" s="140" t="s">
        <v>1933</v>
      </c>
    </row>
    <row r="34" spans="2:19" ht="15" customHeight="1">
      <c r="B34" s="31"/>
      <c r="C34" s="32"/>
      <c r="D34" s="32"/>
      <c r="E34" s="32"/>
      <c r="F34" s="195" t="s">
        <v>1989</v>
      </c>
      <c r="G34" s="140" t="s">
        <v>1981</v>
      </c>
      <c r="H34" s="196" t="s">
        <v>1971</v>
      </c>
      <c r="I34" s="141">
        <v>20</v>
      </c>
      <c r="J34" s="158">
        <v>0</v>
      </c>
      <c r="K34" s="141">
        <v>0</v>
      </c>
      <c r="L34" s="158">
        <f t="shared" si="5"/>
        <v>0</v>
      </c>
      <c r="M34" s="160">
        <f t="shared" si="2"/>
        <v>0</v>
      </c>
      <c r="N34" s="158">
        <f t="shared" si="6"/>
        <v>20</v>
      </c>
      <c r="O34" s="160">
        <f t="shared" si="3"/>
        <v>0</v>
      </c>
      <c r="P34" s="140" t="str">
        <f t="shared" si="4"/>
        <v xml:space="preserve">CUB D/S/PCW 20 배관 </v>
      </c>
      <c r="Q34" s="140" t="s">
        <v>853</v>
      </c>
      <c r="R34" s="140" t="s">
        <v>853</v>
      </c>
      <c r="S34" s="140" t="s">
        <v>1931</v>
      </c>
    </row>
    <row r="35" spans="2:19" ht="15" customHeight="1">
      <c r="B35" s="31"/>
      <c r="C35" s="32"/>
      <c r="D35" s="32"/>
      <c r="E35" s="32"/>
      <c r="F35" s="195" t="s">
        <v>1989</v>
      </c>
      <c r="G35" s="140" t="s">
        <v>1982</v>
      </c>
      <c r="H35" s="196" t="s">
        <v>1971</v>
      </c>
      <c r="I35" s="141">
        <v>203</v>
      </c>
      <c r="J35" s="158">
        <v>0</v>
      </c>
      <c r="K35" s="141">
        <v>0</v>
      </c>
      <c r="L35" s="158">
        <f t="shared" si="5"/>
        <v>0</v>
      </c>
      <c r="M35" s="160">
        <f t="shared" si="2"/>
        <v>0</v>
      </c>
      <c r="N35" s="158">
        <f t="shared" si="6"/>
        <v>203</v>
      </c>
      <c r="O35" s="160">
        <f t="shared" si="3"/>
        <v>0</v>
      </c>
      <c r="P35" s="140" t="str">
        <f t="shared" si="4"/>
        <v>CUB D/S/PCW 20(SCR</v>
      </c>
      <c r="Q35" s="140" t="s">
        <v>853</v>
      </c>
      <c r="R35" s="140" t="s">
        <v>853</v>
      </c>
      <c r="S35" s="140" t="s">
        <v>1931</v>
      </c>
    </row>
    <row r="36" spans="2:19" ht="15" customHeight="1">
      <c r="B36" s="31"/>
      <c r="C36" s="32"/>
      <c r="D36" s="32"/>
      <c r="E36" s="32"/>
      <c r="F36" s="195" t="s">
        <v>1989</v>
      </c>
      <c r="G36" s="140" t="s">
        <v>1970</v>
      </c>
      <c r="H36" s="196" t="s">
        <v>1971</v>
      </c>
      <c r="I36" s="141">
        <v>152</v>
      </c>
      <c r="J36" s="158">
        <v>15</v>
      </c>
      <c r="K36" s="141">
        <v>0</v>
      </c>
      <c r="L36" s="158">
        <f t="shared" si="5"/>
        <v>15</v>
      </c>
      <c r="M36" s="160">
        <f t="shared" si="2"/>
        <v>9.8684210526315791E-2</v>
      </c>
      <c r="N36" s="158">
        <f t="shared" si="6"/>
        <v>137</v>
      </c>
      <c r="O36" s="160">
        <f t="shared" si="3"/>
        <v>0.90131578947368418</v>
      </c>
      <c r="P36" s="140" t="str">
        <f t="shared" si="4"/>
        <v>CUB D/S/NPW 배관 공사</v>
      </c>
      <c r="Q36" s="140" t="s">
        <v>856</v>
      </c>
      <c r="R36" s="140" t="s">
        <v>856</v>
      </c>
      <c r="S36" s="140" t="s">
        <v>1932</v>
      </c>
    </row>
    <row r="37" spans="2:19" ht="15" customHeight="1">
      <c r="B37" s="31"/>
      <c r="C37" s="32"/>
      <c r="D37" s="32"/>
      <c r="E37" s="32"/>
      <c r="F37" s="195" t="s">
        <v>1989</v>
      </c>
      <c r="G37" s="140" t="s">
        <v>1986</v>
      </c>
      <c r="H37" s="196" t="s">
        <v>1971</v>
      </c>
      <c r="I37" s="141">
        <v>60</v>
      </c>
      <c r="J37" s="158">
        <v>15</v>
      </c>
      <c r="K37" s="141">
        <v>0</v>
      </c>
      <c r="L37" s="158">
        <f t="shared" si="5"/>
        <v>15</v>
      </c>
      <c r="M37" s="160">
        <f t="shared" si="2"/>
        <v>0.25</v>
      </c>
      <c r="N37" s="158">
        <f t="shared" si="6"/>
        <v>45</v>
      </c>
      <c r="O37" s="160">
        <f t="shared" si="3"/>
        <v>0.75</v>
      </c>
      <c r="P37" s="140" t="str">
        <f t="shared" si="4"/>
        <v>CUB D/S/RO 배관 공사</v>
      </c>
      <c r="Q37" s="229" t="s">
        <v>1990</v>
      </c>
      <c r="R37" s="229" t="s">
        <v>1990</v>
      </c>
      <c r="S37" s="140" t="s">
        <v>1933</v>
      </c>
    </row>
    <row r="38" spans="2:19" ht="15" customHeight="1">
      <c r="B38" s="31"/>
      <c r="C38" s="32"/>
      <c r="D38" s="32"/>
      <c r="E38" s="32"/>
      <c r="F38" s="195"/>
      <c r="G38" s="140"/>
      <c r="H38" s="140"/>
      <c r="I38" s="141"/>
      <c r="J38" s="158">
        <v>0</v>
      </c>
      <c r="K38" s="141">
        <v>0</v>
      </c>
      <c r="L38" s="158">
        <f t="shared" si="5"/>
        <v>0</v>
      </c>
      <c r="M38" s="160">
        <f t="shared" si="2"/>
        <v>0</v>
      </c>
      <c r="N38" s="158">
        <f t="shared" si="6"/>
        <v>0</v>
      </c>
      <c r="O38" s="160">
        <f t="shared" si="3"/>
        <v>0</v>
      </c>
      <c r="P38" s="228"/>
      <c r="Q38" s="229"/>
      <c r="R38" s="229"/>
      <c r="S38" s="229"/>
    </row>
    <row r="39" spans="2:19" ht="15" customHeight="1">
      <c r="B39" s="31"/>
      <c r="C39" s="32"/>
      <c r="D39" s="32"/>
      <c r="E39" s="32"/>
      <c r="F39" s="195"/>
      <c r="G39" s="140"/>
      <c r="H39" s="140"/>
      <c r="I39" s="141"/>
      <c r="J39" s="158">
        <v>0</v>
      </c>
      <c r="K39" s="141">
        <v>0</v>
      </c>
      <c r="L39" s="158">
        <f t="shared" si="5"/>
        <v>0</v>
      </c>
      <c r="M39" s="160">
        <f t="shared" si="2"/>
        <v>0</v>
      </c>
      <c r="N39" s="158">
        <f t="shared" si="6"/>
        <v>0</v>
      </c>
      <c r="O39" s="160">
        <f t="shared" si="3"/>
        <v>0</v>
      </c>
      <c r="P39" s="228"/>
      <c r="Q39" s="229"/>
      <c r="R39" s="229"/>
      <c r="S39" s="229"/>
    </row>
    <row r="40" spans="2:19" ht="15" customHeight="1">
      <c r="B40" s="31"/>
      <c r="C40" s="32"/>
      <c r="D40" s="32"/>
      <c r="E40" s="32"/>
      <c r="F40" s="195"/>
      <c r="G40" s="140"/>
      <c r="H40" s="140"/>
      <c r="I40" s="141"/>
      <c r="J40" s="158"/>
      <c r="K40" s="141">
        <v>0</v>
      </c>
      <c r="L40" s="158">
        <f t="shared" si="5"/>
        <v>0</v>
      </c>
      <c r="M40" s="160">
        <f t="shared" si="2"/>
        <v>0</v>
      </c>
      <c r="N40" s="158">
        <f t="shared" si="6"/>
        <v>0</v>
      </c>
      <c r="O40" s="160">
        <f t="shared" si="3"/>
        <v>0</v>
      </c>
      <c r="P40" s="228"/>
      <c r="Q40" s="229"/>
      <c r="R40" s="229"/>
      <c r="S40" s="229"/>
    </row>
    <row r="41" spans="2:19" ht="15" customHeight="1">
      <c r="B41" s="31"/>
      <c r="C41" s="32"/>
      <c r="D41" s="32"/>
      <c r="E41" s="32"/>
      <c r="F41" s="195"/>
      <c r="G41" s="140"/>
      <c r="H41" s="140"/>
      <c r="I41" s="141"/>
      <c r="J41" s="158"/>
      <c r="K41" s="141">
        <v>0</v>
      </c>
      <c r="L41" s="158">
        <f t="shared" si="5"/>
        <v>0</v>
      </c>
      <c r="M41" s="160">
        <f t="shared" si="2"/>
        <v>0</v>
      </c>
      <c r="N41" s="158">
        <f t="shared" si="6"/>
        <v>0</v>
      </c>
      <c r="O41" s="160">
        <f t="shared" si="3"/>
        <v>0</v>
      </c>
      <c r="P41" s="228"/>
      <c r="Q41" s="229"/>
      <c r="R41" s="229"/>
      <c r="S41" s="229"/>
    </row>
    <row r="42" spans="2:19" ht="15" customHeight="1">
      <c r="B42" s="31"/>
      <c r="C42" s="32"/>
      <c r="D42" s="32"/>
      <c r="E42" s="32"/>
      <c r="F42" s="195"/>
      <c r="G42" s="140"/>
      <c r="H42" s="140"/>
      <c r="I42" s="141"/>
      <c r="J42" s="158">
        <v>0</v>
      </c>
      <c r="K42" s="141">
        <v>0</v>
      </c>
      <c r="L42" s="158">
        <f t="shared" si="5"/>
        <v>0</v>
      </c>
      <c r="M42" s="160">
        <f t="shared" si="2"/>
        <v>0</v>
      </c>
      <c r="N42" s="158">
        <f t="shared" si="6"/>
        <v>0</v>
      </c>
      <c r="O42" s="160">
        <f t="shared" si="3"/>
        <v>0</v>
      </c>
      <c r="P42" s="228"/>
      <c r="Q42" s="229"/>
      <c r="R42" s="229"/>
      <c r="S42" s="229"/>
    </row>
    <row r="43" spans="2:19" ht="15" customHeight="1">
      <c r="B43" s="31"/>
      <c r="C43" s="32"/>
      <c r="D43" s="32"/>
      <c r="E43" s="32"/>
      <c r="F43" s="195"/>
      <c r="G43" s="140"/>
      <c r="H43" s="140"/>
      <c r="I43" s="141"/>
      <c r="J43" s="158">
        <v>0</v>
      </c>
      <c r="K43" s="141">
        <v>0</v>
      </c>
      <c r="L43" s="158">
        <f t="shared" si="5"/>
        <v>0</v>
      </c>
      <c r="M43" s="160">
        <f t="shared" si="2"/>
        <v>0</v>
      </c>
      <c r="N43" s="158">
        <f t="shared" si="6"/>
        <v>0</v>
      </c>
      <c r="O43" s="160">
        <f t="shared" si="3"/>
        <v>0</v>
      </c>
      <c r="P43" s="228"/>
      <c r="Q43" s="229"/>
      <c r="R43" s="229"/>
      <c r="S43" s="229"/>
    </row>
    <row r="44" spans="2:19" ht="15" customHeight="1">
      <c r="B44" s="31"/>
      <c r="C44" s="32"/>
      <c r="D44" s="32"/>
      <c r="E44" s="32"/>
      <c r="F44" s="195"/>
      <c r="G44" s="140"/>
      <c r="H44" s="140"/>
      <c r="I44" s="141"/>
      <c r="J44" s="158">
        <v>0</v>
      </c>
      <c r="K44" s="141">
        <v>0</v>
      </c>
      <c r="L44" s="158">
        <f t="shared" si="5"/>
        <v>0</v>
      </c>
      <c r="M44" s="160">
        <f t="shared" si="2"/>
        <v>0</v>
      </c>
      <c r="N44" s="158">
        <f t="shared" si="6"/>
        <v>0</v>
      </c>
      <c r="O44" s="160">
        <f t="shared" si="3"/>
        <v>0</v>
      </c>
      <c r="P44" s="228"/>
      <c r="Q44" s="229"/>
      <c r="R44" s="229"/>
      <c r="S44" s="229"/>
    </row>
    <row r="45" spans="2:19" ht="15" customHeight="1">
      <c r="B45" s="31"/>
      <c r="C45" s="32"/>
      <c r="D45" s="32"/>
      <c r="E45" s="32"/>
      <c r="F45" s="195"/>
      <c r="G45" s="140"/>
      <c r="H45" s="140"/>
      <c r="I45" s="141"/>
      <c r="J45" s="158">
        <v>0</v>
      </c>
      <c r="K45" s="141">
        <v>0</v>
      </c>
      <c r="L45" s="158">
        <f t="shared" si="5"/>
        <v>0</v>
      </c>
      <c r="M45" s="160">
        <f t="shared" si="2"/>
        <v>0</v>
      </c>
      <c r="N45" s="158">
        <f t="shared" si="6"/>
        <v>0</v>
      </c>
      <c r="O45" s="160">
        <f t="shared" si="3"/>
        <v>0</v>
      </c>
      <c r="P45" s="228"/>
      <c r="Q45" s="229"/>
      <c r="R45" s="229"/>
      <c r="S45" s="229"/>
    </row>
    <row r="46" spans="2:19" ht="15" customHeight="1">
      <c r="B46" s="31"/>
      <c r="C46" s="32"/>
      <c r="D46" s="32"/>
      <c r="E46" s="32"/>
      <c r="F46" s="195"/>
      <c r="G46" s="140"/>
      <c r="H46" s="140"/>
      <c r="I46" s="141"/>
      <c r="J46" s="158">
        <v>0</v>
      </c>
      <c r="K46" s="141">
        <v>0</v>
      </c>
      <c r="L46" s="158">
        <f t="shared" si="5"/>
        <v>0</v>
      </c>
      <c r="M46" s="160">
        <f t="shared" si="2"/>
        <v>0</v>
      </c>
      <c r="N46" s="158">
        <f t="shared" si="6"/>
        <v>0</v>
      </c>
      <c r="O46" s="160">
        <f t="shared" si="3"/>
        <v>0</v>
      </c>
      <c r="P46" s="228"/>
      <c r="Q46" s="229"/>
      <c r="R46" s="229"/>
      <c r="S46" s="229"/>
    </row>
    <row r="47" spans="2:19" ht="15" customHeight="1">
      <c r="B47" s="31"/>
      <c r="C47" s="32"/>
      <c r="D47" s="32"/>
      <c r="E47" s="32"/>
      <c r="F47" s="195"/>
      <c r="G47" s="140"/>
      <c r="H47" s="140"/>
      <c r="I47" s="141"/>
      <c r="J47" s="158">
        <v>0</v>
      </c>
      <c r="K47" s="141">
        <v>0</v>
      </c>
      <c r="L47" s="158">
        <f t="shared" si="5"/>
        <v>0</v>
      </c>
      <c r="M47" s="160">
        <f t="shared" si="2"/>
        <v>0</v>
      </c>
      <c r="N47" s="158">
        <f t="shared" si="6"/>
        <v>0</v>
      </c>
      <c r="O47" s="160">
        <f t="shared" si="3"/>
        <v>0</v>
      </c>
      <c r="P47" s="228"/>
      <c r="Q47" s="229"/>
      <c r="R47" s="229"/>
      <c r="S47" s="229"/>
    </row>
    <row r="48" spans="2:19" ht="15" customHeight="1">
      <c r="B48" s="31"/>
      <c r="C48" s="32"/>
      <c r="D48" s="32"/>
      <c r="E48" s="32"/>
      <c r="F48" s="195"/>
      <c r="G48" s="140"/>
      <c r="H48" s="140"/>
      <c r="I48" s="141"/>
      <c r="J48" s="158">
        <v>0</v>
      </c>
      <c r="K48" s="141">
        <v>0</v>
      </c>
      <c r="L48" s="158">
        <f t="shared" si="5"/>
        <v>0</v>
      </c>
      <c r="M48" s="160">
        <f t="shared" si="2"/>
        <v>0</v>
      </c>
      <c r="N48" s="158">
        <f t="shared" si="6"/>
        <v>0</v>
      </c>
      <c r="O48" s="160">
        <f t="shared" si="3"/>
        <v>0</v>
      </c>
      <c r="P48" s="228"/>
      <c r="Q48" s="229"/>
      <c r="R48" s="229"/>
      <c r="S48" s="229"/>
    </row>
    <row r="49" spans="2:19" ht="15" customHeight="1">
      <c r="B49" s="31"/>
      <c r="C49" s="32"/>
      <c r="D49" s="32"/>
      <c r="E49" s="32"/>
      <c r="F49" s="195"/>
      <c r="G49" s="140"/>
      <c r="H49" s="140"/>
      <c r="I49" s="141"/>
      <c r="J49" s="158">
        <v>0</v>
      </c>
      <c r="K49" s="141">
        <v>0</v>
      </c>
      <c r="L49" s="158">
        <f t="shared" si="5"/>
        <v>0</v>
      </c>
      <c r="M49" s="160">
        <f t="shared" si="2"/>
        <v>0</v>
      </c>
      <c r="N49" s="158">
        <f t="shared" si="6"/>
        <v>0</v>
      </c>
      <c r="O49" s="160">
        <f t="shared" si="3"/>
        <v>0</v>
      </c>
      <c r="P49" s="228"/>
      <c r="Q49" s="229"/>
      <c r="R49" s="229"/>
      <c r="S49" s="229"/>
    </row>
    <row r="50" spans="2:19" ht="15" customHeight="1">
      <c r="B50" s="31"/>
      <c r="C50" s="32"/>
      <c r="D50" s="32"/>
      <c r="E50" s="32"/>
      <c r="F50" s="195"/>
      <c r="G50" s="140"/>
      <c r="H50" s="140"/>
      <c r="I50" s="141"/>
      <c r="J50" s="158">
        <v>0</v>
      </c>
      <c r="K50" s="141">
        <v>0</v>
      </c>
      <c r="L50" s="158">
        <f t="shared" si="5"/>
        <v>0</v>
      </c>
      <c r="M50" s="160">
        <f t="shared" si="2"/>
        <v>0</v>
      </c>
      <c r="N50" s="158">
        <f t="shared" si="6"/>
        <v>0</v>
      </c>
      <c r="O50" s="160">
        <f t="shared" si="3"/>
        <v>0</v>
      </c>
      <c r="P50" s="228"/>
      <c r="Q50" s="229"/>
      <c r="R50" s="229"/>
      <c r="S50" s="229"/>
    </row>
    <row r="51" spans="2:19" ht="15" customHeight="1">
      <c r="B51" s="31"/>
      <c r="C51" s="32"/>
      <c r="D51" s="32"/>
      <c r="E51" s="32"/>
      <c r="F51" s="195"/>
      <c r="G51" s="140"/>
      <c r="H51" s="140"/>
      <c r="I51" s="141"/>
      <c r="J51" s="158"/>
      <c r="K51" s="141">
        <v>0</v>
      </c>
      <c r="L51" s="158">
        <f t="shared" si="5"/>
        <v>0</v>
      </c>
      <c r="M51" s="160">
        <f t="shared" si="2"/>
        <v>0</v>
      </c>
      <c r="N51" s="158">
        <f t="shared" si="6"/>
        <v>0</v>
      </c>
      <c r="O51" s="160">
        <f t="shared" si="3"/>
        <v>0</v>
      </c>
      <c r="P51" s="228"/>
      <c r="Q51" s="229"/>
      <c r="R51" s="229"/>
      <c r="S51" s="229"/>
    </row>
    <row r="52" spans="2:19" ht="15" customHeight="1">
      <c r="B52" s="31"/>
      <c r="C52" s="32"/>
      <c r="D52" s="32"/>
      <c r="E52" s="32"/>
      <c r="F52" s="195"/>
      <c r="G52" s="140"/>
      <c r="H52" s="140"/>
      <c r="I52" s="141"/>
      <c r="J52" s="158"/>
      <c r="K52" s="141">
        <v>0</v>
      </c>
      <c r="L52" s="158">
        <f t="shared" si="5"/>
        <v>0</v>
      </c>
      <c r="M52" s="160">
        <f t="shared" si="2"/>
        <v>0</v>
      </c>
      <c r="N52" s="158">
        <f t="shared" si="6"/>
        <v>0</v>
      </c>
      <c r="O52" s="160">
        <f t="shared" si="3"/>
        <v>0</v>
      </c>
      <c r="P52" s="228"/>
      <c r="Q52" s="229"/>
      <c r="R52" s="229"/>
      <c r="S52" s="229"/>
    </row>
    <row r="53" spans="2:19" ht="15" customHeight="1">
      <c r="B53" s="31"/>
      <c r="C53" s="32"/>
      <c r="D53" s="32"/>
      <c r="E53" s="32"/>
      <c r="F53" s="140"/>
      <c r="G53" s="140"/>
      <c r="H53" s="140"/>
      <c r="I53" s="141"/>
      <c r="J53" s="158">
        <v>0</v>
      </c>
      <c r="K53" s="141">
        <v>0</v>
      </c>
      <c r="L53" s="158">
        <f t="shared" si="5"/>
        <v>0</v>
      </c>
      <c r="M53" s="160">
        <f t="shared" si="2"/>
        <v>0</v>
      </c>
      <c r="N53" s="158">
        <f t="shared" si="6"/>
        <v>0</v>
      </c>
      <c r="O53" s="160">
        <f t="shared" si="3"/>
        <v>0</v>
      </c>
      <c r="P53" s="228"/>
      <c r="Q53" s="229"/>
      <c r="R53" s="229"/>
      <c r="S53" s="229"/>
    </row>
    <row r="54" spans="2:19" ht="15" customHeight="1">
      <c r="B54" s="31"/>
      <c r="C54" s="32"/>
      <c r="D54" s="32"/>
      <c r="E54" s="32"/>
      <c r="F54" s="140"/>
      <c r="G54" s="140"/>
      <c r="H54" s="140"/>
      <c r="I54" s="141">
        <v>0</v>
      </c>
      <c r="J54" s="158">
        <v>0</v>
      </c>
      <c r="K54" s="141">
        <v>0</v>
      </c>
      <c r="L54" s="158">
        <f t="shared" si="5"/>
        <v>0</v>
      </c>
      <c r="M54" s="160">
        <f t="shared" si="2"/>
        <v>0</v>
      </c>
      <c r="N54" s="158">
        <f t="shared" si="6"/>
        <v>0</v>
      </c>
      <c r="O54" s="160">
        <f t="shared" si="3"/>
        <v>0</v>
      </c>
      <c r="P54" s="228"/>
      <c r="Q54" s="229"/>
      <c r="R54" s="229"/>
      <c r="S54" s="229"/>
    </row>
    <row r="55" spans="2:19" ht="15" customHeight="1">
      <c r="B55" s="31"/>
      <c r="C55" s="32"/>
      <c r="D55" s="32"/>
      <c r="E55" s="32"/>
      <c r="F55" s="140"/>
      <c r="G55" s="140"/>
      <c r="H55" s="140"/>
      <c r="I55" s="141">
        <v>0</v>
      </c>
      <c r="J55" s="158">
        <v>0</v>
      </c>
      <c r="K55" s="141">
        <v>0</v>
      </c>
      <c r="L55" s="158">
        <f t="shared" si="5"/>
        <v>0</v>
      </c>
      <c r="M55" s="160">
        <f t="shared" si="2"/>
        <v>0</v>
      </c>
      <c r="N55" s="158">
        <f t="shared" si="6"/>
        <v>0</v>
      </c>
      <c r="O55" s="160">
        <f t="shared" si="3"/>
        <v>0</v>
      </c>
      <c r="P55" s="228"/>
      <c r="Q55" s="229"/>
      <c r="R55" s="229"/>
      <c r="S55" s="229"/>
    </row>
    <row r="56" spans="2:19" ht="15" customHeight="1">
      <c r="B56" s="31"/>
      <c r="C56" s="32"/>
      <c r="D56" s="32"/>
      <c r="E56" s="32"/>
      <c r="F56" s="140"/>
      <c r="G56" s="140"/>
      <c r="H56" s="140"/>
      <c r="I56" s="141">
        <v>0</v>
      </c>
      <c r="J56" s="158">
        <v>0</v>
      </c>
      <c r="K56" s="141">
        <v>0</v>
      </c>
      <c r="L56" s="158">
        <f t="shared" si="5"/>
        <v>0</v>
      </c>
      <c r="M56" s="160">
        <f t="shared" si="2"/>
        <v>0</v>
      </c>
      <c r="N56" s="158">
        <f t="shared" si="6"/>
        <v>0</v>
      </c>
      <c r="O56" s="160">
        <f t="shared" si="3"/>
        <v>0</v>
      </c>
      <c r="P56" s="228"/>
      <c r="Q56" s="229"/>
      <c r="R56" s="229"/>
      <c r="S56" s="229"/>
    </row>
    <row r="57" spans="2:19" ht="15" customHeight="1">
      <c r="B57" s="31"/>
      <c r="C57" s="32"/>
      <c r="D57" s="32"/>
      <c r="E57" s="32"/>
      <c r="F57" s="140"/>
      <c r="G57" s="140"/>
      <c r="H57" s="140"/>
      <c r="I57" s="141">
        <v>0</v>
      </c>
      <c r="J57" s="158">
        <v>0</v>
      </c>
      <c r="K57" s="141">
        <v>0</v>
      </c>
      <c r="L57" s="158">
        <f t="shared" si="5"/>
        <v>0</v>
      </c>
      <c r="M57" s="160">
        <f t="shared" si="2"/>
        <v>0</v>
      </c>
      <c r="N57" s="158">
        <f t="shared" si="6"/>
        <v>0</v>
      </c>
      <c r="O57" s="160">
        <f t="shared" si="3"/>
        <v>0</v>
      </c>
      <c r="P57" s="228"/>
      <c r="Q57" s="229"/>
      <c r="R57" s="229"/>
      <c r="S57" s="229"/>
    </row>
    <row r="58" spans="2:19" ht="15" customHeight="1">
      <c r="B58" s="31"/>
      <c r="C58" s="32"/>
      <c r="D58" s="32"/>
      <c r="E58" s="32"/>
      <c r="F58" s="140"/>
      <c r="G58" s="140"/>
      <c r="H58" s="140"/>
      <c r="I58" s="141">
        <v>0</v>
      </c>
      <c r="J58" s="158">
        <v>0</v>
      </c>
      <c r="K58" s="141">
        <v>0</v>
      </c>
      <c r="L58" s="158">
        <f t="shared" si="5"/>
        <v>0</v>
      </c>
      <c r="M58" s="160">
        <f t="shared" si="2"/>
        <v>0</v>
      </c>
      <c r="N58" s="158">
        <f t="shared" si="6"/>
        <v>0</v>
      </c>
      <c r="O58" s="160">
        <f t="shared" si="3"/>
        <v>0</v>
      </c>
      <c r="P58" s="228"/>
      <c r="Q58" s="229"/>
      <c r="R58" s="229"/>
      <c r="S58" s="229"/>
    </row>
    <row r="59" spans="2:19" ht="15" customHeight="1">
      <c r="B59" s="31"/>
      <c r="C59" s="32"/>
      <c r="D59" s="32"/>
      <c r="E59" s="32"/>
      <c r="F59" s="140"/>
      <c r="G59" s="140"/>
      <c r="H59" s="140"/>
      <c r="I59" s="141">
        <v>0</v>
      </c>
      <c r="J59" s="158">
        <v>0</v>
      </c>
      <c r="K59" s="141">
        <v>0</v>
      </c>
      <c r="L59" s="158">
        <f t="shared" si="5"/>
        <v>0</v>
      </c>
      <c r="M59" s="160">
        <f t="shared" si="2"/>
        <v>0</v>
      </c>
      <c r="N59" s="158">
        <f t="shared" si="6"/>
        <v>0</v>
      </c>
      <c r="O59" s="160">
        <f t="shared" si="3"/>
        <v>0</v>
      </c>
      <c r="P59" s="228"/>
      <c r="Q59" s="229"/>
      <c r="R59" s="229"/>
      <c r="S59" s="229"/>
    </row>
    <row r="60" spans="2:19" ht="15" customHeight="1">
      <c r="B60" s="31"/>
      <c r="C60" s="32"/>
      <c r="D60" s="32"/>
      <c r="E60" s="32"/>
      <c r="F60" s="140"/>
      <c r="G60" s="140"/>
      <c r="H60" s="140"/>
      <c r="I60" s="141">
        <v>0</v>
      </c>
      <c r="J60" s="158">
        <v>0</v>
      </c>
      <c r="K60" s="141">
        <v>0</v>
      </c>
      <c r="L60" s="158">
        <f t="shared" si="5"/>
        <v>0</v>
      </c>
      <c r="M60" s="160">
        <f t="shared" si="2"/>
        <v>0</v>
      </c>
      <c r="N60" s="158">
        <f t="shared" si="6"/>
        <v>0</v>
      </c>
      <c r="O60" s="160">
        <f t="shared" si="3"/>
        <v>0</v>
      </c>
      <c r="P60" s="228"/>
      <c r="Q60" s="229"/>
      <c r="R60" s="229"/>
      <c r="S60" s="229"/>
    </row>
    <row r="61" spans="2:19" ht="15" customHeight="1">
      <c r="B61" s="31"/>
      <c r="C61" s="32"/>
      <c r="D61" s="32"/>
      <c r="E61" s="32"/>
      <c r="F61" s="140"/>
      <c r="G61" s="140"/>
      <c r="H61" s="140"/>
      <c r="I61" s="141">
        <v>0</v>
      </c>
      <c r="J61" s="158">
        <v>0</v>
      </c>
      <c r="K61" s="141">
        <v>0</v>
      </c>
      <c r="L61" s="158">
        <f t="shared" si="5"/>
        <v>0</v>
      </c>
      <c r="M61" s="160">
        <f t="shared" si="2"/>
        <v>0</v>
      </c>
      <c r="N61" s="158">
        <f t="shared" si="6"/>
        <v>0</v>
      </c>
      <c r="O61" s="160">
        <f t="shared" si="3"/>
        <v>0</v>
      </c>
      <c r="P61" s="228"/>
      <c r="Q61" s="229"/>
      <c r="R61" s="229"/>
      <c r="S61" s="229"/>
    </row>
    <row r="62" spans="2:19" ht="15" customHeight="1">
      <c r="B62" s="31"/>
      <c r="C62" s="32"/>
      <c r="D62" s="32"/>
      <c r="E62" s="32"/>
      <c r="F62" s="140"/>
      <c r="G62" s="140"/>
      <c r="H62" s="140"/>
      <c r="I62" s="141">
        <v>0</v>
      </c>
      <c r="J62" s="158">
        <v>0</v>
      </c>
      <c r="K62" s="141">
        <v>0</v>
      </c>
      <c r="L62" s="158">
        <f t="shared" si="5"/>
        <v>0</v>
      </c>
      <c r="M62" s="160">
        <f t="shared" si="2"/>
        <v>0</v>
      </c>
      <c r="N62" s="158">
        <f t="shared" si="6"/>
        <v>0</v>
      </c>
      <c r="O62" s="160">
        <f t="shared" si="3"/>
        <v>0</v>
      </c>
      <c r="P62" s="228"/>
      <c r="Q62" s="229"/>
      <c r="R62" s="229"/>
      <c r="S62" s="229"/>
    </row>
    <row r="63" spans="2:19" ht="15" customHeight="1">
      <c r="B63" s="31"/>
      <c r="C63" s="32"/>
      <c r="D63" s="32"/>
      <c r="E63" s="32"/>
      <c r="F63" s="140"/>
      <c r="G63" s="140"/>
      <c r="H63" s="140"/>
      <c r="I63" s="141">
        <v>0</v>
      </c>
      <c r="J63" s="158">
        <v>0</v>
      </c>
      <c r="K63" s="141">
        <v>0</v>
      </c>
      <c r="L63" s="158">
        <f t="shared" si="5"/>
        <v>0</v>
      </c>
      <c r="M63" s="160">
        <f t="shared" si="2"/>
        <v>0</v>
      </c>
      <c r="N63" s="158">
        <f t="shared" si="6"/>
        <v>0</v>
      </c>
      <c r="O63" s="160">
        <f t="shared" si="3"/>
        <v>0</v>
      </c>
      <c r="P63" s="228"/>
      <c r="Q63" s="229"/>
      <c r="R63" s="229"/>
      <c r="S63" s="229"/>
    </row>
    <row r="64" spans="2:19" ht="15" customHeight="1">
      <c r="B64" s="31"/>
      <c r="C64" s="32"/>
      <c r="D64" s="32"/>
      <c r="E64" s="32"/>
      <c r="F64" s="140"/>
      <c r="G64" s="140"/>
      <c r="H64" s="140"/>
      <c r="I64" s="141">
        <v>0</v>
      </c>
      <c r="J64" s="158">
        <v>0</v>
      </c>
      <c r="K64" s="141">
        <v>0</v>
      </c>
      <c r="L64" s="158">
        <f t="shared" si="5"/>
        <v>0</v>
      </c>
      <c r="M64" s="160">
        <f t="shared" si="2"/>
        <v>0</v>
      </c>
      <c r="N64" s="158">
        <f t="shared" si="6"/>
        <v>0</v>
      </c>
      <c r="O64" s="160">
        <f t="shared" si="3"/>
        <v>0</v>
      </c>
      <c r="P64" s="228"/>
      <c r="Q64" s="229"/>
      <c r="R64" s="229"/>
      <c r="S64" s="229"/>
    </row>
    <row r="65" spans="2:19" ht="15" customHeight="1">
      <c r="B65" s="31"/>
      <c r="C65" s="32"/>
      <c r="D65" s="32"/>
      <c r="E65" s="32"/>
      <c r="F65" s="140"/>
      <c r="G65" s="140"/>
      <c r="H65" s="140"/>
      <c r="I65" s="141">
        <v>0</v>
      </c>
      <c r="J65" s="158">
        <v>0</v>
      </c>
      <c r="K65" s="141">
        <v>0</v>
      </c>
      <c r="L65" s="158">
        <f t="shared" si="5"/>
        <v>0</v>
      </c>
      <c r="M65" s="160">
        <f t="shared" si="2"/>
        <v>0</v>
      </c>
      <c r="N65" s="158">
        <f t="shared" si="6"/>
        <v>0</v>
      </c>
      <c r="O65" s="160">
        <f t="shared" si="3"/>
        <v>0</v>
      </c>
      <c r="P65" s="228"/>
      <c r="Q65" s="229"/>
      <c r="R65" s="229"/>
      <c r="S65" s="229"/>
    </row>
    <row r="66" spans="2:19" ht="15" customHeight="1">
      <c r="B66" s="31"/>
      <c r="C66" s="32"/>
      <c r="D66" s="32"/>
      <c r="E66" s="32"/>
      <c r="F66" s="140"/>
      <c r="G66" s="140"/>
      <c r="H66" s="140"/>
      <c r="I66" s="141">
        <v>0</v>
      </c>
      <c r="J66" s="158">
        <v>0</v>
      </c>
      <c r="K66" s="141">
        <v>0</v>
      </c>
      <c r="L66" s="158">
        <f t="shared" si="5"/>
        <v>0</v>
      </c>
      <c r="M66" s="160">
        <f t="shared" si="2"/>
        <v>0</v>
      </c>
      <c r="N66" s="158">
        <f t="shared" si="6"/>
        <v>0</v>
      </c>
      <c r="O66" s="160">
        <f t="shared" si="3"/>
        <v>0</v>
      </c>
      <c r="P66" s="228"/>
      <c r="Q66" s="229"/>
      <c r="R66" s="229"/>
      <c r="S66" s="229"/>
    </row>
    <row r="67" spans="2:19" ht="15" customHeight="1">
      <c r="B67" s="31"/>
      <c r="C67" s="32"/>
      <c r="D67" s="32"/>
      <c r="E67" s="32"/>
      <c r="F67" s="140"/>
      <c r="G67" s="140"/>
      <c r="H67" s="140"/>
      <c r="I67" s="141">
        <v>0</v>
      </c>
      <c r="J67" s="158">
        <v>0</v>
      </c>
      <c r="K67" s="141">
        <v>0</v>
      </c>
      <c r="L67" s="158">
        <f t="shared" si="5"/>
        <v>0</v>
      </c>
      <c r="M67" s="160">
        <f t="shared" si="2"/>
        <v>0</v>
      </c>
      <c r="N67" s="158">
        <f t="shared" si="6"/>
        <v>0</v>
      </c>
      <c r="O67" s="160">
        <f t="shared" si="3"/>
        <v>0</v>
      </c>
      <c r="P67" s="228"/>
      <c r="Q67" s="229"/>
      <c r="R67" s="229"/>
      <c r="S67" s="229"/>
    </row>
    <row r="68" spans="2:19" ht="15" customHeight="1">
      <c r="B68" s="31"/>
      <c r="C68" s="32"/>
      <c r="D68" s="32"/>
      <c r="E68" s="32"/>
      <c r="F68" s="140"/>
      <c r="G68" s="140"/>
      <c r="H68" s="140"/>
      <c r="I68" s="141">
        <v>0</v>
      </c>
      <c r="J68" s="158">
        <v>0</v>
      </c>
      <c r="K68" s="141">
        <v>0</v>
      </c>
      <c r="L68" s="158">
        <f t="shared" si="5"/>
        <v>0</v>
      </c>
      <c r="M68" s="160">
        <f t="shared" si="2"/>
        <v>0</v>
      </c>
      <c r="N68" s="158">
        <f t="shared" si="6"/>
        <v>0</v>
      </c>
      <c r="O68" s="160">
        <f t="shared" si="3"/>
        <v>0</v>
      </c>
      <c r="P68" s="228"/>
      <c r="Q68" s="229"/>
      <c r="R68" s="229"/>
      <c r="S68" s="229"/>
    </row>
    <row r="69" spans="2:19" ht="15" customHeight="1">
      <c r="B69" s="31"/>
      <c r="C69" s="32"/>
      <c r="D69" s="32"/>
      <c r="E69" s="32"/>
      <c r="F69" s="140"/>
      <c r="G69" s="140"/>
      <c r="H69" s="140"/>
      <c r="I69" s="141">
        <v>0</v>
      </c>
      <c r="J69" s="158">
        <v>0</v>
      </c>
      <c r="K69" s="141">
        <v>0</v>
      </c>
      <c r="L69" s="158">
        <f t="shared" si="5"/>
        <v>0</v>
      </c>
      <c r="M69" s="160">
        <f t="shared" si="2"/>
        <v>0</v>
      </c>
      <c r="N69" s="158">
        <f t="shared" si="6"/>
        <v>0</v>
      </c>
      <c r="O69" s="160">
        <f t="shared" si="3"/>
        <v>0</v>
      </c>
      <c r="P69" s="228"/>
      <c r="Q69" s="229"/>
      <c r="R69" s="229"/>
      <c r="S69" s="229"/>
    </row>
    <row r="70" spans="2:19" ht="15" customHeight="1">
      <c r="B70" s="31"/>
      <c r="C70" s="32"/>
      <c r="D70" s="32"/>
      <c r="E70" s="32"/>
      <c r="F70" s="140"/>
      <c r="G70" s="140"/>
      <c r="H70" s="140"/>
      <c r="I70" s="141">
        <v>0</v>
      </c>
      <c r="J70" s="158">
        <v>0</v>
      </c>
      <c r="K70" s="141">
        <v>0</v>
      </c>
      <c r="L70" s="158">
        <f t="shared" si="5"/>
        <v>0</v>
      </c>
      <c r="M70" s="160">
        <f t="shared" ref="M70:M84" si="7">IFERROR(L70/I70,0)</f>
        <v>0</v>
      </c>
      <c r="N70" s="158">
        <f t="shared" si="6"/>
        <v>0</v>
      </c>
      <c r="O70" s="160">
        <f t="shared" si="3"/>
        <v>0</v>
      </c>
      <c r="P70" s="228"/>
      <c r="Q70" s="229"/>
      <c r="R70" s="229"/>
      <c r="S70" s="229"/>
    </row>
    <row r="71" spans="2:19" ht="15" customHeight="1">
      <c r="B71" s="31"/>
      <c r="C71" s="32"/>
      <c r="D71" s="32"/>
      <c r="E71" s="32"/>
      <c r="F71" s="140"/>
      <c r="G71" s="140"/>
      <c r="H71" s="140"/>
      <c r="I71" s="141">
        <v>0</v>
      </c>
      <c r="J71" s="158">
        <v>0</v>
      </c>
      <c r="K71" s="141">
        <v>0</v>
      </c>
      <c r="L71" s="158">
        <f t="shared" si="5"/>
        <v>0</v>
      </c>
      <c r="M71" s="160">
        <f t="shared" si="7"/>
        <v>0</v>
      </c>
      <c r="N71" s="158">
        <f t="shared" si="6"/>
        <v>0</v>
      </c>
      <c r="O71" s="160">
        <f t="shared" ref="O71:O84" si="8">IF(M71=0,0,IFERROR(100%-M71,0))</f>
        <v>0</v>
      </c>
      <c r="P71" s="228"/>
      <c r="Q71" s="229"/>
      <c r="R71" s="229"/>
      <c r="S71" s="229"/>
    </row>
    <row r="72" spans="2:19" ht="15" customHeight="1">
      <c r="B72" s="31"/>
      <c r="C72" s="32"/>
      <c r="D72" s="32"/>
      <c r="E72" s="32"/>
      <c r="F72" s="140"/>
      <c r="G72" s="140"/>
      <c r="H72" s="140"/>
      <c r="I72" s="141">
        <v>0</v>
      </c>
      <c r="J72" s="158">
        <v>0</v>
      </c>
      <c r="K72" s="141">
        <v>0</v>
      </c>
      <c r="L72" s="158">
        <f t="shared" si="5"/>
        <v>0</v>
      </c>
      <c r="M72" s="160">
        <f t="shared" si="7"/>
        <v>0</v>
      </c>
      <c r="N72" s="158">
        <f t="shared" si="6"/>
        <v>0</v>
      </c>
      <c r="O72" s="160">
        <f t="shared" si="8"/>
        <v>0</v>
      </c>
      <c r="P72" s="228"/>
      <c r="Q72" s="229"/>
      <c r="R72" s="229"/>
      <c r="S72" s="229"/>
    </row>
    <row r="73" spans="2:19" ht="15" customHeight="1">
      <c r="B73" s="31"/>
      <c r="C73" s="32"/>
      <c r="D73" s="32"/>
      <c r="E73" s="32"/>
      <c r="F73" s="140"/>
      <c r="G73" s="140"/>
      <c r="H73" s="140"/>
      <c r="I73" s="141">
        <v>0</v>
      </c>
      <c r="J73" s="158">
        <v>0</v>
      </c>
      <c r="K73" s="141">
        <v>0</v>
      </c>
      <c r="L73" s="158">
        <f t="shared" si="5"/>
        <v>0</v>
      </c>
      <c r="M73" s="160">
        <f t="shared" si="7"/>
        <v>0</v>
      </c>
      <c r="N73" s="158">
        <f t="shared" si="6"/>
        <v>0</v>
      </c>
      <c r="O73" s="160">
        <f t="shared" si="8"/>
        <v>0</v>
      </c>
      <c r="P73" s="228"/>
      <c r="Q73" s="229"/>
      <c r="R73" s="229"/>
      <c r="S73" s="229"/>
    </row>
    <row r="74" spans="2:19" ht="15" customHeight="1">
      <c r="B74" s="31"/>
      <c r="C74" s="32"/>
      <c r="D74" s="32"/>
      <c r="E74" s="32"/>
      <c r="F74" s="140"/>
      <c r="G74" s="140"/>
      <c r="H74" s="140"/>
      <c r="I74" s="141">
        <v>0</v>
      </c>
      <c r="J74" s="158">
        <v>0</v>
      </c>
      <c r="K74" s="141">
        <v>0</v>
      </c>
      <c r="L74" s="158">
        <f t="shared" si="5"/>
        <v>0</v>
      </c>
      <c r="M74" s="160">
        <f t="shared" si="7"/>
        <v>0</v>
      </c>
      <c r="N74" s="158">
        <f t="shared" si="6"/>
        <v>0</v>
      </c>
      <c r="O74" s="160">
        <f t="shared" si="8"/>
        <v>0</v>
      </c>
      <c r="P74" s="228"/>
      <c r="Q74" s="229"/>
      <c r="R74" s="229"/>
      <c r="S74" s="229"/>
    </row>
    <row r="75" spans="2:19" ht="15" customHeight="1">
      <c r="B75" s="31"/>
      <c r="C75" s="32"/>
      <c r="D75" s="32"/>
      <c r="E75" s="32"/>
      <c r="F75" s="140"/>
      <c r="G75" s="140"/>
      <c r="H75" s="140"/>
      <c r="I75" s="141">
        <v>0</v>
      </c>
      <c r="J75" s="158">
        <v>0</v>
      </c>
      <c r="K75" s="141">
        <v>0</v>
      </c>
      <c r="L75" s="158">
        <f t="shared" ref="L75:L83" si="9">J75+K75</f>
        <v>0</v>
      </c>
      <c r="M75" s="160">
        <f t="shared" si="7"/>
        <v>0</v>
      </c>
      <c r="N75" s="158">
        <f t="shared" ref="N75:N83" si="10">I75-L75</f>
        <v>0</v>
      </c>
      <c r="O75" s="160">
        <f t="shared" si="8"/>
        <v>0</v>
      </c>
      <c r="P75" s="228"/>
      <c r="Q75" s="229"/>
      <c r="R75" s="229"/>
      <c r="S75" s="229"/>
    </row>
    <row r="76" spans="2:19" ht="15" customHeight="1">
      <c r="B76" s="31"/>
      <c r="C76" s="32"/>
      <c r="D76" s="32"/>
      <c r="E76" s="32"/>
      <c r="F76" s="140"/>
      <c r="G76" s="140"/>
      <c r="H76" s="140"/>
      <c r="I76" s="141">
        <v>0</v>
      </c>
      <c r="J76" s="158">
        <v>0</v>
      </c>
      <c r="K76" s="141">
        <v>0</v>
      </c>
      <c r="L76" s="158">
        <f t="shared" si="9"/>
        <v>0</v>
      </c>
      <c r="M76" s="160">
        <f t="shared" si="7"/>
        <v>0</v>
      </c>
      <c r="N76" s="158">
        <f t="shared" si="10"/>
        <v>0</v>
      </c>
      <c r="O76" s="160">
        <f t="shared" si="8"/>
        <v>0</v>
      </c>
      <c r="P76" s="228"/>
      <c r="Q76" s="229"/>
      <c r="R76" s="229"/>
      <c r="S76" s="229"/>
    </row>
    <row r="77" spans="2:19" ht="15" customHeight="1">
      <c r="B77" s="31"/>
      <c r="C77" s="32"/>
      <c r="D77" s="32"/>
      <c r="E77" s="32"/>
      <c r="F77" s="140"/>
      <c r="G77" s="140"/>
      <c r="H77" s="140"/>
      <c r="I77" s="141">
        <v>0</v>
      </c>
      <c r="J77" s="158">
        <v>0</v>
      </c>
      <c r="K77" s="141">
        <v>0</v>
      </c>
      <c r="L77" s="158">
        <f t="shared" si="9"/>
        <v>0</v>
      </c>
      <c r="M77" s="160">
        <f t="shared" si="7"/>
        <v>0</v>
      </c>
      <c r="N77" s="158">
        <f t="shared" si="10"/>
        <v>0</v>
      </c>
      <c r="O77" s="160">
        <f t="shared" si="8"/>
        <v>0</v>
      </c>
      <c r="P77" s="228"/>
      <c r="Q77" s="229"/>
      <c r="R77" s="229"/>
      <c r="S77" s="229"/>
    </row>
    <row r="78" spans="2:19" ht="15" customHeight="1">
      <c r="B78" s="31"/>
      <c r="C78" s="32"/>
      <c r="D78" s="32"/>
      <c r="E78" s="32"/>
      <c r="F78" s="140"/>
      <c r="G78" s="140"/>
      <c r="H78" s="140"/>
      <c r="I78" s="141">
        <v>0</v>
      </c>
      <c r="J78" s="158">
        <v>0</v>
      </c>
      <c r="K78" s="141">
        <v>0</v>
      </c>
      <c r="L78" s="158">
        <f t="shared" si="9"/>
        <v>0</v>
      </c>
      <c r="M78" s="160">
        <f t="shared" si="7"/>
        <v>0</v>
      </c>
      <c r="N78" s="158">
        <f t="shared" si="10"/>
        <v>0</v>
      </c>
      <c r="O78" s="160">
        <f t="shared" si="8"/>
        <v>0</v>
      </c>
      <c r="P78" s="228"/>
      <c r="Q78" s="229"/>
      <c r="R78" s="229"/>
      <c r="S78" s="229"/>
    </row>
    <row r="79" spans="2:19" ht="15" customHeight="1">
      <c r="B79" s="31"/>
      <c r="C79" s="32"/>
      <c r="D79" s="32"/>
      <c r="E79" s="32"/>
      <c r="F79" s="140"/>
      <c r="G79" s="140"/>
      <c r="H79" s="140"/>
      <c r="I79" s="141">
        <v>0</v>
      </c>
      <c r="J79" s="158">
        <v>0</v>
      </c>
      <c r="K79" s="141">
        <v>0</v>
      </c>
      <c r="L79" s="158">
        <f t="shared" si="9"/>
        <v>0</v>
      </c>
      <c r="M79" s="160">
        <f t="shared" si="7"/>
        <v>0</v>
      </c>
      <c r="N79" s="158">
        <f t="shared" si="10"/>
        <v>0</v>
      </c>
      <c r="O79" s="160">
        <f t="shared" si="8"/>
        <v>0</v>
      </c>
      <c r="P79" s="228"/>
      <c r="Q79" s="229"/>
      <c r="R79" s="229"/>
      <c r="S79" s="229"/>
    </row>
    <row r="80" spans="2:19" ht="15" customHeight="1">
      <c r="B80" s="31"/>
      <c r="C80" s="32"/>
      <c r="D80" s="32"/>
      <c r="E80" s="32"/>
      <c r="F80" s="140"/>
      <c r="G80" s="140"/>
      <c r="H80" s="140"/>
      <c r="I80" s="141">
        <v>0</v>
      </c>
      <c r="J80" s="158">
        <v>0</v>
      </c>
      <c r="K80" s="141">
        <v>0</v>
      </c>
      <c r="L80" s="158">
        <f t="shared" si="9"/>
        <v>0</v>
      </c>
      <c r="M80" s="160">
        <f t="shared" si="7"/>
        <v>0</v>
      </c>
      <c r="N80" s="158">
        <f t="shared" si="10"/>
        <v>0</v>
      </c>
      <c r="O80" s="160">
        <f t="shared" si="8"/>
        <v>0</v>
      </c>
      <c r="P80" s="228"/>
      <c r="Q80" s="229"/>
      <c r="R80" s="229"/>
      <c r="S80" s="229"/>
    </row>
    <row r="81" spans="2:19" ht="15" customHeight="1">
      <c r="B81" s="31"/>
      <c r="C81" s="32"/>
      <c r="D81" s="32"/>
      <c r="E81" s="32"/>
      <c r="F81" s="140"/>
      <c r="G81" s="140"/>
      <c r="H81" s="140"/>
      <c r="I81" s="141">
        <v>0</v>
      </c>
      <c r="J81" s="158">
        <v>0</v>
      </c>
      <c r="K81" s="141">
        <v>0</v>
      </c>
      <c r="L81" s="158">
        <f t="shared" si="9"/>
        <v>0</v>
      </c>
      <c r="M81" s="160">
        <f t="shared" si="7"/>
        <v>0</v>
      </c>
      <c r="N81" s="158">
        <f t="shared" si="10"/>
        <v>0</v>
      </c>
      <c r="O81" s="160">
        <f t="shared" si="8"/>
        <v>0</v>
      </c>
      <c r="P81" s="228"/>
      <c r="Q81" s="229"/>
      <c r="R81" s="229"/>
      <c r="S81" s="229"/>
    </row>
    <row r="82" spans="2:19" ht="15" customHeight="1">
      <c r="B82" s="31"/>
      <c r="C82" s="32"/>
      <c r="D82" s="32"/>
      <c r="E82" s="32"/>
      <c r="F82" s="140"/>
      <c r="G82" s="140"/>
      <c r="H82" s="140"/>
      <c r="I82" s="141">
        <v>0</v>
      </c>
      <c r="J82" s="158">
        <v>0</v>
      </c>
      <c r="K82" s="141">
        <v>0</v>
      </c>
      <c r="L82" s="158">
        <f t="shared" si="9"/>
        <v>0</v>
      </c>
      <c r="M82" s="160">
        <f t="shared" si="7"/>
        <v>0</v>
      </c>
      <c r="N82" s="158">
        <f t="shared" si="10"/>
        <v>0</v>
      </c>
      <c r="O82" s="160">
        <f t="shared" si="8"/>
        <v>0</v>
      </c>
      <c r="P82" s="228"/>
      <c r="Q82" s="229"/>
      <c r="R82" s="229"/>
      <c r="S82" s="229"/>
    </row>
    <row r="83" spans="2:19" ht="15" customHeight="1">
      <c r="B83" s="31"/>
      <c r="C83" s="32"/>
      <c r="D83" s="32"/>
      <c r="E83" s="32"/>
      <c r="F83" s="140"/>
      <c r="G83" s="140"/>
      <c r="H83" s="140"/>
      <c r="I83" s="141">
        <v>0</v>
      </c>
      <c r="J83" s="158">
        <v>0</v>
      </c>
      <c r="K83" s="141">
        <v>0</v>
      </c>
      <c r="L83" s="158">
        <f t="shared" si="9"/>
        <v>0</v>
      </c>
      <c r="M83" s="160">
        <f t="shared" si="7"/>
        <v>0</v>
      </c>
      <c r="N83" s="158">
        <f t="shared" si="10"/>
        <v>0</v>
      </c>
      <c r="O83" s="160">
        <f t="shared" si="8"/>
        <v>0</v>
      </c>
      <c r="P83" s="228"/>
      <c r="Q83" s="229"/>
      <c r="R83" s="229"/>
      <c r="S83" s="229"/>
    </row>
    <row r="84" spans="2:19" ht="15" customHeight="1" thickBot="1">
      <c r="B84" s="106"/>
      <c r="C84" s="33"/>
      <c r="D84" s="33"/>
      <c r="E84" s="33"/>
      <c r="F84" s="143"/>
      <c r="G84" s="143"/>
      <c r="H84" s="143"/>
      <c r="I84" s="142">
        <v>0</v>
      </c>
      <c r="J84" s="159">
        <v>0</v>
      </c>
      <c r="K84" s="142">
        <v>0</v>
      </c>
      <c r="L84" s="159">
        <f t="shared" ref="L84" si="11">J84+K84</f>
        <v>0</v>
      </c>
      <c r="M84" s="161">
        <f t="shared" si="7"/>
        <v>0</v>
      </c>
      <c r="N84" s="159">
        <f t="shared" ref="N84" si="12">I84-L84</f>
        <v>0</v>
      </c>
      <c r="O84" s="162">
        <f t="shared" si="8"/>
        <v>0</v>
      </c>
      <c r="P84" s="230"/>
      <c r="Q84" s="231"/>
      <c r="R84" s="231"/>
      <c r="S84" s="231"/>
    </row>
  </sheetData>
  <autoFilter ref="A4:S84" xr:uid="{A4223F94-127B-433C-881B-9DF83DA89436}"/>
  <mergeCells count="2">
    <mergeCell ref="N3:O3"/>
    <mergeCell ref="L3:M3"/>
  </mergeCells>
  <phoneticPr fontId="3" type="noConversion"/>
  <conditionalFormatting sqref="K5:O6 F42:O50 H38:O39 F5:F24 F26:F29 I7:O37 F53:O84 F51:H52 K51:O52 F40:H41 K40:O41">
    <cfRule type="expression" dxfId="188" priority="185">
      <formula>$K5&gt;0</formula>
    </cfRule>
  </conditionalFormatting>
  <conditionalFormatting sqref="P5:P37">
    <cfRule type="expression" dxfId="187" priority="184">
      <formula>$K5&gt;0</formula>
    </cfRule>
  </conditionalFormatting>
  <conditionalFormatting sqref="R5:S9 R11:S11 S10">
    <cfRule type="expression" dxfId="186" priority="183">
      <formula>$K5&gt;0</formula>
    </cfRule>
  </conditionalFormatting>
  <conditionalFormatting sqref="Q5:Q9">
    <cfRule type="expression" dxfId="185" priority="181">
      <formula>$K5&gt;0</formula>
    </cfRule>
  </conditionalFormatting>
  <conditionalFormatting sqref="F5:F6">
    <cfRule type="expression" dxfId="184" priority="180">
      <formula>$K5&gt;0</formula>
    </cfRule>
  </conditionalFormatting>
  <conditionalFormatting sqref="G5:G6">
    <cfRule type="expression" dxfId="183" priority="179">
      <formula>$K5&gt;0</formula>
    </cfRule>
  </conditionalFormatting>
  <conditionalFormatting sqref="H5:H6">
    <cfRule type="expression" dxfId="182" priority="178">
      <formula>$K5&gt;0</formula>
    </cfRule>
  </conditionalFormatting>
  <conditionalFormatting sqref="I5:I6">
    <cfRule type="expression" dxfId="181" priority="177">
      <formula>$K5&gt;0</formula>
    </cfRule>
  </conditionalFormatting>
  <conditionalFormatting sqref="J5:J6">
    <cfRule type="expression" dxfId="180" priority="176">
      <formula>$K5&gt;0</formula>
    </cfRule>
  </conditionalFormatting>
  <conditionalFormatting sqref="G7">
    <cfRule type="expression" dxfId="179" priority="175">
      <formula>$K7&gt;0</formula>
    </cfRule>
  </conditionalFormatting>
  <conditionalFormatting sqref="G9">
    <cfRule type="expression" dxfId="178" priority="172">
      <formula>$K9&gt;0</formula>
    </cfRule>
  </conditionalFormatting>
  <conditionalFormatting sqref="G8">
    <cfRule type="expression" dxfId="177" priority="171">
      <formula>$K8&gt;0</formula>
    </cfRule>
  </conditionalFormatting>
  <conditionalFormatting sqref="G10">
    <cfRule type="expression" dxfId="176" priority="170">
      <formula>$K10&gt;0</formula>
    </cfRule>
  </conditionalFormatting>
  <conditionalFormatting sqref="G12">
    <cfRule type="expression" dxfId="175" priority="169">
      <formula>$K12&gt;0</formula>
    </cfRule>
  </conditionalFormatting>
  <conditionalFormatting sqref="G11">
    <cfRule type="expression" dxfId="174" priority="168">
      <formula>$K11&gt;0</formula>
    </cfRule>
  </conditionalFormatting>
  <conditionalFormatting sqref="G14">
    <cfRule type="expression" dxfId="173" priority="167">
      <formula>$K14&gt;0</formula>
    </cfRule>
  </conditionalFormatting>
  <conditionalFormatting sqref="G13">
    <cfRule type="expression" dxfId="172" priority="165">
      <formula>$K13&gt;0</formula>
    </cfRule>
  </conditionalFormatting>
  <conditionalFormatting sqref="G15">
    <cfRule type="expression" dxfId="171" priority="164">
      <formula>$K15&gt;0</formula>
    </cfRule>
  </conditionalFormatting>
  <conditionalFormatting sqref="G16">
    <cfRule type="expression" dxfId="170" priority="163">
      <formula>$K16&gt;0</formula>
    </cfRule>
  </conditionalFormatting>
  <conditionalFormatting sqref="G18">
    <cfRule type="expression" dxfId="169" priority="162">
      <formula>$K18&gt;0</formula>
    </cfRule>
  </conditionalFormatting>
  <conditionalFormatting sqref="G17">
    <cfRule type="expression" dxfId="168" priority="161">
      <formula>$K17&gt;0</formula>
    </cfRule>
  </conditionalFormatting>
  <conditionalFormatting sqref="G19">
    <cfRule type="expression" dxfId="167" priority="160">
      <formula>$K19&gt;0</formula>
    </cfRule>
  </conditionalFormatting>
  <conditionalFormatting sqref="F28:F38">
    <cfRule type="expression" dxfId="166" priority="150">
      <formula>$K28&gt;0</formula>
    </cfRule>
  </conditionalFormatting>
  <conditionalFormatting sqref="G30">
    <cfRule type="expression" dxfId="165" priority="149">
      <formula>$K30&gt;0</formula>
    </cfRule>
  </conditionalFormatting>
  <conditionalFormatting sqref="G31">
    <cfRule type="expression" dxfId="164" priority="148">
      <formula>$K31&gt;0</formula>
    </cfRule>
  </conditionalFormatting>
  <conditionalFormatting sqref="G32">
    <cfRule type="expression" dxfId="163" priority="147">
      <formula>$K32&gt;0</formula>
    </cfRule>
  </conditionalFormatting>
  <conditionalFormatting sqref="G33">
    <cfRule type="expression" dxfId="162" priority="146">
      <formula>$K33&gt;0</formula>
    </cfRule>
  </conditionalFormatting>
  <conditionalFormatting sqref="G34">
    <cfRule type="expression" dxfId="161" priority="145">
      <formula>$K34&gt;0</formula>
    </cfRule>
  </conditionalFormatting>
  <conditionalFormatting sqref="G35">
    <cfRule type="expression" dxfId="160" priority="144">
      <formula>$K35&gt;0</formula>
    </cfRule>
  </conditionalFormatting>
  <conditionalFormatting sqref="G20">
    <cfRule type="expression" dxfId="159" priority="140">
      <formula>$K20&gt;0</formula>
    </cfRule>
  </conditionalFormatting>
  <conditionalFormatting sqref="G21">
    <cfRule type="expression" dxfId="158" priority="139">
      <formula>$K21&gt;0</formula>
    </cfRule>
  </conditionalFormatting>
  <conditionalFormatting sqref="G22">
    <cfRule type="expression" dxfId="157" priority="138">
      <formula>$K22&gt;0</formula>
    </cfRule>
  </conditionalFormatting>
  <conditionalFormatting sqref="G23">
    <cfRule type="expression" dxfId="156" priority="137">
      <formula>$K23&gt;0</formula>
    </cfRule>
  </conditionalFormatting>
  <conditionalFormatting sqref="G24">
    <cfRule type="expression" dxfId="155" priority="136">
      <formula>$K24&gt;0</formula>
    </cfRule>
  </conditionalFormatting>
  <conditionalFormatting sqref="F23:F27">
    <cfRule type="expression" dxfId="154" priority="135">
      <formula>$K23&gt;0</formula>
    </cfRule>
  </conditionalFormatting>
  <conditionalFormatting sqref="G25">
    <cfRule type="expression" dxfId="153" priority="134">
      <formula>$K25&gt;0</formula>
    </cfRule>
  </conditionalFormatting>
  <conditionalFormatting sqref="G26">
    <cfRule type="expression" dxfId="152" priority="133">
      <formula>$K26&gt;0</formula>
    </cfRule>
  </conditionalFormatting>
  <conditionalFormatting sqref="G27">
    <cfRule type="expression" dxfId="151" priority="132">
      <formula>$K27&gt;0</formula>
    </cfRule>
  </conditionalFormatting>
  <conditionalFormatting sqref="G28">
    <cfRule type="expression" dxfId="150" priority="131">
      <formula>$K28&gt;0</formula>
    </cfRule>
  </conditionalFormatting>
  <conditionalFormatting sqref="G29">
    <cfRule type="expression" dxfId="149" priority="130">
      <formula>$K29&gt;0</formula>
    </cfRule>
  </conditionalFormatting>
  <conditionalFormatting sqref="G30">
    <cfRule type="expression" dxfId="148" priority="129">
      <formula>$K30&gt;0</formula>
    </cfRule>
  </conditionalFormatting>
  <conditionalFormatting sqref="G31">
    <cfRule type="expression" dxfId="147" priority="128">
      <formula>$K31&gt;0</formula>
    </cfRule>
  </conditionalFormatting>
  <conditionalFormatting sqref="G32">
    <cfRule type="expression" dxfId="146" priority="127">
      <formula>$K32&gt;0</formula>
    </cfRule>
  </conditionalFormatting>
  <conditionalFormatting sqref="G33">
    <cfRule type="expression" dxfId="145" priority="126">
      <formula>$K33&gt;0</formula>
    </cfRule>
  </conditionalFormatting>
  <conditionalFormatting sqref="G34">
    <cfRule type="expression" dxfId="144" priority="125">
      <formula>$K34&gt;0</formula>
    </cfRule>
  </conditionalFormatting>
  <conditionalFormatting sqref="G35">
    <cfRule type="expression" dxfId="143" priority="124">
      <formula>$K35&gt;0</formula>
    </cfRule>
  </conditionalFormatting>
  <conditionalFormatting sqref="G36">
    <cfRule type="expression" dxfId="142" priority="123">
      <formula>$K36&gt;0</formula>
    </cfRule>
  </conditionalFormatting>
  <conditionalFormatting sqref="G37">
    <cfRule type="expression" dxfId="141" priority="122">
      <formula>$K37&gt;0</formula>
    </cfRule>
  </conditionalFormatting>
  <conditionalFormatting sqref="G37">
    <cfRule type="expression" dxfId="140" priority="121">
      <formula>$K37&gt;0</formula>
    </cfRule>
  </conditionalFormatting>
  <conditionalFormatting sqref="G38">
    <cfRule type="expression" dxfId="139" priority="120">
      <formula>$K38&gt;0</formula>
    </cfRule>
  </conditionalFormatting>
  <conditionalFormatting sqref="G38">
    <cfRule type="expression" dxfId="138" priority="119">
      <formula>$K38&gt;0</formula>
    </cfRule>
  </conditionalFormatting>
  <conditionalFormatting sqref="G39">
    <cfRule type="expression" dxfId="137" priority="118">
      <formula>$K39&gt;0</formula>
    </cfRule>
  </conditionalFormatting>
  <conditionalFormatting sqref="G39">
    <cfRule type="expression" dxfId="136" priority="117">
      <formula>$K39&gt;0</formula>
    </cfRule>
  </conditionalFormatting>
  <conditionalFormatting sqref="F39">
    <cfRule type="expression" dxfId="135" priority="116">
      <formula>$K39&gt;0</formula>
    </cfRule>
  </conditionalFormatting>
  <conditionalFormatting sqref="G5">
    <cfRule type="expression" dxfId="134" priority="115">
      <formula>$K5&gt;0</formula>
    </cfRule>
  </conditionalFormatting>
  <conditionalFormatting sqref="G7">
    <cfRule type="expression" dxfId="133" priority="114">
      <formula>$K7&gt;0</formula>
    </cfRule>
  </conditionalFormatting>
  <conditionalFormatting sqref="G6">
    <cfRule type="expression" dxfId="132" priority="113">
      <formula>$K6&gt;0</formula>
    </cfRule>
  </conditionalFormatting>
  <conditionalFormatting sqref="G8">
    <cfRule type="expression" dxfId="131" priority="112">
      <formula>$K8&gt;0</formula>
    </cfRule>
  </conditionalFormatting>
  <conditionalFormatting sqref="G10">
    <cfRule type="expression" dxfId="130" priority="111">
      <formula>$K10&gt;0</formula>
    </cfRule>
  </conditionalFormatting>
  <conditionalFormatting sqref="G9">
    <cfRule type="expression" dxfId="129" priority="110">
      <formula>$K9&gt;0</formula>
    </cfRule>
  </conditionalFormatting>
  <conditionalFormatting sqref="G12">
    <cfRule type="expression" dxfId="128" priority="109">
      <formula>$K12&gt;0</formula>
    </cfRule>
  </conditionalFormatting>
  <conditionalFormatting sqref="G11">
    <cfRule type="expression" dxfId="127" priority="108">
      <formula>$K11&gt;0</formula>
    </cfRule>
  </conditionalFormatting>
  <conditionalFormatting sqref="G13">
    <cfRule type="expression" dxfId="126" priority="107">
      <formula>$K13&gt;0</formula>
    </cfRule>
  </conditionalFormatting>
  <conditionalFormatting sqref="G14">
    <cfRule type="expression" dxfId="125" priority="106">
      <formula>$K14&gt;0</formula>
    </cfRule>
  </conditionalFormatting>
  <conditionalFormatting sqref="G16">
    <cfRule type="expression" dxfId="124" priority="105">
      <formula>$K16&gt;0</formula>
    </cfRule>
  </conditionalFormatting>
  <conditionalFormatting sqref="G15">
    <cfRule type="expression" dxfId="123" priority="104">
      <formula>$K15&gt;0</formula>
    </cfRule>
  </conditionalFormatting>
  <conditionalFormatting sqref="G17">
    <cfRule type="expression" dxfId="122" priority="103">
      <formula>$K17&gt;0</formula>
    </cfRule>
  </conditionalFormatting>
  <conditionalFormatting sqref="G28">
    <cfRule type="expression" dxfId="121" priority="102">
      <formula>$K28&gt;0</formula>
    </cfRule>
  </conditionalFormatting>
  <conditionalFormatting sqref="G29">
    <cfRule type="expression" dxfId="120" priority="101">
      <formula>$K29&gt;0</formula>
    </cfRule>
  </conditionalFormatting>
  <conditionalFormatting sqref="G30">
    <cfRule type="expression" dxfId="119" priority="100">
      <formula>$K30&gt;0</formula>
    </cfRule>
  </conditionalFormatting>
  <conditionalFormatting sqref="G31">
    <cfRule type="expression" dxfId="118" priority="99">
      <formula>$K31&gt;0</formula>
    </cfRule>
  </conditionalFormatting>
  <conditionalFormatting sqref="G32">
    <cfRule type="expression" dxfId="117" priority="98">
      <formula>$K32&gt;0</formula>
    </cfRule>
  </conditionalFormatting>
  <conditionalFormatting sqref="G33">
    <cfRule type="expression" dxfId="116" priority="97">
      <formula>$K33&gt;0</formula>
    </cfRule>
  </conditionalFormatting>
  <conditionalFormatting sqref="G18">
    <cfRule type="expression" dxfId="115" priority="96">
      <formula>$K18&gt;0</formula>
    </cfRule>
  </conditionalFormatting>
  <conditionalFormatting sqref="G19">
    <cfRule type="expression" dxfId="114" priority="95">
      <formula>$K19&gt;0</formula>
    </cfRule>
  </conditionalFormatting>
  <conditionalFormatting sqref="G20">
    <cfRule type="expression" dxfId="113" priority="94">
      <formula>$K20&gt;0</formula>
    </cfRule>
  </conditionalFormatting>
  <conditionalFormatting sqref="G21">
    <cfRule type="expression" dxfId="112" priority="93">
      <formula>$K21&gt;0</formula>
    </cfRule>
  </conditionalFormatting>
  <conditionalFormatting sqref="G22">
    <cfRule type="expression" dxfId="111" priority="92">
      <formula>$K22&gt;0</formula>
    </cfRule>
  </conditionalFormatting>
  <conditionalFormatting sqref="G23">
    <cfRule type="expression" dxfId="110" priority="91">
      <formula>$K23&gt;0</formula>
    </cfRule>
  </conditionalFormatting>
  <conditionalFormatting sqref="G24">
    <cfRule type="expression" dxfId="109" priority="90">
      <formula>$K24&gt;0</formula>
    </cfRule>
  </conditionalFormatting>
  <conditionalFormatting sqref="G25">
    <cfRule type="expression" dxfId="108" priority="89">
      <formula>$K25&gt;0</formula>
    </cfRule>
  </conditionalFormatting>
  <conditionalFormatting sqref="G26">
    <cfRule type="expression" dxfId="107" priority="88">
      <formula>$K26&gt;0</formula>
    </cfRule>
  </conditionalFormatting>
  <conditionalFormatting sqref="G27">
    <cfRule type="expression" dxfId="106" priority="87">
      <formula>$K27&gt;0</formula>
    </cfRule>
  </conditionalFormatting>
  <conditionalFormatting sqref="G28">
    <cfRule type="expression" dxfId="105" priority="86">
      <formula>$K28&gt;0</formula>
    </cfRule>
  </conditionalFormatting>
  <conditionalFormatting sqref="G29">
    <cfRule type="expression" dxfId="104" priority="85">
      <formula>$K29&gt;0</formula>
    </cfRule>
  </conditionalFormatting>
  <conditionalFormatting sqref="G30">
    <cfRule type="expression" dxfId="103" priority="84">
      <formula>$K30&gt;0</formula>
    </cfRule>
  </conditionalFormatting>
  <conditionalFormatting sqref="G31">
    <cfRule type="expression" dxfId="102" priority="83">
      <formula>$K31&gt;0</formula>
    </cfRule>
  </conditionalFormatting>
  <conditionalFormatting sqref="G32">
    <cfRule type="expression" dxfId="101" priority="82">
      <formula>$K32&gt;0</formula>
    </cfRule>
  </conditionalFormatting>
  <conditionalFormatting sqref="G33">
    <cfRule type="expression" dxfId="100" priority="81">
      <formula>$K33&gt;0</formula>
    </cfRule>
  </conditionalFormatting>
  <conditionalFormatting sqref="G34">
    <cfRule type="expression" dxfId="99" priority="80">
      <formula>$K34&gt;0</formula>
    </cfRule>
  </conditionalFormatting>
  <conditionalFormatting sqref="G35">
    <cfRule type="expression" dxfId="98" priority="79">
      <formula>$K35&gt;0</formula>
    </cfRule>
  </conditionalFormatting>
  <conditionalFormatting sqref="G35">
    <cfRule type="expression" dxfId="97" priority="78">
      <formula>$K35&gt;0</formula>
    </cfRule>
  </conditionalFormatting>
  <conditionalFormatting sqref="G36">
    <cfRule type="expression" dxfId="96" priority="77">
      <formula>$K36&gt;0</formula>
    </cfRule>
  </conditionalFormatting>
  <conditionalFormatting sqref="G36">
    <cfRule type="expression" dxfId="95" priority="76">
      <formula>$K36&gt;0</formula>
    </cfRule>
  </conditionalFormatting>
  <conditionalFormatting sqref="G37">
    <cfRule type="expression" dxfId="94" priority="75">
      <formula>$K37&gt;0</formula>
    </cfRule>
  </conditionalFormatting>
  <conditionalFormatting sqref="G37">
    <cfRule type="expression" dxfId="93" priority="74">
      <formula>$K37&gt;0</formula>
    </cfRule>
  </conditionalFormatting>
  <conditionalFormatting sqref="F37">
    <cfRule type="expression" dxfId="92" priority="73">
      <formula>$K37&gt;0</formula>
    </cfRule>
  </conditionalFormatting>
  <conditionalFormatting sqref="H7:H37">
    <cfRule type="expression" dxfId="91" priority="72">
      <formula>$K7&gt;0</formula>
    </cfRule>
  </conditionalFormatting>
  <conditionalFormatting sqref="S13">
    <cfRule type="expression" dxfId="90" priority="71">
      <formula>$K13&gt;0</formula>
    </cfRule>
  </conditionalFormatting>
  <conditionalFormatting sqref="S14">
    <cfRule type="expression" dxfId="89" priority="70">
      <formula>$K14&gt;0</formula>
    </cfRule>
  </conditionalFormatting>
  <conditionalFormatting sqref="S15">
    <cfRule type="expression" dxfId="88" priority="69">
      <formula>$K15&gt;0</formula>
    </cfRule>
  </conditionalFormatting>
  <conditionalFormatting sqref="S18">
    <cfRule type="expression" dxfId="87" priority="68">
      <formula>$K18&gt;0</formula>
    </cfRule>
  </conditionalFormatting>
  <conditionalFormatting sqref="S19">
    <cfRule type="expression" dxfId="86" priority="67">
      <formula>$K19&gt;0</formula>
    </cfRule>
  </conditionalFormatting>
  <conditionalFormatting sqref="S24">
    <cfRule type="expression" dxfId="85" priority="66">
      <formula>$K24&gt;0</formula>
    </cfRule>
  </conditionalFormatting>
  <conditionalFormatting sqref="S23">
    <cfRule type="expression" dxfId="84" priority="65">
      <formula>$K23&gt;0</formula>
    </cfRule>
  </conditionalFormatting>
  <conditionalFormatting sqref="S26">
    <cfRule type="expression" dxfId="83" priority="64">
      <formula>$K26&gt;0</formula>
    </cfRule>
  </conditionalFormatting>
  <conditionalFormatting sqref="S30">
    <cfRule type="expression" dxfId="82" priority="63">
      <formula>$K30&gt;0</formula>
    </cfRule>
  </conditionalFormatting>
  <conditionalFormatting sqref="S32">
    <cfRule type="expression" dxfId="81" priority="62">
      <formula>$K32&gt;0</formula>
    </cfRule>
  </conditionalFormatting>
  <conditionalFormatting sqref="S34">
    <cfRule type="expression" dxfId="80" priority="61">
      <formula>$K34&gt;0</formula>
    </cfRule>
  </conditionalFormatting>
  <conditionalFormatting sqref="S35">
    <cfRule type="expression" dxfId="79" priority="60">
      <formula>$K35&gt;0</formula>
    </cfRule>
  </conditionalFormatting>
  <conditionalFormatting sqref="S20">
    <cfRule type="expression" dxfId="78" priority="59">
      <formula>$K20&gt;0</formula>
    </cfRule>
  </conditionalFormatting>
  <conditionalFormatting sqref="S16">
    <cfRule type="expression" dxfId="77" priority="58">
      <formula>$K16&gt;0</formula>
    </cfRule>
  </conditionalFormatting>
  <conditionalFormatting sqref="S21">
    <cfRule type="expression" dxfId="76" priority="57">
      <formula>$K21&gt;0</formula>
    </cfRule>
  </conditionalFormatting>
  <conditionalFormatting sqref="S25">
    <cfRule type="expression" dxfId="75" priority="56">
      <formula>$K25&gt;0</formula>
    </cfRule>
  </conditionalFormatting>
  <conditionalFormatting sqref="S27">
    <cfRule type="expression" dxfId="74" priority="55">
      <formula>$K27&gt;0</formula>
    </cfRule>
  </conditionalFormatting>
  <conditionalFormatting sqref="S29">
    <cfRule type="expression" dxfId="73" priority="54">
      <formula>$K29&gt;0</formula>
    </cfRule>
  </conditionalFormatting>
  <conditionalFormatting sqref="S36">
    <cfRule type="expression" dxfId="72" priority="53">
      <formula>$K36&gt;0</formula>
    </cfRule>
  </conditionalFormatting>
  <conditionalFormatting sqref="S12">
    <cfRule type="expression" dxfId="71" priority="52">
      <formula>$K12&gt;0</formula>
    </cfRule>
  </conditionalFormatting>
  <conditionalFormatting sqref="S17">
    <cfRule type="expression" dxfId="70" priority="51">
      <formula>$K17&gt;0</formula>
    </cfRule>
  </conditionalFormatting>
  <conditionalFormatting sqref="S22">
    <cfRule type="expression" dxfId="69" priority="50">
      <formula>$K22&gt;0</formula>
    </cfRule>
  </conditionalFormatting>
  <conditionalFormatting sqref="S28">
    <cfRule type="expression" dxfId="68" priority="49">
      <formula>$K28&gt;0</formula>
    </cfRule>
  </conditionalFormatting>
  <conditionalFormatting sqref="S31">
    <cfRule type="expression" dxfId="67" priority="48">
      <formula>$K31&gt;0</formula>
    </cfRule>
  </conditionalFormatting>
  <conditionalFormatting sqref="S33">
    <cfRule type="expression" dxfId="66" priority="47">
      <formula>$K33&gt;0</formula>
    </cfRule>
  </conditionalFormatting>
  <conditionalFormatting sqref="S37">
    <cfRule type="expression" dxfId="65" priority="46">
      <formula>$K37&gt;0</formula>
    </cfRule>
  </conditionalFormatting>
  <conditionalFormatting sqref="Q11">
    <cfRule type="expression" dxfId="64" priority="45">
      <formula>$K11&gt;0</formula>
    </cfRule>
  </conditionalFormatting>
  <conditionalFormatting sqref="Q13">
    <cfRule type="expression" dxfId="63" priority="44">
      <formula>$K13&gt;0</formula>
    </cfRule>
  </conditionalFormatting>
  <conditionalFormatting sqref="Q14">
    <cfRule type="expression" dxfId="62" priority="43">
      <formula>$K14&gt;0</formula>
    </cfRule>
  </conditionalFormatting>
  <conditionalFormatting sqref="Q15">
    <cfRule type="expression" dxfId="61" priority="42">
      <formula>$K15&gt;0</formula>
    </cfRule>
  </conditionalFormatting>
  <conditionalFormatting sqref="Q18">
    <cfRule type="expression" dxfId="60" priority="41">
      <formula>$K18&gt;0</formula>
    </cfRule>
  </conditionalFormatting>
  <conditionalFormatting sqref="Q19">
    <cfRule type="expression" dxfId="59" priority="40">
      <formula>$K19&gt;0</formula>
    </cfRule>
  </conditionalFormatting>
  <conditionalFormatting sqref="Q20">
    <cfRule type="expression" dxfId="58" priority="39">
      <formula>$K20&gt;0</formula>
    </cfRule>
  </conditionalFormatting>
  <conditionalFormatting sqref="Q23">
    <cfRule type="expression" dxfId="57" priority="38">
      <formula>$K23&gt;0</formula>
    </cfRule>
  </conditionalFormatting>
  <conditionalFormatting sqref="Q24">
    <cfRule type="expression" dxfId="56" priority="37">
      <formula>$K24&gt;0</formula>
    </cfRule>
  </conditionalFormatting>
  <conditionalFormatting sqref="Q26">
    <cfRule type="expression" dxfId="55" priority="36">
      <formula>$K26&gt;0</formula>
    </cfRule>
  </conditionalFormatting>
  <conditionalFormatting sqref="Q32">
    <cfRule type="expression" dxfId="54" priority="35">
      <formula>$K32&gt;0</formula>
    </cfRule>
  </conditionalFormatting>
  <conditionalFormatting sqref="Q30">
    <cfRule type="expression" dxfId="53" priority="34">
      <formula>$K30&gt;0</formula>
    </cfRule>
  </conditionalFormatting>
  <conditionalFormatting sqref="Q34">
    <cfRule type="expression" dxfId="52" priority="33">
      <formula>$K34&gt;0</formula>
    </cfRule>
  </conditionalFormatting>
  <conditionalFormatting sqref="Q35">
    <cfRule type="expression" dxfId="51" priority="32">
      <formula>$K35&gt;0</formula>
    </cfRule>
  </conditionalFormatting>
  <conditionalFormatting sqref="R13">
    <cfRule type="expression" dxfId="50" priority="31">
      <formula>$K13&gt;0</formula>
    </cfRule>
  </conditionalFormatting>
  <conditionalFormatting sqref="R14">
    <cfRule type="expression" dxfId="49" priority="30">
      <formula>$K14&gt;0</formula>
    </cfRule>
  </conditionalFormatting>
  <conditionalFormatting sqref="R15">
    <cfRule type="expression" dxfId="48" priority="29">
      <formula>$K15&gt;0</formula>
    </cfRule>
  </conditionalFormatting>
  <conditionalFormatting sqref="R19">
    <cfRule type="expression" dxfId="47" priority="28">
      <formula>$K19&gt;0</formula>
    </cfRule>
  </conditionalFormatting>
  <conditionalFormatting sqref="R18">
    <cfRule type="expression" dxfId="46" priority="27">
      <formula>$K18&gt;0</formula>
    </cfRule>
  </conditionalFormatting>
  <conditionalFormatting sqref="R20">
    <cfRule type="expression" dxfId="45" priority="26">
      <formula>$K20&gt;0</formula>
    </cfRule>
  </conditionalFormatting>
  <conditionalFormatting sqref="R23">
    <cfRule type="expression" dxfId="44" priority="25">
      <formula>$K23&gt;0</formula>
    </cfRule>
  </conditionalFormatting>
  <conditionalFormatting sqref="R24">
    <cfRule type="expression" dxfId="43" priority="24">
      <formula>$K24&gt;0</formula>
    </cfRule>
  </conditionalFormatting>
  <conditionalFormatting sqref="R26">
    <cfRule type="expression" dxfId="42" priority="23">
      <formula>$K26&gt;0</formula>
    </cfRule>
  </conditionalFormatting>
  <conditionalFormatting sqref="R30">
    <cfRule type="expression" dxfId="41" priority="22">
      <formula>$K30&gt;0</formula>
    </cfRule>
  </conditionalFormatting>
  <conditionalFormatting sqref="R32">
    <cfRule type="expression" dxfId="40" priority="21">
      <formula>$K32&gt;0</formula>
    </cfRule>
  </conditionalFormatting>
  <conditionalFormatting sqref="R34">
    <cfRule type="expression" dxfId="39" priority="20">
      <formula>$K34&gt;0</formula>
    </cfRule>
  </conditionalFormatting>
  <conditionalFormatting sqref="R35">
    <cfRule type="expression" dxfId="38" priority="19">
      <formula>$K35&gt;0</formula>
    </cfRule>
  </conditionalFormatting>
  <conditionalFormatting sqref="R10">
    <cfRule type="expression" dxfId="37" priority="18">
      <formula>$K10&gt;0</formula>
    </cfRule>
  </conditionalFormatting>
  <conditionalFormatting sqref="Q10">
    <cfRule type="expression" dxfId="36" priority="17">
      <formula>$K10&gt;0</formula>
    </cfRule>
  </conditionalFormatting>
  <conditionalFormatting sqref="R16">
    <cfRule type="expression" dxfId="35" priority="16">
      <formula>$K16&gt;0</formula>
    </cfRule>
  </conditionalFormatting>
  <conditionalFormatting sqref="Q16">
    <cfRule type="expression" dxfId="34" priority="15">
      <formula>$K16&gt;0</formula>
    </cfRule>
  </conditionalFormatting>
  <conditionalFormatting sqref="R21">
    <cfRule type="expression" dxfId="33" priority="14">
      <formula>$K21&gt;0</formula>
    </cfRule>
  </conditionalFormatting>
  <conditionalFormatting sqref="Q21">
    <cfRule type="expression" dxfId="32" priority="13">
      <formula>$K21&gt;0</formula>
    </cfRule>
  </conditionalFormatting>
  <conditionalFormatting sqref="R25">
    <cfRule type="expression" dxfId="31" priority="12">
      <formula>$K25&gt;0</formula>
    </cfRule>
  </conditionalFormatting>
  <conditionalFormatting sqref="Q25">
    <cfRule type="expression" dxfId="30" priority="11">
      <formula>$K25&gt;0</formula>
    </cfRule>
  </conditionalFormatting>
  <conditionalFormatting sqref="R27">
    <cfRule type="expression" dxfId="29" priority="10">
      <formula>$K27&gt;0</formula>
    </cfRule>
  </conditionalFormatting>
  <conditionalFormatting sqref="Q27">
    <cfRule type="expression" dxfId="28" priority="9">
      <formula>$K27&gt;0</formula>
    </cfRule>
  </conditionalFormatting>
  <conditionalFormatting sqref="R29">
    <cfRule type="expression" dxfId="27" priority="8">
      <formula>$K29&gt;0</formula>
    </cfRule>
  </conditionalFormatting>
  <conditionalFormatting sqref="Q29">
    <cfRule type="expression" dxfId="26" priority="7">
      <formula>$K29&gt;0</formula>
    </cfRule>
  </conditionalFormatting>
  <conditionalFormatting sqref="R36">
    <cfRule type="expression" dxfId="25" priority="6">
      <formula>$K36&gt;0</formula>
    </cfRule>
  </conditionalFormatting>
  <conditionalFormatting sqref="Q36">
    <cfRule type="expression" dxfId="24" priority="5">
      <formula>$K36&gt;0</formula>
    </cfRule>
  </conditionalFormatting>
  <conditionalFormatting sqref="I51:I52">
    <cfRule type="expression" dxfId="23" priority="4">
      <formula>$K51&gt;0</formula>
    </cfRule>
  </conditionalFormatting>
  <conditionalFormatting sqref="J51:J52">
    <cfRule type="expression" dxfId="22" priority="3">
      <formula>$K51&gt;0</formula>
    </cfRule>
  </conditionalFormatting>
  <conditionalFormatting sqref="I40:I41">
    <cfRule type="expression" dxfId="21" priority="2">
      <formula>$K40&gt;0</formula>
    </cfRule>
  </conditionalFormatting>
  <conditionalFormatting sqref="J40:J41">
    <cfRule type="expression" dxfId="20" priority="1">
      <formula>$K40&gt;0</formula>
    </cfRule>
  </conditionalFormatting>
  <pageMargins left="0.7" right="0.7" top="0.75" bottom="0.75" header="0.3" footer="0.3"/>
  <pageSetup paperSize="9" scale="36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D882486-B887-4A9C-855A-931FC1964E82}">
          <x14:formula1>
            <xm:f>OFFSET(WBS!$A$2,MATCH(Cover!$E$18,WBS!$B$3:$B$122,0),3,COUNTIF(WBS!$B$2:$B$122,Cover!$E$18),1)</xm:f>
          </x14:formula1>
          <xm:sqref>Q5:Q11 Q13:Q16 Q18:Q21 Q23:Q27 Q32 Q29:Q30 Q34:Q36</xm:sqref>
        </x14:dataValidation>
        <x14:dataValidation type="list" allowBlank="1" showInputMessage="1" showErrorMessage="1" xr:uid="{88695A5B-3F52-4279-BB6E-2A6C1831F6CF}">
          <x14:formula1>
            <xm:f>OFFSET(WBS!$A$2,MATCH($Q5,WBS!$D$3:$D$122,0),5,COUNTIF(WBS!$D$2:$D$122,$Q5),1)</xm:f>
          </x14:formula1>
          <xm:sqref>R5:R11 R13:R16 R18:R21 R23:R27 R29:R30 R32 R34:R36</xm:sqref>
        </x14:dataValidation>
        <x14:dataValidation type="list" allowBlank="1" showInputMessage="1" showErrorMessage="1" xr:uid="{272F043A-F422-4730-A3C7-151973580764}">
          <x14:formula1>
            <xm:f>OFFSET(WBS!$H$2,MATCH(Cover!$E$18,WBS!$H$3:$H$1052,0),1,COUNTIF(WBS!$H$2:$H$1052,Cover!$E$18),1)</xm:f>
          </x14:formula1>
          <xm:sqref>S5:S37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1:Q61"/>
  <sheetViews>
    <sheetView zoomScale="55" zoomScaleNormal="55" workbookViewId="0">
      <selection activeCell="I4" sqref="I4:M4"/>
    </sheetView>
  </sheetViews>
  <sheetFormatPr defaultRowHeight="16.5"/>
  <cols>
    <col min="1" max="1" width="4" customWidth="1"/>
    <col min="2" max="13" width="17.75" customWidth="1"/>
    <col min="14" max="14" width="8" customWidth="1"/>
    <col min="15" max="15" width="9" hidden="1" customWidth="1"/>
    <col min="16" max="16" width="8.75" hidden="1" customWidth="1"/>
    <col min="18" max="18" width="4" customWidth="1"/>
    <col min="20" max="20" width="8.375" customWidth="1"/>
    <col min="21" max="21" width="3" customWidth="1"/>
    <col min="22" max="22" width="9.5" customWidth="1"/>
  </cols>
  <sheetData>
    <row r="1" spans="2:17" ht="18" thickBot="1"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</row>
    <row r="2" spans="2:17" ht="108" customHeight="1">
      <c r="B2" s="353" t="s">
        <v>655</v>
      </c>
      <c r="C2" s="354"/>
      <c r="D2" s="354"/>
      <c r="E2" s="354"/>
      <c r="F2" s="354"/>
      <c r="G2" s="354"/>
      <c r="H2" s="354"/>
      <c r="I2" s="354"/>
      <c r="J2" s="354"/>
      <c r="K2" s="354"/>
      <c r="L2" s="354"/>
      <c r="M2" s="355"/>
      <c r="N2" s="77"/>
    </row>
    <row r="3" spans="2:17" ht="16.5" customHeight="1">
      <c r="B3" s="78" t="s">
        <v>648</v>
      </c>
      <c r="C3" s="107" t="s">
        <v>703</v>
      </c>
      <c r="D3" s="108"/>
      <c r="E3" s="108"/>
      <c r="F3" s="108"/>
      <c r="G3" s="108"/>
      <c r="H3" s="79"/>
      <c r="I3" s="79"/>
      <c r="J3" s="79"/>
      <c r="K3" s="79"/>
      <c r="L3" s="79"/>
      <c r="M3" s="80"/>
      <c r="N3" s="77"/>
    </row>
    <row r="4" spans="2:17" ht="16.5" customHeight="1" thickBot="1">
      <c r="B4" s="109" t="str">
        <f>Cover!E16</f>
        <v>M15X_PH4_041</v>
      </c>
      <c r="C4" s="110" t="str">
        <f>Cover!E20</f>
        <v>중원엔지니어링FAB</v>
      </c>
      <c r="D4" s="111"/>
      <c r="E4" s="111"/>
      <c r="F4" s="111"/>
      <c r="G4" s="111"/>
      <c r="H4" s="112"/>
      <c r="I4" s="356" t="str">
        <f>'4.물량'!B2</f>
        <v>금일 작업 현황 : 2025-09-17, 수요일</v>
      </c>
      <c r="J4" s="356"/>
      <c r="K4" s="356"/>
      <c r="L4" s="356"/>
      <c r="M4" s="357"/>
      <c r="N4" s="77"/>
    </row>
    <row r="5" spans="2:17" ht="13.5" customHeight="1"/>
    <row r="6" spans="2:17" ht="142.5" customHeight="1">
      <c r="B6" s="347"/>
      <c r="C6" s="348"/>
      <c r="D6" s="348"/>
      <c r="E6" s="348"/>
      <c r="F6" s="348"/>
      <c r="G6" s="349"/>
      <c r="H6" s="347"/>
      <c r="I6" s="348"/>
      <c r="J6" s="348"/>
      <c r="K6" s="348"/>
      <c r="L6" s="348"/>
      <c r="M6" s="349"/>
      <c r="N6" s="77"/>
    </row>
    <row r="7" spans="2:17" ht="142.5" customHeight="1">
      <c r="B7" s="350"/>
      <c r="C7" s="351"/>
      <c r="D7" s="351"/>
      <c r="E7" s="351"/>
      <c r="F7" s="351"/>
      <c r="G7" s="352"/>
      <c r="H7" s="350"/>
      <c r="I7" s="351"/>
      <c r="J7" s="351"/>
      <c r="K7" s="351"/>
      <c r="L7" s="351"/>
      <c r="M7" s="352"/>
      <c r="N7" s="77"/>
    </row>
    <row r="8" spans="2:17" ht="142.5" customHeight="1">
      <c r="B8" s="350"/>
      <c r="C8" s="351"/>
      <c r="D8" s="351"/>
      <c r="E8" s="351"/>
      <c r="F8" s="351"/>
      <c r="G8" s="352"/>
      <c r="H8" s="350"/>
      <c r="I8" s="351"/>
      <c r="J8" s="351"/>
      <c r="K8" s="351"/>
      <c r="L8" s="351"/>
      <c r="M8" s="352"/>
      <c r="N8" s="77"/>
    </row>
    <row r="9" spans="2:17" ht="29.25" customHeight="1">
      <c r="B9" s="193" t="s">
        <v>661</v>
      </c>
      <c r="C9" s="115">
        <f>Cover!$E$15</f>
        <v>45917</v>
      </c>
      <c r="D9" s="193" t="s">
        <v>662</v>
      </c>
      <c r="E9" s="81" t="str">
        <f>Cover!$E$18</f>
        <v>UT</v>
      </c>
      <c r="F9" s="193" t="s">
        <v>650</v>
      </c>
      <c r="G9" s="81" t="s">
        <v>1992</v>
      </c>
      <c r="H9" s="193" t="s">
        <v>657</v>
      </c>
      <c r="I9" s="115">
        <f>Cover!$E$15</f>
        <v>45917</v>
      </c>
      <c r="J9" s="193" t="s">
        <v>662</v>
      </c>
      <c r="K9" s="81" t="str">
        <f>Cover!$E$18</f>
        <v>UT</v>
      </c>
      <c r="L9" s="193" t="s">
        <v>660</v>
      </c>
      <c r="M9" s="81" t="s">
        <v>1992</v>
      </c>
      <c r="N9" s="79"/>
      <c r="O9" s="79"/>
      <c r="P9" s="79"/>
      <c r="Q9" s="79"/>
    </row>
    <row r="10" spans="2:17" ht="27.75" customHeight="1">
      <c r="B10" s="193" t="s">
        <v>658</v>
      </c>
      <c r="C10" s="358" t="s">
        <v>1993</v>
      </c>
      <c r="D10" s="359"/>
      <c r="E10" s="359"/>
      <c r="F10" s="359"/>
      <c r="G10" s="360"/>
      <c r="H10" s="194" t="s">
        <v>651</v>
      </c>
      <c r="I10" s="358" t="s">
        <v>1993</v>
      </c>
      <c r="J10" s="359"/>
      <c r="K10" s="359"/>
      <c r="L10" s="359"/>
      <c r="M10" s="360"/>
      <c r="N10" s="77"/>
    </row>
    <row r="11" spans="2:17" ht="22.5" customHeight="1"/>
    <row r="12" spans="2:17" ht="142.5" customHeight="1">
      <c r="B12" s="347"/>
      <c r="C12" s="348"/>
      <c r="D12" s="348"/>
      <c r="E12" s="348"/>
      <c r="F12" s="348"/>
      <c r="G12" s="349"/>
      <c r="H12" s="347"/>
      <c r="I12" s="348"/>
      <c r="J12" s="348"/>
      <c r="K12" s="348"/>
      <c r="L12" s="348"/>
      <c r="M12" s="349"/>
      <c r="N12" s="77"/>
    </row>
    <row r="13" spans="2:17" ht="142.5" customHeight="1">
      <c r="B13" s="350"/>
      <c r="C13" s="351"/>
      <c r="D13" s="351"/>
      <c r="E13" s="351"/>
      <c r="F13" s="351"/>
      <c r="G13" s="352"/>
      <c r="H13" s="350"/>
      <c r="I13" s="351"/>
      <c r="J13" s="351"/>
      <c r="K13" s="351"/>
      <c r="L13" s="351"/>
      <c r="M13" s="352"/>
      <c r="N13" s="77"/>
    </row>
    <row r="14" spans="2:17" ht="142.5" customHeight="1">
      <c r="B14" s="350"/>
      <c r="C14" s="351"/>
      <c r="D14" s="351"/>
      <c r="E14" s="351"/>
      <c r="F14" s="351"/>
      <c r="G14" s="352"/>
      <c r="H14" s="350"/>
      <c r="I14" s="351"/>
      <c r="J14" s="351"/>
      <c r="K14" s="351"/>
      <c r="L14" s="351"/>
      <c r="M14" s="352"/>
      <c r="N14" s="77"/>
    </row>
    <row r="15" spans="2:17" ht="29.25" customHeight="1">
      <c r="B15" s="193" t="s">
        <v>649</v>
      </c>
      <c r="C15" s="115">
        <f>Cover!$E$15</f>
        <v>45917</v>
      </c>
      <c r="D15" s="193" t="s">
        <v>659</v>
      </c>
      <c r="E15" s="81" t="str">
        <f>Cover!$E$18</f>
        <v>UT</v>
      </c>
      <c r="F15" s="193" t="s">
        <v>660</v>
      </c>
      <c r="G15" s="81" t="s">
        <v>1996</v>
      </c>
      <c r="H15" s="193" t="s">
        <v>657</v>
      </c>
      <c r="I15" s="115">
        <f>Cover!$E$15</f>
        <v>45917</v>
      </c>
      <c r="J15" s="193" t="s">
        <v>656</v>
      </c>
      <c r="K15" s="81" t="str">
        <f>Cover!$E$18</f>
        <v>UT</v>
      </c>
      <c r="L15" s="193" t="s">
        <v>650</v>
      </c>
      <c r="M15" s="81" t="s">
        <v>1994</v>
      </c>
      <c r="N15" s="79"/>
      <c r="O15" s="79"/>
      <c r="P15" s="79"/>
      <c r="Q15" s="79"/>
    </row>
    <row r="16" spans="2:17" ht="27.75" customHeight="1">
      <c r="B16" s="193" t="s">
        <v>651</v>
      </c>
      <c r="C16" s="358" t="s">
        <v>1997</v>
      </c>
      <c r="D16" s="359"/>
      <c r="E16" s="359"/>
      <c r="F16" s="359"/>
      <c r="G16" s="360"/>
      <c r="H16" s="194" t="s">
        <v>663</v>
      </c>
      <c r="I16" s="358" t="s">
        <v>1995</v>
      </c>
      <c r="J16" s="359"/>
      <c r="K16" s="359"/>
      <c r="L16" s="359"/>
      <c r="M16" s="360"/>
      <c r="N16" s="77"/>
    </row>
    <row r="18" spans="2:17" ht="142.5" customHeight="1">
      <c r="B18" s="347"/>
      <c r="C18" s="348"/>
      <c r="D18" s="348"/>
      <c r="E18" s="348"/>
      <c r="F18" s="348"/>
      <c r="G18" s="349"/>
      <c r="H18" s="347"/>
      <c r="I18" s="348"/>
      <c r="J18" s="348"/>
      <c r="K18" s="348"/>
      <c r="L18" s="348"/>
      <c r="M18" s="349"/>
      <c r="N18" s="77"/>
    </row>
    <row r="19" spans="2:17" ht="142.5" customHeight="1">
      <c r="B19" s="350"/>
      <c r="C19" s="351"/>
      <c r="D19" s="351"/>
      <c r="E19" s="351"/>
      <c r="F19" s="351"/>
      <c r="G19" s="352"/>
      <c r="H19" s="350"/>
      <c r="I19" s="351"/>
      <c r="J19" s="351"/>
      <c r="K19" s="351"/>
      <c r="L19" s="351"/>
      <c r="M19" s="352"/>
      <c r="N19" s="77"/>
    </row>
    <row r="20" spans="2:17" ht="142.5" customHeight="1">
      <c r="B20" s="350"/>
      <c r="C20" s="351"/>
      <c r="D20" s="351"/>
      <c r="E20" s="351"/>
      <c r="F20" s="351"/>
      <c r="G20" s="352"/>
      <c r="H20" s="350"/>
      <c r="I20" s="351"/>
      <c r="J20" s="351"/>
      <c r="K20" s="351"/>
      <c r="L20" s="351"/>
      <c r="M20" s="352"/>
      <c r="N20" s="77"/>
    </row>
    <row r="21" spans="2:17" ht="29.25" customHeight="1">
      <c r="B21" s="193" t="s">
        <v>664</v>
      </c>
      <c r="C21" s="81" t="str">
        <f>Cover!$E$18</f>
        <v>UT</v>
      </c>
      <c r="D21" s="193" t="s">
        <v>656</v>
      </c>
      <c r="E21" s="81" t="str">
        <f>Cover!$E$18</f>
        <v>UT</v>
      </c>
      <c r="F21" s="193" t="s">
        <v>665</v>
      </c>
      <c r="G21" s="81" t="s">
        <v>705</v>
      </c>
      <c r="H21" s="193" t="s">
        <v>649</v>
      </c>
      <c r="I21" s="81" t="str">
        <f>Cover!$E$18</f>
        <v>UT</v>
      </c>
      <c r="J21" s="193" t="s">
        <v>659</v>
      </c>
      <c r="K21" s="81" t="str">
        <f>Cover!$E$18</f>
        <v>UT</v>
      </c>
      <c r="L21" s="193" t="s">
        <v>650</v>
      </c>
      <c r="M21" s="81" t="s">
        <v>705</v>
      </c>
      <c r="N21" s="79"/>
      <c r="O21" s="79"/>
      <c r="P21" s="79"/>
      <c r="Q21" s="79"/>
    </row>
    <row r="22" spans="2:17" ht="27.75" customHeight="1">
      <c r="B22" s="193" t="s">
        <v>651</v>
      </c>
      <c r="C22" s="358"/>
      <c r="D22" s="359"/>
      <c r="E22" s="359"/>
      <c r="F22" s="359"/>
      <c r="G22" s="360"/>
      <c r="H22" s="194" t="s">
        <v>651</v>
      </c>
      <c r="I22" s="358"/>
      <c r="J22" s="359"/>
      <c r="K22" s="359"/>
      <c r="L22" s="359"/>
      <c r="M22" s="360"/>
      <c r="N22" s="77"/>
    </row>
    <row r="23" spans="2:17" ht="27.75" customHeight="1"/>
    <row r="25" spans="2:17" ht="13.5" customHeight="1"/>
    <row r="26" spans="2:17" ht="13.5" customHeight="1"/>
    <row r="27" spans="2:17" ht="13.5" customHeight="1"/>
    <row r="28" spans="2:17" ht="13.5" customHeight="1"/>
    <row r="29" spans="2:17" ht="13.5" customHeight="1"/>
    <row r="30" spans="2:17" ht="13.5" customHeight="1"/>
    <row r="31" spans="2:17" ht="13.5" customHeight="1"/>
    <row r="32" spans="2:17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29.25" customHeight="1"/>
    <row r="42" ht="27.7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29.25" customHeight="1"/>
    <row r="61" ht="27.75" customHeight="1"/>
  </sheetData>
  <mergeCells count="14">
    <mergeCell ref="C16:G16"/>
    <mergeCell ref="I16:M16"/>
    <mergeCell ref="B18:G20"/>
    <mergeCell ref="H18:M20"/>
    <mergeCell ref="C22:G22"/>
    <mergeCell ref="I22:M22"/>
    <mergeCell ref="B12:G14"/>
    <mergeCell ref="H12:M14"/>
    <mergeCell ref="B2:M2"/>
    <mergeCell ref="I4:M4"/>
    <mergeCell ref="B6:G8"/>
    <mergeCell ref="H6:M8"/>
    <mergeCell ref="C10:G10"/>
    <mergeCell ref="I10:M10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FC6D3-7A84-414C-B43C-026990ADED14}">
  <sheetPr>
    <tabColor rgb="FFFF0000"/>
    <pageSetUpPr fitToPage="1"/>
  </sheetPr>
  <dimension ref="A1:W166"/>
  <sheetViews>
    <sheetView zoomScale="85" zoomScaleNormal="85" workbookViewId="0">
      <pane ySplit="3" topLeftCell="A4" activePane="bottomLeft" state="frozen"/>
      <selection activeCell="AB22" sqref="AB22"/>
      <selection pane="bottomLeft" activeCell="D22" sqref="D22"/>
    </sheetView>
  </sheetViews>
  <sheetFormatPr defaultColWidth="4.625" defaultRowHeight="20.100000000000001" customHeight="1"/>
  <cols>
    <col min="1" max="1" width="5" style="197" customWidth="1"/>
    <col min="2" max="2" width="10.625" style="198" customWidth="1"/>
    <col min="3" max="3" width="8.375" style="198" bestFit="1" customWidth="1"/>
    <col min="4" max="4" width="16.75" style="198" bestFit="1" customWidth="1"/>
    <col min="5" max="5" width="18.5" style="198" bestFit="1" customWidth="1"/>
    <col min="6" max="6" width="30.875" style="198" customWidth="1"/>
    <col min="7" max="7" width="30.25" style="197" bestFit="1" customWidth="1"/>
    <col min="8" max="8" width="50.875" style="197" customWidth="1"/>
    <col min="9" max="14" width="6.5" style="197" customWidth="1"/>
    <col min="15" max="16" width="4.625" style="197"/>
    <col min="17" max="17" width="17.875" style="197" bestFit="1" customWidth="1"/>
    <col min="18" max="23" width="7" style="197" customWidth="1"/>
    <col min="24" max="16384" width="4.625" style="197"/>
  </cols>
  <sheetData>
    <row r="1" spans="1:23" ht="8.25" customHeight="1"/>
    <row r="2" spans="1:23" ht="30" customHeight="1">
      <c r="A2" s="199" t="str">
        <f ca="1">REPLACE(CELL("filename",A1),1,FIND("]",CELL("filename",A1)),"")</f>
        <v>6.출력일보</v>
      </c>
      <c r="C2" s="200" t="s">
        <v>706</v>
      </c>
      <c r="D2" s="201">
        <f>[1]Cover!E15</f>
        <v>45869</v>
      </c>
      <c r="F2" s="202"/>
    </row>
    <row r="3" spans="1:23" s="198" customFormat="1" ht="30" customHeight="1">
      <c r="A3" s="203" t="s">
        <v>707</v>
      </c>
      <c r="B3" s="204" t="s">
        <v>708</v>
      </c>
      <c r="C3" s="204" t="s">
        <v>709</v>
      </c>
      <c r="D3" s="204" t="s">
        <v>710</v>
      </c>
      <c r="E3" s="204" t="s">
        <v>711</v>
      </c>
      <c r="F3" s="204" t="s">
        <v>712</v>
      </c>
      <c r="G3" s="205" t="s">
        <v>713</v>
      </c>
      <c r="H3" s="204" t="s">
        <v>714</v>
      </c>
      <c r="I3" s="204" t="s">
        <v>11</v>
      </c>
      <c r="J3" s="204" t="s">
        <v>12</v>
      </c>
      <c r="K3" s="204" t="s">
        <v>13</v>
      </c>
      <c r="L3" s="204" t="s">
        <v>14</v>
      </c>
      <c r="M3" s="204" t="s">
        <v>17</v>
      </c>
      <c r="N3" s="206" t="s">
        <v>67</v>
      </c>
      <c r="Q3" s="184" t="s">
        <v>32</v>
      </c>
      <c r="R3" s="345" t="str">
        <f>CONCATENATE("금일투입 [", TEXT(Cover!$E$15, "mm/dd"), "]")</f>
        <v>금일투입 [09/17]</v>
      </c>
      <c r="S3" s="346"/>
      <c r="T3" s="346"/>
      <c r="U3" s="346"/>
      <c r="V3" s="346"/>
      <c r="W3" s="361"/>
    </row>
    <row r="4" spans="1:23" ht="20.100000000000001" customHeight="1">
      <c r="A4" s="207">
        <v>1</v>
      </c>
      <c r="B4" s="283" t="s">
        <v>1998</v>
      </c>
      <c r="C4" s="208" t="s">
        <v>715</v>
      </c>
      <c r="D4" s="212" t="s">
        <v>716</v>
      </c>
      <c r="E4" s="212" t="s">
        <v>716</v>
      </c>
      <c r="F4" s="212" t="s">
        <v>716</v>
      </c>
      <c r="G4" s="208" t="s">
        <v>1999</v>
      </c>
      <c r="H4" s="209" t="s">
        <v>718</v>
      </c>
      <c r="I4" s="209">
        <v>1</v>
      </c>
      <c r="J4" s="209">
        <v>1</v>
      </c>
      <c r="K4" s="209"/>
      <c r="L4" s="209"/>
      <c r="M4" s="209"/>
      <c r="N4" s="210"/>
      <c r="Q4" s="17" t="s">
        <v>33</v>
      </c>
      <c r="R4" s="119" t="s">
        <v>34</v>
      </c>
      <c r="S4" s="18" t="s">
        <v>35</v>
      </c>
      <c r="T4" s="18" t="s">
        <v>36</v>
      </c>
      <c r="U4" s="18" t="s">
        <v>37</v>
      </c>
      <c r="V4" s="19" t="s">
        <v>38</v>
      </c>
      <c r="W4" s="120" t="s">
        <v>41</v>
      </c>
    </row>
    <row r="5" spans="1:23" ht="20.100000000000001" customHeight="1">
      <c r="A5" s="211">
        <f>A4+1</f>
        <v>2</v>
      </c>
      <c r="B5" s="284" t="s">
        <v>2000</v>
      </c>
      <c r="C5" s="212" t="s">
        <v>133</v>
      </c>
      <c r="D5" s="212" t="s">
        <v>716</v>
      </c>
      <c r="E5" s="212" t="s">
        <v>716</v>
      </c>
      <c r="F5" s="212" t="s">
        <v>716</v>
      </c>
      <c r="G5" s="208" t="s">
        <v>1999</v>
      </c>
      <c r="H5" s="209" t="s">
        <v>2017</v>
      </c>
      <c r="I5" s="213"/>
      <c r="J5" s="213">
        <v>1</v>
      </c>
      <c r="K5" s="213"/>
      <c r="L5" s="213"/>
      <c r="M5" s="213"/>
      <c r="N5" s="214"/>
      <c r="Q5" s="280" t="str">
        <f>'2.직종별 인원현황'!F6</f>
        <v>BP소장</v>
      </c>
      <c r="R5" s="213">
        <f ca="1">SUMIF(표2[[직종구분]:[작업 위치_코드]],$Q5,표2[조출])</f>
        <v>1</v>
      </c>
      <c r="S5" s="213">
        <f ca="1">SUMIF(표2[[직종구분]:[작업 위치_코드]],$Q5,표2[주간])</f>
        <v>1</v>
      </c>
      <c r="T5" s="213">
        <f ca="1">SUMIF(표2[[직종구분]:[작업 위치_코드]],$Q5,표2[연장])</f>
        <v>0</v>
      </c>
      <c r="U5" s="213">
        <f ca="1">SUMIF(표2[[직종구분]:[작업 위치_코드]],$Q5,표2[야간])</f>
        <v>0</v>
      </c>
      <c r="V5" s="213">
        <f ca="1">SUMIF(표2[[직종구분]:[작업 위치_코드]],$Q5,표2[철야])</f>
        <v>0</v>
      </c>
      <c r="W5" s="213">
        <f ca="1">SUM(R5:V5)</f>
        <v>2</v>
      </c>
    </row>
    <row r="6" spans="1:23" ht="20.100000000000001" customHeight="1">
      <c r="A6" s="211">
        <f t="shared" ref="A6:A69" si="0">A5+1</f>
        <v>3</v>
      </c>
      <c r="B6" s="284" t="s">
        <v>2001</v>
      </c>
      <c r="C6" s="212" t="s">
        <v>133</v>
      </c>
      <c r="D6" s="212" t="s">
        <v>716</v>
      </c>
      <c r="E6" s="212" t="s">
        <v>716</v>
      </c>
      <c r="F6" s="212" t="s">
        <v>716</v>
      </c>
      <c r="G6" s="208" t="s">
        <v>1999</v>
      </c>
      <c r="H6" s="209" t="s">
        <v>2017</v>
      </c>
      <c r="I6" s="213"/>
      <c r="J6" s="213">
        <v>1</v>
      </c>
      <c r="K6" s="213"/>
      <c r="L6" s="213"/>
      <c r="M6" s="213"/>
      <c r="N6" s="214"/>
      <c r="Q6" s="280" t="str">
        <f>'2.직종별 인원현황'!F7</f>
        <v>공사관리자</v>
      </c>
      <c r="R6" s="213">
        <f ca="1">SUMIF(표2[[직종구분]:[작업 위치_코드]],$Q6,표2[조출])</f>
        <v>1</v>
      </c>
      <c r="S6" s="213">
        <f ca="1">SUMIF(표2[[직종구분]:[작업 위치_코드]],$Q6,표2[주간])</f>
        <v>5</v>
      </c>
      <c r="T6" s="213">
        <f ca="1">SUMIF(표2[[직종구분]:[작업 위치_코드]],$Q6,표2[연장])</f>
        <v>0</v>
      </c>
      <c r="U6" s="213">
        <f ca="1">SUMIF(표2[[직종구분]:[작업 위치_코드]],$Q6,표2[야간])</f>
        <v>0</v>
      </c>
      <c r="V6" s="213">
        <f ca="1">SUMIF(표2[[직종구분]:[작업 위치_코드]],$Q6,표2[철야])</f>
        <v>0</v>
      </c>
      <c r="W6" s="213">
        <f t="shared" ref="W6:W69" ca="1" si="1">SUM(R6:V6)</f>
        <v>6</v>
      </c>
    </row>
    <row r="7" spans="1:23" ht="20.100000000000001" customHeight="1">
      <c r="A7" s="211">
        <f t="shared" si="0"/>
        <v>4</v>
      </c>
      <c r="B7" s="284" t="s">
        <v>2002</v>
      </c>
      <c r="C7" s="212" t="s">
        <v>133</v>
      </c>
      <c r="D7" s="212" t="s">
        <v>716</v>
      </c>
      <c r="E7" s="212" t="s">
        <v>716</v>
      </c>
      <c r="F7" s="212" t="s">
        <v>716</v>
      </c>
      <c r="G7" s="208" t="s">
        <v>1999</v>
      </c>
      <c r="H7" s="209" t="s">
        <v>2017</v>
      </c>
      <c r="I7" s="213"/>
      <c r="J7" s="213">
        <v>1</v>
      </c>
      <c r="K7" s="213"/>
      <c r="L7" s="213"/>
      <c r="M7" s="213"/>
      <c r="N7" s="214"/>
      <c r="Q7" s="280" t="str">
        <f>'2.직종별 인원현황'!F8</f>
        <v>안전관리자</v>
      </c>
      <c r="R7" s="213">
        <f ca="1">SUMIF(표2[[직종구분]:[작업 위치_코드]],$Q7,표2[조출])</f>
        <v>2</v>
      </c>
      <c r="S7" s="213">
        <f ca="1">SUMIF(표2[[직종구분]:[작업 위치_코드]],$Q7,표2[주간])</f>
        <v>7</v>
      </c>
      <c r="T7" s="213">
        <f ca="1">SUMIF(표2[[직종구분]:[작업 위치_코드]],$Q7,표2[연장])</f>
        <v>0</v>
      </c>
      <c r="U7" s="213">
        <f ca="1">SUMIF(표2[[직종구분]:[작업 위치_코드]],$Q7,표2[야간])</f>
        <v>0</v>
      </c>
      <c r="V7" s="213">
        <f ca="1">SUMIF(표2[[직종구분]:[작업 위치_코드]],$Q7,표2[철야])</f>
        <v>0</v>
      </c>
      <c r="W7" s="213">
        <f t="shared" ca="1" si="1"/>
        <v>9</v>
      </c>
    </row>
    <row r="8" spans="1:23" ht="20.100000000000001" customHeight="1">
      <c r="A8" s="211">
        <f t="shared" si="0"/>
        <v>5</v>
      </c>
      <c r="B8" s="284" t="s">
        <v>2003</v>
      </c>
      <c r="C8" s="212" t="s">
        <v>133</v>
      </c>
      <c r="D8" s="212" t="s">
        <v>716</v>
      </c>
      <c r="E8" s="212" t="s">
        <v>716</v>
      </c>
      <c r="F8" s="212" t="s">
        <v>716</v>
      </c>
      <c r="G8" s="208" t="s">
        <v>1999</v>
      </c>
      <c r="H8" s="209" t="s">
        <v>2017</v>
      </c>
      <c r="I8" s="213"/>
      <c r="J8" s="213">
        <v>1</v>
      </c>
      <c r="K8" s="213"/>
      <c r="L8" s="213"/>
      <c r="M8" s="213"/>
      <c r="N8" s="214"/>
      <c r="Q8" s="280" t="str">
        <f>'2.직종별 인원현황'!F9</f>
        <v>품질관리자</v>
      </c>
      <c r="R8" s="213">
        <f ca="1">SUMIF(표2[[직종구분]:[작업 위치_코드]],$Q8,표2[조출])</f>
        <v>0</v>
      </c>
      <c r="S8" s="213">
        <f ca="1">SUMIF(표2[[직종구분]:[작업 위치_코드]],$Q8,표2[주간])</f>
        <v>4</v>
      </c>
      <c r="T8" s="213">
        <f ca="1">SUMIF(표2[[직종구분]:[작업 위치_코드]],$Q8,표2[연장])</f>
        <v>0</v>
      </c>
      <c r="U8" s="213">
        <f ca="1">SUMIF(표2[[직종구분]:[작업 위치_코드]],$Q8,표2[야간])</f>
        <v>0</v>
      </c>
      <c r="V8" s="213">
        <f ca="1">SUMIF(표2[[직종구분]:[작업 위치_코드]],$Q8,표2[철야])</f>
        <v>0</v>
      </c>
      <c r="W8" s="213">
        <f t="shared" ca="1" si="1"/>
        <v>4</v>
      </c>
    </row>
    <row r="9" spans="1:23" ht="20.100000000000001" customHeight="1">
      <c r="A9" s="211">
        <f t="shared" si="0"/>
        <v>6</v>
      </c>
      <c r="B9" s="284" t="s">
        <v>2004</v>
      </c>
      <c r="C9" s="212" t="s">
        <v>133</v>
      </c>
      <c r="D9" s="212" t="s">
        <v>716</v>
      </c>
      <c r="E9" s="212" t="s">
        <v>716</v>
      </c>
      <c r="F9" s="212" t="s">
        <v>716</v>
      </c>
      <c r="G9" s="212" t="s">
        <v>2005</v>
      </c>
      <c r="H9" s="209" t="s">
        <v>2017</v>
      </c>
      <c r="I9" s="213">
        <v>1</v>
      </c>
      <c r="J9" s="213">
        <v>1</v>
      </c>
      <c r="K9" s="213"/>
      <c r="L9" s="213"/>
      <c r="M9" s="213"/>
      <c r="N9" s="214"/>
      <c r="Q9" s="280" t="str">
        <f>'2.직종별 인원현황'!F10</f>
        <v>일반관리자</v>
      </c>
      <c r="R9" s="213">
        <f ca="1">SUMIF(표2[[직종구분]:[작업 위치_코드]],$Q9,표2[조출])</f>
        <v>0</v>
      </c>
      <c r="S9" s="213">
        <f ca="1">SUMIF(표2[[직종구분]:[작업 위치_코드]],$Q9,표2[주간])</f>
        <v>0</v>
      </c>
      <c r="T9" s="213">
        <f ca="1">SUMIF(표2[[직종구분]:[작업 위치_코드]],$Q9,표2[연장])</f>
        <v>0</v>
      </c>
      <c r="U9" s="213">
        <f ca="1">SUMIF(표2[[직종구분]:[작업 위치_코드]],$Q9,표2[야간])</f>
        <v>0</v>
      </c>
      <c r="V9" s="213">
        <f ca="1">SUMIF(표2[[직종구분]:[작업 위치_코드]],$Q9,표2[철야])</f>
        <v>0</v>
      </c>
      <c r="W9" s="213">
        <f t="shared" ca="1" si="1"/>
        <v>0</v>
      </c>
    </row>
    <row r="10" spans="1:23" ht="20.100000000000001" customHeight="1">
      <c r="A10" s="211">
        <f t="shared" si="0"/>
        <v>7</v>
      </c>
      <c r="B10" s="284" t="s">
        <v>2006</v>
      </c>
      <c r="C10" s="212" t="s">
        <v>134</v>
      </c>
      <c r="D10" s="212" t="s">
        <v>716</v>
      </c>
      <c r="E10" s="212" t="s">
        <v>716</v>
      </c>
      <c r="F10" s="212" t="s">
        <v>716</v>
      </c>
      <c r="G10" s="208" t="s">
        <v>1999</v>
      </c>
      <c r="H10" s="209" t="s">
        <v>2018</v>
      </c>
      <c r="I10" s="213"/>
      <c r="J10" s="213">
        <v>1</v>
      </c>
      <c r="K10" s="213"/>
      <c r="L10" s="213"/>
      <c r="M10" s="213"/>
      <c r="N10" s="214"/>
      <c r="Q10" s="280" t="str">
        <f>'2.직종별 인원현황'!F11</f>
        <v>Shop설계</v>
      </c>
      <c r="R10" s="213">
        <f ca="1">SUMIF(표2[[직종구분]:[작업 위치_코드]],$Q10,표2[조출])</f>
        <v>0</v>
      </c>
      <c r="S10" s="213">
        <f ca="1">SUMIF(표2[[직종구분]:[작업 위치_코드]],$Q10,표2[주간])</f>
        <v>0</v>
      </c>
      <c r="T10" s="213">
        <f ca="1">SUMIF(표2[[직종구분]:[작업 위치_코드]],$Q10,표2[연장])</f>
        <v>0</v>
      </c>
      <c r="U10" s="213">
        <f ca="1">SUMIF(표2[[직종구분]:[작업 위치_코드]],$Q10,표2[야간])</f>
        <v>0</v>
      </c>
      <c r="V10" s="213">
        <f ca="1">SUMIF(표2[[직종구분]:[작업 위치_코드]],$Q10,표2[철야])</f>
        <v>0</v>
      </c>
      <c r="W10" s="213">
        <f t="shared" ca="1" si="1"/>
        <v>0</v>
      </c>
    </row>
    <row r="11" spans="1:23" ht="20.100000000000001" customHeight="1">
      <c r="A11" s="211">
        <f t="shared" si="0"/>
        <v>8</v>
      </c>
      <c r="B11" s="284" t="s">
        <v>2007</v>
      </c>
      <c r="C11" s="212" t="s">
        <v>134</v>
      </c>
      <c r="D11" s="212" t="s">
        <v>716</v>
      </c>
      <c r="E11" s="212" t="s">
        <v>716</v>
      </c>
      <c r="F11" s="212" t="s">
        <v>716</v>
      </c>
      <c r="G11" s="208" t="s">
        <v>1999</v>
      </c>
      <c r="H11" s="209" t="s">
        <v>2018</v>
      </c>
      <c r="I11" s="213"/>
      <c r="J11" s="213">
        <v>1</v>
      </c>
      <c r="K11" s="213"/>
      <c r="L11" s="213"/>
      <c r="M11" s="213"/>
      <c r="N11" s="214"/>
      <c r="Q11" s="280" t="str">
        <f>'2.직종별 인원현황'!F12</f>
        <v>관리자07</v>
      </c>
      <c r="R11" s="213">
        <f ca="1">SUMIF(표2[[직종구분]:[작업 위치_코드]],$Q11,표2[조출])</f>
        <v>0</v>
      </c>
      <c r="S11" s="213">
        <f ca="1">SUMIF(표2[[직종구분]:[작업 위치_코드]],$Q11,표2[주간])</f>
        <v>0</v>
      </c>
      <c r="T11" s="213">
        <f ca="1">SUMIF(표2[[직종구분]:[작업 위치_코드]],$Q11,표2[연장])</f>
        <v>0</v>
      </c>
      <c r="U11" s="213">
        <f ca="1">SUMIF(표2[[직종구분]:[작업 위치_코드]],$Q11,표2[야간])</f>
        <v>0</v>
      </c>
      <c r="V11" s="213">
        <f ca="1">SUMIF(표2[[직종구분]:[작업 위치_코드]],$Q11,표2[철야])</f>
        <v>0</v>
      </c>
      <c r="W11" s="213">
        <f t="shared" ca="1" si="1"/>
        <v>0</v>
      </c>
    </row>
    <row r="12" spans="1:23" ht="20.100000000000001" customHeight="1">
      <c r="A12" s="211">
        <f t="shared" si="0"/>
        <v>9</v>
      </c>
      <c r="B12" s="284" t="s">
        <v>2008</v>
      </c>
      <c r="C12" s="212" t="s">
        <v>134</v>
      </c>
      <c r="D12" s="212" t="s">
        <v>716</v>
      </c>
      <c r="E12" s="212" t="s">
        <v>716</v>
      </c>
      <c r="F12" s="212" t="s">
        <v>716</v>
      </c>
      <c r="G12" s="208" t="s">
        <v>1999</v>
      </c>
      <c r="H12" s="209" t="s">
        <v>2018</v>
      </c>
      <c r="I12" s="213"/>
      <c r="J12" s="213">
        <v>1</v>
      </c>
      <c r="K12" s="213"/>
      <c r="L12" s="213"/>
      <c r="M12" s="213"/>
      <c r="N12" s="214"/>
      <c r="Q12" s="280" t="str">
        <f>'2.직종별 인원현황'!F13</f>
        <v>관리자08</v>
      </c>
      <c r="R12" s="213">
        <f ca="1">SUMIF(표2[[직종구분]:[작업 위치_코드]],$Q12,표2[조출])</f>
        <v>0</v>
      </c>
      <c r="S12" s="213">
        <f ca="1">SUMIF(표2[[직종구분]:[작업 위치_코드]],$Q12,표2[주간])</f>
        <v>0</v>
      </c>
      <c r="T12" s="213">
        <f ca="1">SUMIF(표2[[직종구분]:[작업 위치_코드]],$Q12,표2[연장])</f>
        <v>0</v>
      </c>
      <c r="U12" s="213">
        <f ca="1">SUMIF(표2[[직종구분]:[작업 위치_코드]],$Q12,표2[야간])</f>
        <v>0</v>
      </c>
      <c r="V12" s="213">
        <f ca="1">SUMIF(표2[[직종구분]:[작업 위치_코드]],$Q12,표2[철야])</f>
        <v>0</v>
      </c>
      <c r="W12" s="213">
        <f t="shared" ca="1" si="1"/>
        <v>0</v>
      </c>
    </row>
    <row r="13" spans="1:23" ht="20.100000000000001" customHeight="1">
      <c r="A13" s="211">
        <f t="shared" si="0"/>
        <v>10</v>
      </c>
      <c r="B13" s="284" t="s">
        <v>2009</v>
      </c>
      <c r="C13" s="212" t="s">
        <v>134</v>
      </c>
      <c r="D13" s="212" t="s">
        <v>716</v>
      </c>
      <c r="E13" s="212" t="s">
        <v>716</v>
      </c>
      <c r="F13" s="212" t="s">
        <v>716</v>
      </c>
      <c r="G13" s="208" t="s">
        <v>1999</v>
      </c>
      <c r="H13" s="209" t="s">
        <v>2018</v>
      </c>
      <c r="I13" s="213"/>
      <c r="J13" s="213">
        <v>1</v>
      </c>
      <c r="K13" s="213"/>
      <c r="L13" s="213"/>
      <c r="M13" s="213"/>
      <c r="N13" s="214"/>
      <c r="Q13" s="280" t="str">
        <f>'2.직종별 인원현황'!F14</f>
        <v>관리자09</v>
      </c>
      <c r="R13" s="213">
        <f ca="1">SUMIF(표2[[직종구분]:[작업 위치_코드]],$Q13,표2[조출])</f>
        <v>0</v>
      </c>
      <c r="S13" s="213">
        <f ca="1">SUMIF(표2[[직종구분]:[작업 위치_코드]],$Q13,표2[주간])</f>
        <v>0</v>
      </c>
      <c r="T13" s="213">
        <f ca="1">SUMIF(표2[[직종구분]:[작업 위치_코드]],$Q13,표2[연장])</f>
        <v>0</v>
      </c>
      <c r="U13" s="213">
        <f ca="1">SUMIF(표2[[직종구분]:[작업 위치_코드]],$Q13,표2[야간])</f>
        <v>0</v>
      </c>
      <c r="V13" s="213">
        <f ca="1">SUMIF(표2[[직종구분]:[작업 위치_코드]],$Q13,표2[철야])</f>
        <v>0</v>
      </c>
      <c r="W13" s="213">
        <f t="shared" ca="1" si="1"/>
        <v>0</v>
      </c>
    </row>
    <row r="14" spans="1:23" ht="20.100000000000001" customHeight="1">
      <c r="A14" s="211">
        <f t="shared" si="0"/>
        <v>11</v>
      </c>
      <c r="B14" s="284" t="s">
        <v>2010</v>
      </c>
      <c r="C14" s="212" t="s">
        <v>134</v>
      </c>
      <c r="D14" s="212" t="s">
        <v>716</v>
      </c>
      <c r="E14" s="212" t="s">
        <v>716</v>
      </c>
      <c r="F14" s="212" t="s">
        <v>716</v>
      </c>
      <c r="G14" s="208" t="s">
        <v>1999</v>
      </c>
      <c r="H14" s="209" t="s">
        <v>2018</v>
      </c>
      <c r="I14" s="213"/>
      <c r="J14" s="213">
        <v>1</v>
      </c>
      <c r="K14" s="213"/>
      <c r="L14" s="213"/>
      <c r="M14" s="213"/>
      <c r="N14" s="214"/>
      <c r="Q14" s="287" t="str">
        <f>'2.직종별 인원현황'!F15</f>
        <v>관리자10</v>
      </c>
      <c r="R14" s="213">
        <f ca="1">SUMIF(표2[[직종구분]:[작업 위치_코드]],$Q14,표2[조출])</f>
        <v>0</v>
      </c>
      <c r="S14" s="213">
        <f ca="1">SUMIF(표2[[직종구분]:[작업 위치_코드]],$Q14,표2[주간])</f>
        <v>0</v>
      </c>
      <c r="T14" s="213">
        <f ca="1">SUMIF(표2[[직종구분]:[작업 위치_코드]],$Q14,표2[연장])</f>
        <v>0</v>
      </c>
      <c r="U14" s="213">
        <f ca="1">SUMIF(표2[[직종구분]:[작업 위치_코드]],$Q14,표2[야간])</f>
        <v>0</v>
      </c>
      <c r="V14" s="213">
        <f ca="1">SUMIF(표2[[직종구분]:[작업 위치_코드]],$Q14,표2[철야])</f>
        <v>0</v>
      </c>
      <c r="W14" s="213">
        <f t="shared" ca="1" si="1"/>
        <v>0</v>
      </c>
    </row>
    <row r="15" spans="1:23" ht="20.100000000000001" customHeight="1">
      <c r="A15" s="211">
        <f t="shared" si="0"/>
        <v>12</v>
      </c>
      <c r="B15" s="284" t="s">
        <v>2011</v>
      </c>
      <c r="C15" s="212" t="s">
        <v>134</v>
      </c>
      <c r="D15" s="212" t="s">
        <v>716</v>
      </c>
      <c r="E15" s="212" t="s">
        <v>716</v>
      </c>
      <c r="F15" s="212" t="s">
        <v>716</v>
      </c>
      <c r="G15" s="212" t="s">
        <v>2005</v>
      </c>
      <c r="H15" s="209" t="s">
        <v>2018</v>
      </c>
      <c r="I15" s="213">
        <v>1</v>
      </c>
      <c r="J15" s="213">
        <v>1</v>
      </c>
      <c r="K15" s="213"/>
      <c r="L15" s="213"/>
      <c r="M15" s="213"/>
      <c r="N15" s="214"/>
      <c r="Q15" s="280" t="str">
        <f>'2.직종별 인원현황'!F16</f>
        <v>H/C 장비기사</v>
      </c>
      <c r="R15" s="213">
        <f ca="1">SUMIF(표2[[직종구분]:[작업 위치_코드]],$Q15,표2[조출])</f>
        <v>0</v>
      </c>
      <c r="S15" s="213">
        <f ca="1">SUMIF(표2[[직종구분]:[작업 위치_코드]],$Q15,표2[주간])</f>
        <v>0</v>
      </c>
      <c r="T15" s="213">
        <f ca="1">SUMIF(표2[[직종구분]:[작업 위치_코드]],$Q15,표2[연장])</f>
        <v>0</v>
      </c>
      <c r="U15" s="213">
        <f ca="1">SUMIF(표2[[직종구분]:[작업 위치_코드]],$Q15,표2[야간])</f>
        <v>0</v>
      </c>
      <c r="V15" s="213">
        <f ca="1">SUMIF(표2[[직종구분]:[작업 위치_코드]],$Q15,표2[철야])</f>
        <v>0</v>
      </c>
      <c r="W15" s="213">
        <f t="shared" ca="1" si="1"/>
        <v>0</v>
      </c>
    </row>
    <row r="16" spans="1:23" ht="20.100000000000001" customHeight="1">
      <c r="A16" s="211">
        <f t="shared" si="0"/>
        <v>13</v>
      </c>
      <c r="B16" s="284" t="s">
        <v>2012</v>
      </c>
      <c r="C16" s="212" t="s">
        <v>134</v>
      </c>
      <c r="D16" s="212" t="s">
        <v>716</v>
      </c>
      <c r="E16" s="212" t="s">
        <v>716</v>
      </c>
      <c r="F16" s="212" t="s">
        <v>716</v>
      </c>
      <c r="G16" s="212" t="s">
        <v>2005</v>
      </c>
      <c r="H16" s="209" t="s">
        <v>2018</v>
      </c>
      <c r="I16" s="213">
        <v>1</v>
      </c>
      <c r="J16" s="213">
        <v>1</v>
      </c>
      <c r="K16" s="213"/>
      <c r="L16" s="213"/>
      <c r="M16" s="213"/>
      <c r="N16" s="214"/>
      <c r="Q16" s="280" t="str">
        <f>'2.직종별 인원현황'!F17</f>
        <v>T/C 장비기사</v>
      </c>
      <c r="R16" s="213">
        <f ca="1">SUMIF(표2[[직종구분]:[작업 위치_코드]],$Q16,표2[조출])</f>
        <v>0</v>
      </c>
      <c r="S16" s="213">
        <f ca="1">SUMIF(표2[[직종구분]:[작업 위치_코드]],$Q16,표2[주간])</f>
        <v>0</v>
      </c>
      <c r="T16" s="213">
        <f ca="1">SUMIF(표2[[직종구분]:[작업 위치_코드]],$Q16,표2[연장])</f>
        <v>0</v>
      </c>
      <c r="U16" s="213">
        <f ca="1">SUMIF(표2[[직종구분]:[작업 위치_코드]],$Q16,표2[야간])</f>
        <v>0</v>
      </c>
      <c r="V16" s="213">
        <f ca="1">SUMIF(표2[[직종구분]:[작업 위치_코드]],$Q16,표2[철야])</f>
        <v>0</v>
      </c>
      <c r="W16" s="213">
        <f t="shared" ca="1" si="1"/>
        <v>0</v>
      </c>
    </row>
    <row r="17" spans="1:23" ht="20.100000000000001" customHeight="1">
      <c r="A17" s="211">
        <f t="shared" si="0"/>
        <v>14</v>
      </c>
      <c r="B17" s="215" t="s">
        <v>2013</v>
      </c>
      <c r="C17" s="212" t="s">
        <v>135</v>
      </c>
      <c r="D17" s="212" t="s">
        <v>716</v>
      </c>
      <c r="E17" s="212" t="s">
        <v>716</v>
      </c>
      <c r="F17" s="212" t="s">
        <v>716</v>
      </c>
      <c r="G17" s="208" t="s">
        <v>1999</v>
      </c>
      <c r="H17" s="209" t="s">
        <v>2019</v>
      </c>
      <c r="I17" s="213"/>
      <c r="J17" s="213">
        <v>1</v>
      </c>
      <c r="K17" s="213"/>
      <c r="L17" s="213"/>
      <c r="M17" s="213"/>
      <c r="N17" s="214"/>
      <c r="Q17" s="280" t="str">
        <f>'2.직종별 인원현황'!F18</f>
        <v>T/C 정비기사</v>
      </c>
      <c r="R17" s="213">
        <f ca="1">SUMIF(표2[[직종구분]:[작업 위치_코드]],$Q17,표2[조출])</f>
        <v>0</v>
      </c>
      <c r="S17" s="213">
        <f ca="1">SUMIF(표2[[직종구분]:[작업 위치_코드]],$Q17,표2[주간])</f>
        <v>0</v>
      </c>
      <c r="T17" s="213">
        <f ca="1">SUMIF(표2[[직종구분]:[작업 위치_코드]],$Q17,표2[연장])</f>
        <v>0</v>
      </c>
      <c r="U17" s="213">
        <f ca="1">SUMIF(표2[[직종구분]:[작업 위치_코드]],$Q17,표2[야간])</f>
        <v>0</v>
      </c>
      <c r="V17" s="213">
        <f ca="1">SUMIF(표2[[직종구분]:[작업 위치_코드]],$Q17,표2[철야])</f>
        <v>0</v>
      </c>
      <c r="W17" s="213">
        <f t="shared" ca="1" si="1"/>
        <v>0</v>
      </c>
    </row>
    <row r="18" spans="1:23" ht="20.100000000000001" customHeight="1">
      <c r="A18" s="211">
        <f t="shared" si="0"/>
        <v>15</v>
      </c>
      <c r="B18" s="215" t="s">
        <v>2014</v>
      </c>
      <c r="C18" s="212" t="s">
        <v>135</v>
      </c>
      <c r="D18" s="212" t="s">
        <v>716</v>
      </c>
      <c r="E18" s="212" t="s">
        <v>716</v>
      </c>
      <c r="F18" s="212" t="s">
        <v>716</v>
      </c>
      <c r="G18" s="208" t="s">
        <v>1999</v>
      </c>
      <c r="H18" s="209" t="s">
        <v>2019</v>
      </c>
      <c r="I18" s="213"/>
      <c r="J18" s="213">
        <v>1</v>
      </c>
      <c r="K18" s="213"/>
      <c r="L18" s="213"/>
      <c r="M18" s="213"/>
      <c r="N18" s="214"/>
      <c r="Q18" s="280" t="str">
        <f>'2.직종별 인원현황'!F19</f>
        <v>스카이 장비기사</v>
      </c>
      <c r="R18" s="213">
        <f ca="1">SUMIF(표2[[직종구분]:[작업 위치_코드]],$Q18,표2[조출])</f>
        <v>0</v>
      </c>
      <c r="S18" s="213">
        <f ca="1">SUMIF(표2[[직종구분]:[작업 위치_코드]],$Q18,표2[주간])</f>
        <v>0</v>
      </c>
      <c r="T18" s="213">
        <f ca="1">SUMIF(표2[[직종구분]:[작업 위치_코드]],$Q18,표2[연장])</f>
        <v>0</v>
      </c>
      <c r="U18" s="213">
        <f ca="1">SUMIF(표2[[직종구분]:[작업 위치_코드]],$Q18,표2[야간])</f>
        <v>0</v>
      </c>
      <c r="V18" s="213">
        <f ca="1">SUMIF(표2[[직종구분]:[작업 위치_코드]],$Q18,표2[철야])</f>
        <v>0</v>
      </c>
      <c r="W18" s="213">
        <f t="shared" ca="1" si="1"/>
        <v>0</v>
      </c>
    </row>
    <row r="19" spans="1:23" ht="20.100000000000001" customHeight="1">
      <c r="A19" s="211">
        <f t="shared" si="0"/>
        <v>16</v>
      </c>
      <c r="B19" s="215" t="s">
        <v>2015</v>
      </c>
      <c r="C19" s="212" t="s">
        <v>135</v>
      </c>
      <c r="D19" s="212" t="s">
        <v>716</v>
      </c>
      <c r="E19" s="212" t="s">
        <v>716</v>
      </c>
      <c r="F19" s="212" t="s">
        <v>716</v>
      </c>
      <c r="G19" s="212" t="s">
        <v>2005</v>
      </c>
      <c r="H19" s="209" t="s">
        <v>2019</v>
      </c>
      <c r="I19" s="213"/>
      <c r="J19" s="213">
        <v>1</v>
      </c>
      <c r="K19" s="213"/>
      <c r="L19" s="213"/>
      <c r="M19" s="213"/>
      <c r="N19" s="214"/>
      <c r="Q19" s="280" t="str">
        <f>'2.직종별 인원현황'!F20</f>
        <v>지게차 장비기사</v>
      </c>
      <c r="R19" s="213">
        <f ca="1">SUMIF(표2[[직종구분]:[작업 위치_코드]],$Q19,표2[조출])</f>
        <v>0</v>
      </c>
      <c r="S19" s="213">
        <f ca="1">SUMIF(표2[[직종구분]:[작업 위치_코드]],$Q19,표2[주간])</f>
        <v>0</v>
      </c>
      <c r="T19" s="213">
        <f ca="1">SUMIF(표2[[직종구분]:[작업 위치_코드]],$Q19,표2[연장])</f>
        <v>0</v>
      </c>
      <c r="U19" s="213">
        <f ca="1">SUMIF(표2[[직종구분]:[작업 위치_코드]],$Q19,표2[야간])</f>
        <v>0</v>
      </c>
      <c r="V19" s="213">
        <f ca="1">SUMIF(표2[[직종구분]:[작업 위치_코드]],$Q19,표2[철야])</f>
        <v>0</v>
      </c>
      <c r="W19" s="213">
        <f t="shared" ca="1" si="1"/>
        <v>0</v>
      </c>
    </row>
    <row r="20" spans="1:23" ht="20.100000000000001" customHeight="1">
      <c r="A20" s="211">
        <f t="shared" si="0"/>
        <v>17</v>
      </c>
      <c r="B20" s="215" t="s">
        <v>2016</v>
      </c>
      <c r="C20" s="212" t="s">
        <v>135</v>
      </c>
      <c r="D20" s="212" t="s">
        <v>716</v>
      </c>
      <c r="E20" s="212" t="s">
        <v>716</v>
      </c>
      <c r="F20" s="212" t="s">
        <v>716</v>
      </c>
      <c r="G20" s="212" t="s">
        <v>2005</v>
      </c>
      <c r="H20" s="209" t="s">
        <v>2019</v>
      </c>
      <c r="I20" s="213"/>
      <c r="J20" s="213">
        <v>1</v>
      </c>
      <c r="K20" s="213"/>
      <c r="L20" s="213"/>
      <c r="M20" s="213"/>
      <c r="N20" s="214"/>
      <c r="Q20" s="280" t="str">
        <f>'2.직종별 인원현황'!F21</f>
        <v>펌프카 장비기사</v>
      </c>
      <c r="R20" s="213">
        <f ca="1">SUMIF(표2[[직종구분]:[작업 위치_코드]],$Q20,표2[조출])</f>
        <v>0</v>
      </c>
      <c r="S20" s="213">
        <f ca="1">SUMIF(표2[[직종구분]:[작업 위치_코드]],$Q20,표2[주간])</f>
        <v>0</v>
      </c>
      <c r="T20" s="213">
        <f ca="1">SUMIF(표2[[직종구분]:[작업 위치_코드]],$Q20,표2[연장])</f>
        <v>0</v>
      </c>
      <c r="U20" s="213">
        <f ca="1">SUMIF(표2[[직종구분]:[작업 위치_코드]],$Q20,표2[야간])</f>
        <v>0</v>
      </c>
      <c r="V20" s="213">
        <f ca="1">SUMIF(표2[[직종구분]:[작업 위치_코드]],$Q20,표2[철야])</f>
        <v>0</v>
      </c>
      <c r="W20" s="213">
        <f t="shared" ca="1" si="1"/>
        <v>0</v>
      </c>
    </row>
    <row r="21" spans="1:23" ht="20.100000000000001" customHeight="1">
      <c r="A21" s="211">
        <f t="shared" si="0"/>
        <v>18</v>
      </c>
      <c r="B21" s="215" t="s">
        <v>2020</v>
      </c>
      <c r="C21" s="212" t="s">
        <v>100</v>
      </c>
      <c r="D21" s="212" t="s">
        <v>716</v>
      </c>
      <c r="E21" s="212" t="s">
        <v>716</v>
      </c>
      <c r="F21" s="212" t="s">
        <v>716</v>
      </c>
      <c r="G21" s="212" t="s">
        <v>2005</v>
      </c>
      <c r="H21" s="209" t="s">
        <v>2017</v>
      </c>
      <c r="I21" s="213">
        <v>1</v>
      </c>
      <c r="J21" s="213">
        <v>1</v>
      </c>
      <c r="K21" s="213"/>
      <c r="L21" s="213"/>
      <c r="M21" s="213"/>
      <c r="N21" s="214"/>
      <c r="Q21" s="280" t="str">
        <f>'2.직종별 인원현황'!F22</f>
        <v>기타 장비기사</v>
      </c>
      <c r="R21" s="213">
        <f ca="1">SUMIF(표2[[직종구분]:[작업 위치_코드]],$Q21,표2[조출])</f>
        <v>0</v>
      </c>
      <c r="S21" s="213">
        <f ca="1">SUMIF(표2[[직종구분]:[작업 위치_코드]],$Q21,표2[주간])</f>
        <v>0</v>
      </c>
      <c r="T21" s="213">
        <f ca="1">SUMIF(표2[[직종구분]:[작업 위치_코드]],$Q21,표2[연장])</f>
        <v>0</v>
      </c>
      <c r="U21" s="213">
        <f ca="1">SUMIF(표2[[직종구분]:[작업 위치_코드]],$Q21,표2[야간])</f>
        <v>0</v>
      </c>
      <c r="V21" s="213">
        <f ca="1">SUMIF(표2[[직종구분]:[작업 위치_코드]],$Q21,표2[철야])</f>
        <v>0</v>
      </c>
      <c r="W21" s="213">
        <f t="shared" ca="1" si="1"/>
        <v>0</v>
      </c>
    </row>
    <row r="22" spans="1:23" ht="20.100000000000001" customHeight="1">
      <c r="A22" s="211">
        <f t="shared" si="0"/>
        <v>19</v>
      </c>
      <c r="B22" s="215" t="s">
        <v>2021</v>
      </c>
      <c r="C22" s="212" t="s">
        <v>100</v>
      </c>
      <c r="D22" s="212" t="s">
        <v>716</v>
      </c>
      <c r="E22" s="212" t="s">
        <v>716</v>
      </c>
      <c r="F22" s="212" t="s">
        <v>716</v>
      </c>
      <c r="G22" s="212" t="s">
        <v>2005</v>
      </c>
      <c r="H22" s="209" t="s">
        <v>2017</v>
      </c>
      <c r="I22" s="213">
        <v>1</v>
      </c>
      <c r="J22" s="213">
        <v>1</v>
      </c>
      <c r="K22" s="213"/>
      <c r="L22" s="213"/>
      <c r="M22" s="213"/>
      <c r="N22" s="214"/>
      <c r="Q22" s="280" t="str">
        <f>'2.직종별 인원현황'!F23</f>
        <v>PC조립공</v>
      </c>
      <c r="R22" s="213">
        <f ca="1">SUMIF(표2[[직종구분]:[작업 위치_코드]],$Q22,표2[조출])</f>
        <v>0</v>
      </c>
      <c r="S22" s="213">
        <f ca="1">SUMIF(표2[[직종구분]:[작업 위치_코드]],$Q22,표2[주간])</f>
        <v>0</v>
      </c>
      <c r="T22" s="213">
        <f ca="1">SUMIF(표2[[직종구분]:[작업 위치_코드]],$Q22,표2[연장])</f>
        <v>0</v>
      </c>
      <c r="U22" s="213">
        <f ca="1">SUMIF(표2[[직종구분]:[작업 위치_코드]],$Q22,표2[야간])</f>
        <v>0</v>
      </c>
      <c r="V22" s="213">
        <f ca="1">SUMIF(표2[[직종구분]:[작업 위치_코드]],$Q22,표2[철야])</f>
        <v>0</v>
      </c>
      <c r="W22" s="213">
        <f t="shared" ca="1" si="1"/>
        <v>0</v>
      </c>
    </row>
    <row r="23" spans="1:23" ht="20.100000000000001" customHeight="1">
      <c r="A23" s="211">
        <f t="shared" si="0"/>
        <v>20</v>
      </c>
      <c r="B23" s="215" t="s">
        <v>2022</v>
      </c>
      <c r="C23" s="212" t="s">
        <v>100</v>
      </c>
      <c r="D23" s="212" t="s">
        <v>716</v>
      </c>
      <c r="E23" s="212" t="s">
        <v>716</v>
      </c>
      <c r="F23" s="212" t="s">
        <v>716</v>
      </c>
      <c r="G23" s="212" t="s">
        <v>2005</v>
      </c>
      <c r="H23" s="209" t="s">
        <v>2017</v>
      </c>
      <c r="I23" s="213">
        <v>1</v>
      </c>
      <c r="J23" s="213">
        <v>1</v>
      </c>
      <c r="K23" s="213"/>
      <c r="L23" s="213"/>
      <c r="M23" s="213"/>
      <c r="N23" s="214"/>
      <c r="Q23" s="280" t="str">
        <f>'2.직종별 인원현황'!F24</f>
        <v>PC후속공</v>
      </c>
      <c r="R23" s="213">
        <f ca="1">SUMIF(표2[[직종구분]:[작업 위치_코드]],$Q23,표2[조출])</f>
        <v>0</v>
      </c>
      <c r="S23" s="213">
        <f ca="1">SUMIF(표2[[직종구분]:[작업 위치_코드]],$Q23,표2[주간])</f>
        <v>0</v>
      </c>
      <c r="T23" s="213">
        <f ca="1">SUMIF(표2[[직종구분]:[작업 위치_코드]],$Q23,표2[연장])</f>
        <v>0</v>
      </c>
      <c r="U23" s="213">
        <f ca="1">SUMIF(표2[[직종구분]:[작업 위치_코드]],$Q23,표2[야간])</f>
        <v>0</v>
      </c>
      <c r="V23" s="213">
        <f ca="1">SUMIF(표2[[직종구분]:[작업 위치_코드]],$Q23,표2[철야])</f>
        <v>0</v>
      </c>
      <c r="W23" s="213">
        <f t="shared" ca="1" si="1"/>
        <v>0</v>
      </c>
    </row>
    <row r="24" spans="1:23" ht="20.100000000000001" customHeight="1">
      <c r="A24" s="211">
        <f t="shared" si="0"/>
        <v>21</v>
      </c>
      <c r="B24" s="215" t="s">
        <v>2023</v>
      </c>
      <c r="C24" s="212" t="s">
        <v>100</v>
      </c>
      <c r="D24" s="212" t="s">
        <v>716</v>
      </c>
      <c r="E24" s="212" t="s">
        <v>716</v>
      </c>
      <c r="F24" s="212" t="s">
        <v>716</v>
      </c>
      <c r="G24" s="212" t="s">
        <v>2005</v>
      </c>
      <c r="H24" s="209" t="s">
        <v>2017</v>
      </c>
      <c r="I24" s="213">
        <v>1</v>
      </c>
      <c r="J24" s="213">
        <v>1</v>
      </c>
      <c r="K24" s="213"/>
      <c r="L24" s="213"/>
      <c r="M24" s="213"/>
      <c r="N24" s="214"/>
      <c r="Q24" s="280" t="str">
        <f>'2.직종별 인원현황'!F25</f>
        <v>가설펜스</v>
      </c>
      <c r="R24" s="213">
        <f ca="1">SUMIF(표2[[직종구분]:[작업 위치_코드]],$Q24,표2[조출])</f>
        <v>0</v>
      </c>
      <c r="S24" s="213">
        <f ca="1">SUMIF(표2[[직종구분]:[작업 위치_코드]],$Q24,표2[주간])</f>
        <v>0</v>
      </c>
      <c r="T24" s="213">
        <f ca="1">SUMIF(표2[[직종구분]:[작업 위치_코드]],$Q24,표2[연장])</f>
        <v>0</v>
      </c>
      <c r="U24" s="213">
        <f ca="1">SUMIF(표2[[직종구분]:[작업 위치_코드]],$Q24,표2[야간])</f>
        <v>0</v>
      </c>
      <c r="V24" s="213">
        <f ca="1">SUMIF(표2[[직종구분]:[작업 위치_코드]],$Q24,표2[철야])</f>
        <v>0</v>
      </c>
      <c r="W24" s="213">
        <f t="shared" ca="1" si="1"/>
        <v>0</v>
      </c>
    </row>
    <row r="25" spans="1:23" ht="20.100000000000001" customHeight="1">
      <c r="A25" s="211">
        <f t="shared" si="0"/>
        <v>22</v>
      </c>
      <c r="B25" s="215" t="s">
        <v>2024</v>
      </c>
      <c r="C25" s="212" t="s">
        <v>2025</v>
      </c>
      <c r="D25" s="212" t="s">
        <v>716</v>
      </c>
      <c r="E25" s="212" t="s">
        <v>716</v>
      </c>
      <c r="F25" s="212" t="s">
        <v>716</v>
      </c>
      <c r="G25" s="212" t="s">
        <v>2005</v>
      </c>
      <c r="H25" s="209" t="s">
        <v>2017</v>
      </c>
      <c r="I25" s="213">
        <v>1</v>
      </c>
      <c r="J25" s="213">
        <v>1</v>
      </c>
      <c r="K25" s="213"/>
      <c r="L25" s="213"/>
      <c r="M25" s="213"/>
      <c r="N25" s="214"/>
      <c r="Q25" s="280" t="str">
        <f>'2.직종별 인원현황'!F26</f>
        <v>견출공</v>
      </c>
      <c r="R25" s="213">
        <f ca="1">SUMIF(표2[[직종구분]:[작업 위치_코드]],$Q25,표2[조출])</f>
        <v>0</v>
      </c>
      <c r="S25" s="213">
        <f ca="1">SUMIF(표2[[직종구분]:[작업 위치_코드]],$Q25,표2[주간])</f>
        <v>0</v>
      </c>
      <c r="T25" s="213">
        <f ca="1">SUMIF(표2[[직종구분]:[작업 위치_코드]],$Q25,표2[연장])</f>
        <v>0</v>
      </c>
      <c r="U25" s="213">
        <f ca="1">SUMIF(표2[[직종구분]:[작업 위치_코드]],$Q25,표2[야간])</f>
        <v>0</v>
      </c>
      <c r="V25" s="213">
        <f ca="1">SUMIF(표2[[직종구분]:[작업 위치_코드]],$Q25,표2[철야])</f>
        <v>0</v>
      </c>
      <c r="W25" s="213">
        <f t="shared" ca="1" si="1"/>
        <v>0</v>
      </c>
    </row>
    <row r="26" spans="1:23" ht="20.100000000000001" customHeight="1">
      <c r="A26" s="211">
        <f t="shared" si="0"/>
        <v>23</v>
      </c>
      <c r="B26" s="215" t="s">
        <v>2026</v>
      </c>
      <c r="C26" s="212" t="s">
        <v>100</v>
      </c>
      <c r="D26" s="212" t="s">
        <v>853</v>
      </c>
      <c r="E26" s="212" t="s">
        <v>853</v>
      </c>
      <c r="F26" s="212" t="s">
        <v>2033</v>
      </c>
      <c r="G26" s="212" t="s">
        <v>2034</v>
      </c>
      <c r="H26" s="213" t="s">
        <v>2035</v>
      </c>
      <c r="I26" s="213">
        <v>1</v>
      </c>
      <c r="J26" s="213">
        <v>1</v>
      </c>
      <c r="K26" s="213"/>
      <c r="L26" s="213"/>
      <c r="M26" s="213"/>
      <c r="N26" s="214"/>
      <c r="Q26" s="280" t="str">
        <f>'2.직종별 인원현황'!F27</f>
        <v>계장공</v>
      </c>
      <c r="R26" s="213">
        <f ca="1">SUMIF(표2[[직종구분]:[작업 위치_코드]],$Q26,표2[조출])</f>
        <v>0</v>
      </c>
      <c r="S26" s="213">
        <f ca="1">SUMIF(표2[[직종구분]:[작업 위치_코드]],$Q26,표2[주간])</f>
        <v>0</v>
      </c>
      <c r="T26" s="213">
        <f ca="1">SUMIF(표2[[직종구분]:[작업 위치_코드]],$Q26,표2[연장])</f>
        <v>0</v>
      </c>
      <c r="U26" s="213">
        <f ca="1">SUMIF(표2[[직종구분]:[작업 위치_코드]],$Q26,표2[야간])</f>
        <v>0</v>
      </c>
      <c r="V26" s="213">
        <f ca="1">SUMIF(표2[[직종구분]:[작업 위치_코드]],$Q26,표2[철야])</f>
        <v>0</v>
      </c>
      <c r="W26" s="213">
        <f t="shared" ca="1" si="1"/>
        <v>0</v>
      </c>
    </row>
    <row r="27" spans="1:23" ht="20.100000000000001" customHeight="1">
      <c r="A27" s="211">
        <f t="shared" si="0"/>
        <v>24</v>
      </c>
      <c r="B27" s="215" t="s">
        <v>2015</v>
      </c>
      <c r="C27" s="212" t="s">
        <v>100</v>
      </c>
      <c r="D27" s="212" t="s">
        <v>853</v>
      </c>
      <c r="E27" s="212" t="s">
        <v>853</v>
      </c>
      <c r="F27" s="212" t="s">
        <v>2033</v>
      </c>
      <c r="G27" s="212" t="s">
        <v>2034</v>
      </c>
      <c r="H27" s="213" t="s">
        <v>2035</v>
      </c>
      <c r="I27" s="213">
        <v>1</v>
      </c>
      <c r="J27" s="213">
        <v>1</v>
      </c>
      <c r="K27" s="213"/>
      <c r="L27" s="213"/>
      <c r="M27" s="213"/>
      <c r="N27" s="214"/>
      <c r="Q27" s="280" t="str">
        <f>'2.직종별 인원현황'!F28</f>
        <v>관로공</v>
      </c>
      <c r="R27" s="213">
        <f ca="1">SUMIF(표2[[직종구분]:[작업 위치_코드]],$Q27,표2[조출])</f>
        <v>0</v>
      </c>
      <c r="S27" s="213">
        <f ca="1">SUMIF(표2[[직종구분]:[작업 위치_코드]],$Q27,표2[주간])</f>
        <v>0</v>
      </c>
      <c r="T27" s="213">
        <f ca="1">SUMIF(표2[[직종구분]:[작업 위치_코드]],$Q27,표2[연장])</f>
        <v>0</v>
      </c>
      <c r="U27" s="213">
        <f ca="1">SUMIF(표2[[직종구분]:[작업 위치_코드]],$Q27,표2[야간])</f>
        <v>0</v>
      </c>
      <c r="V27" s="213">
        <f ca="1">SUMIF(표2[[직종구분]:[작업 위치_코드]],$Q27,표2[철야])</f>
        <v>0</v>
      </c>
      <c r="W27" s="213">
        <f t="shared" ca="1" si="1"/>
        <v>0</v>
      </c>
    </row>
    <row r="28" spans="1:23" ht="20.100000000000001" customHeight="1">
      <c r="A28" s="211">
        <f t="shared" si="0"/>
        <v>25</v>
      </c>
      <c r="B28" s="215" t="s">
        <v>2027</v>
      </c>
      <c r="C28" s="212" t="s">
        <v>111</v>
      </c>
      <c r="D28" s="212" t="s">
        <v>853</v>
      </c>
      <c r="E28" s="212" t="s">
        <v>853</v>
      </c>
      <c r="F28" s="212" t="s">
        <v>2033</v>
      </c>
      <c r="G28" s="212" t="s">
        <v>2034</v>
      </c>
      <c r="H28" s="213" t="s">
        <v>2035</v>
      </c>
      <c r="I28" s="213">
        <v>1</v>
      </c>
      <c r="J28" s="213">
        <v>1</v>
      </c>
      <c r="K28" s="213"/>
      <c r="L28" s="213"/>
      <c r="M28" s="213"/>
      <c r="N28" s="214"/>
      <c r="Q28" s="280" t="str">
        <f>'2.직종별 인원현황'!F29</f>
        <v>교통통제</v>
      </c>
      <c r="R28" s="213">
        <f ca="1">SUMIF(표2[[직종구분]:[작업 위치_코드]],$Q28,표2[조출])</f>
        <v>0</v>
      </c>
      <c r="S28" s="213">
        <f ca="1">SUMIF(표2[[직종구분]:[작업 위치_코드]],$Q28,표2[주간])</f>
        <v>0</v>
      </c>
      <c r="T28" s="213">
        <f ca="1">SUMIF(표2[[직종구분]:[작업 위치_코드]],$Q28,표2[연장])</f>
        <v>0</v>
      </c>
      <c r="U28" s="213">
        <f ca="1">SUMIF(표2[[직종구분]:[작업 위치_코드]],$Q28,표2[야간])</f>
        <v>0</v>
      </c>
      <c r="V28" s="213">
        <f ca="1">SUMIF(표2[[직종구분]:[작업 위치_코드]],$Q28,표2[철야])</f>
        <v>0</v>
      </c>
      <c r="W28" s="213">
        <f t="shared" ca="1" si="1"/>
        <v>0</v>
      </c>
    </row>
    <row r="29" spans="1:23" ht="20.100000000000001" customHeight="1">
      <c r="A29" s="211">
        <f t="shared" si="0"/>
        <v>26</v>
      </c>
      <c r="B29" s="215" t="s">
        <v>2028</v>
      </c>
      <c r="C29" s="212" t="s">
        <v>111</v>
      </c>
      <c r="D29" s="212" t="s">
        <v>853</v>
      </c>
      <c r="E29" s="212" t="s">
        <v>853</v>
      </c>
      <c r="F29" s="212" t="s">
        <v>2033</v>
      </c>
      <c r="G29" s="212" t="s">
        <v>2034</v>
      </c>
      <c r="H29" s="213" t="s">
        <v>2035</v>
      </c>
      <c r="I29" s="213">
        <v>1</v>
      </c>
      <c r="J29" s="213">
        <v>1</v>
      </c>
      <c r="K29" s="213"/>
      <c r="L29" s="213"/>
      <c r="M29" s="213"/>
      <c r="N29" s="214"/>
      <c r="Q29" s="280" t="str">
        <f>'2.직종별 인원현황'!F30</f>
        <v>기계 납품 설치</v>
      </c>
      <c r="R29" s="213">
        <f ca="1">SUMIF(표2[[직종구분]:[작업 위치_코드]],$Q29,표2[조출])</f>
        <v>0</v>
      </c>
      <c r="S29" s="213">
        <f ca="1">SUMIF(표2[[직종구분]:[작업 위치_코드]],$Q29,표2[주간])</f>
        <v>0</v>
      </c>
      <c r="T29" s="213">
        <f ca="1">SUMIF(표2[[직종구분]:[작업 위치_코드]],$Q29,표2[연장])</f>
        <v>0</v>
      </c>
      <c r="U29" s="213">
        <f ca="1">SUMIF(표2[[직종구분]:[작업 위치_코드]],$Q29,표2[야간])</f>
        <v>0</v>
      </c>
      <c r="V29" s="213">
        <f ca="1">SUMIF(표2[[직종구분]:[작업 위치_코드]],$Q29,표2[철야])</f>
        <v>0</v>
      </c>
      <c r="W29" s="213">
        <f t="shared" ca="1" si="1"/>
        <v>0</v>
      </c>
    </row>
    <row r="30" spans="1:23" ht="20.100000000000001" customHeight="1">
      <c r="A30" s="211">
        <f t="shared" si="0"/>
        <v>27</v>
      </c>
      <c r="B30" s="215" t="s">
        <v>2029</v>
      </c>
      <c r="C30" s="212" t="s">
        <v>2025</v>
      </c>
      <c r="D30" s="212" t="s">
        <v>853</v>
      </c>
      <c r="E30" s="212" t="s">
        <v>853</v>
      </c>
      <c r="F30" s="212" t="s">
        <v>2033</v>
      </c>
      <c r="G30" s="212" t="s">
        <v>2034</v>
      </c>
      <c r="H30" s="213" t="s">
        <v>2035</v>
      </c>
      <c r="I30" s="213">
        <v>1</v>
      </c>
      <c r="J30" s="213">
        <v>1</v>
      </c>
      <c r="K30" s="213"/>
      <c r="L30" s="213"/>
      <c r="M30" s="213"/>
      <c r="N30" s="214"/>
      <c r="Q30" s="280" t="str">
        <f>'2.직종별 인원현황'!F31</f>
        <v>덕트공</v>
      </c>
      <c r="R30" s="213">
        <f ca="1">SUMIF(표2[[직종구분]:[작업 위치_코드]],$Q30,표2[조출])</f>
        <v>0</v>
      </c>
      <c r="S30" s="213">
        <f ca="1">SUMIF(표2[[직종구분]:[작업 위치_코드]],$Q30,표2[주간])</f>
        <v>0</v>
      </c>
      <c r="T30" s="213">
        <f ca="1">SUMIF(표2[[직종구분]:[작업 위치_코드]],$Q30,표2[연장])</f>
        <v>0</v>
      </c>
      <c r="U30" s="213">
        <f ca="1">SUMIF(표2[[직종구분]:[작업 위치_코드]],$Q30,표2[야간])</f>
        <v>0</v>
      </c>
      <c r="V30" s="213">
        <f ca="1">SUMIF(표2[[직종구분]:[작업 위치_코드]],$Q30,표2[철야])</f>
        <v>0</v>
      </c>
      <c r="W30" s="213">
        <f t="shared" ca="1" si="1"/>
        <v>0</v>
      </c>
    </row>
    <row r="31" spans="1:23" ht="20.100000000000001" customHeight="1">
      <c r="A31" s="211">
        <f t="shared" si="0"/>
        <v>28</v>
      </c>
      <c r="B31" s="215" t="s">
        <v>2030</v>
      </c>
      <c r="C31" s="212" t="s">
        <v>2025</v>
      </c>
      <c r="D31" s="212" t="s">
        <v>853</v>
      </c>
      <c r="E31" s="212" t="s">
        <v>853</v>
      </c>
      <c r="F31" s="212" t="s">
        <v>2033</v>
      </c>
      <c r="G31" s="212" t="s">
        <v>2034</v>
      </c>
      <c r="H31" s="213" t="s">
        <v>2035</v>
      </c>
      <c r="I31" s="213">
        <v>1</v>
      </c>
      <c r="J31" s="213">
        <v>1</v>
      </c>
      <c r="K31" s="213"/>
      <c r="L31" s="213"/>
      <c r="M31" s="213"/>
      <c r="N31" s="214"/>
      <c r="Q31" s="280" t="str">
        <f>'2.직종별 인원현황'!F32</f>
        <v>데크공</v>
      </c>
      <c r="R31" s="213">
        <f ca="1">SUMIF(표2[[직종구분]:[작업 위치_코드]],$Q31,표2[조출])</f>
        <v>0</v>
      </c>
      <c r="S31" s="213">
        <f ca="1">SUMIF(표2[[직종구분]:[작업 위치_코드]],$Q31,표2[주간])</f>
        <v>0</v>
      </c>
      <c r="T31" s="213">
        <f ca="1">SUMIF(표2[[직종구분]:[작업 위치_코드]],$Q31,표2[연장])</f>
        <v>0</v>
      </c>
      <c r="U31" s="213">
        <f ca="1">SUMIF(표2[[직종구분]:[작업 위치_코드]],$Q31,표2[야간])</f>
        <v>0</v>
      </c>
      <c r="V31" s="213">
        <f ca="1">SUMIF(표2[[직종구분]:[작업 위치_코드]],$Q31,표2[철야])</f>
        <v>0</v>
      </c>
      <c r="W31" s="213">
        <f t="shared" ca="1" si="1"/>
        <v>0</v>
      </c>
    </row>
    <row r="32" spans="1:23" ht="20.100000000000001" customHeight="1">
      <c r="A32" s="211">
        <f t="shared" si="0"/>
        <v>29</v>
      </c>
      <c r="B32" s="215" t="s">
        <v>2031</v>
      </c>
      <c r="C32" s="212" t="s">
        <v>128</v>
      </c>
      <c r="D32" s="212" t="s">
        <v>853</v>
      </c>
      <c r="E32" s="212" t="s">
        <v>853</v>
      </c>
      <c r="F32" s="212" t="s">
        <v>2033</v>
      </c>
      <c r="G32" s="212" t="s">
        <v>2034</v>
      </c>
      <c r="H32" s="213" t="s">
        <v>2035</v>
      </c>
      <c r="I32" s="213">
        <v>1</v>
      </c>
      <c r="J32" s="213">
        <v>1</v>
      </c>
      <c r="K32" s="213"/>
      <c r="L32" s="213"/>
      <c r="M32" s="213"/>
      <c r="N32" s="214"/>
      <c r="Q32" s="280" t="str">
        <f>'2.직종별 인원현황'!F33</f>
        <v>도장공</v>
      </c>
      <c r="R32" s="213">
        <f ca="1">SUMIF(표2[[직종구분]:[작업 위치_코드]],$Q32,표2[조출])</f>
        <v>0</v>
      </c>
      <c r="S32" s="213">
        <f ca="1">SUMIF(표2[[직종구분]:[작업 위치_코드]],$Q32,표2[주간])</f>
        <v>0</v>
      </c>
      <c r="T32" s="213">
        <f ca="1">SUMIF(표2[[직종구분]:[작업 위치_코드]],$Q32,표2[연장])</f>
        <v>0</v>
      </c>
      <c r="U32" s="213">
        <f ca="1">SUMIF(표2[[직종구분]:[작업 위치_코드]],$Q32,표2[야간])</f>
        <v>0</v>
      </c>
      <c r="V32" s="213">
        <f ca="1">SUMIF(표2[[직종구분]:[작업 위치_코드]],$Q32,표2[철야])</f>
        <v>0</v>
      </c>
      <c r="W32" s="213">
        <f t="shared" ca="1" si="1"/>
        <v>0</v>
      </c>
    </row>
    <row r="33" spans="1:23" ht="20.100000000000001" customHeight="1">
      <c r="A33" s="211">
        <f t="shared" si="0"/>
        <v>30</v>
      </c>
      <c r="B33" s="215" t="s">
        <v>2036</v>
      </c>
      <c r="C33" s="212" t="s">
        <v>2025</v>
      </c>
      <c r="D33" s="212" t="s">
        <v>853</v>
      </c>
      <c r="E33" s="212" t="s">
        <v>853</v>
      </c>
      <c r="F33" s="212" t="s">
        <v>2033</v>
      </c>
      <c r="G33" s="212" t="s">
        <v>2034</v>
      </c>
      <c r="H33" s="213" t="s">
        <v>2035</v>
      </c>
      <c r="I33" s="213">
        <v>1</v>
      </c>
      <c r="J33" s="213">
        <v>1</v>
      </c>
      <c r="K33" s="213"/>
      <c r="L33" s="213"/>
      <c r="M33" s="213"/>
      <c r="N33" s="214"/>
      <c r="Q33" s="280" t="str">
        <f>'2.직종별 인원현황'!F34</f>
        <v>미장공</v>
      </c>
      <c r="R33" s="213">
        <f ca="1">SUMIF(표2[[직종구분]:[작업 위치_코드]],$Q33,표2[조출])</f>
        <v>0</v>
      </c>
      <c r="S33" s="213">
        <f ca="1">SUMIF(표2[[직종구분]:[작업 위치_코드]],$Q33,표2[주간])</f>
        <v>0</v>
      </c>
      <c r="T33" s="213">
        <f ca="1">SUMIF(표2[[직종구분]:[작업 위치_코드]],$Q33,표2[연장])</f>
        <v>0</v>
      </c>
      <c r="U33" s="213">
        <f ca="1">SUMIF(표2[[직종구분]:[작업 위치_코드]],$Q33,표2[야간])</f>
        <v>0</v>
      </c>
      <c r="V33" s="213">
        <f ca="1">SUMIF(표2[[직종구분]:[작업 위치_코드]],$Q33,표2[철야])</f>
        <v>0</v>
      </c>
      <c r="W33" s="213">
        <f t="shared" ca="1" si="1"/>
        <v>0</v>
      </c>
    </row>
    <row r="34" spans="1:23" ht="20.100000000000001" customHeight="1">
      <c r="A34" s="211">
        <f t="shared" si="0"/>
        <v>31</v>
      </c>
      <c r="B34" s="215" t="s">
        <v>2037</v>
      </c>
      <c r="C34" s="212" t="s">
        <v>2025</v>
      </c>
      <c r="D34" s="212" t="s">
        <v>853</v>
      </c>
      <c r="E34" s="212" t="s">
        <v>853</v>
      </c>
      <c r="F34" s="212" t="s">
        <v>2033</v>
      </c>
      <c r="G34" s="212" t="s">
        <v>2034</v>
      </c>
      <c r="H34" s="213" t="s">
        <v>2035</v>
      </c>
      <c r="I34" s="213">
        <v>1</v>
      </c>
      <c r="J34" s="213">
        <v>1</v>
      </c>
      <c r="K34" s="213"/>
      <c r="L34" s="213"/>
      <c r="M34" s="213"/>
      <c r="N34" s="214"/>
      <c r="Q34" s="280" t="str">
        <f>'2.직종별 인원현황'!F35</f>
        <v>방수공</v>
      </c>
      <c r="R34" s="213">
        <f ca="1">SUMIF(표2[[직종구분]:[작업 위치_코드]],$Q34,표2[조출])</f>
        <v>0</v>
      </c>
      <c r="S34" s="213">
        <f ca="1">SUMIF(표2[[직종구분]:[작업 위치_코드]],$Q34,표2[주간])</f>
        <v>0</v>
      </c>
      <c r="T34" s="213">
        <f ca="1">SUMIF(표2[[직종구분]:[작업 위치_코드]],$Q34,표2[연장])</f>
        <v>0</v>
      </c>
      <c r="U34" s="213">
        <f ca="1">SUMIF(표2[[직종구분]:[작업 위치_코드]],$Q34,표2[야간])</f>
        <v>0</v>
      </c>
      <c r="V34" s="213">
        <f ca="1">SUMIF(표2[[직종구분]:[작업 위치_코드]],$Q34,표2[철야])</f>
        <v>0</v>
      </c>
      <c r="W34" s="213">
        <f t="shared" ca="1" si="1"/>
        <v>0</v>
      </c>
    </row>
    <row r="35" spans="1:23" ht="20.100000000000001" customHeight="1">
      <c r="A35" s="211">
        <f t="shared" si="0"/>
        <v>32</v>
      </c>
      <c r="B35" s="215" t="s">
        <v>2038</v>
      </c>
      <c r="C35" s="212" t="s">
        <v>2025</v>
      </c>
      <c r="D35" s="212" t="s">
        <v>853</v>
      </c>
      <c r="E35" s="212" t="s">
        <v>853</v>
      </c>
      <c r="F35" s="212" t="s">
        <v>2033</v>
      </c>
      <c r="G35" s="212" t="s">
        <v>2034</v>
      </c>
      <c r="H35" s="213" t="s">
        <v>2035</v>
      </c>
      <c r="I35" s="213">
        <v>1</v>
      </c>
      <c r="J35" s="213">
        <v>1</v>
      </c>
      <c r="K35" s="213"/>
      <c r="L35" s="213"/>
      <c r="M35" s="213"/>
      <c r="N35" s="214"/>
      <c r="Q35" s="280" t="str">
        <f>'2.직종별 인원현황'!F36</f>
        <v>배관공</v>
      </c>
      <c r="R35" s="213">
        <f ca="1">SUMIF(표2[[직종구분]:[작업 위치_코드]],$Q35,표2[조출])</f>
        <v>12</v>
      </c>
      <c r="S35" s="213">
        <f ca="1">SUMIF(표2[[직종구분]:[작업 위치_코드]],$Q35,표2[주간])</f>
        <v>31</v>
      </c>
      <c r="T35" s="213">
        <f ca="1">SUMIF(표2[[직종구분]:[작업 위치_코드]],$Q35,표2[연장])</f>
        <v>0</v>
      </c>
      <c r="U35" s="213">
        <f ca="1">SUMIF(표2[[직종구분]:[작업 위치_코드]],$Q35,표2[야간])</f>
        <v>0</v>
      </c>
      <c r="V35" s="213">
        <f ca="1">SUMIF(표2[[직종구분]:[작업 위치_코드]],$Q35,표2[철야])</f>
        <v>0</v>
      </c>
      <c r="W35" s="213">
        <f t="shared" ca="1" si="1"/>
        <v>43</v>
      </c>
    </row>
    <row r="36" spans="1:23" ht="20.100000000000001" customHeight="1">
      <c r="A36" s="211">
        <f t="shared" si="0"/>
        <v>33</v>
      </c>
      <c r="B36" s="215" t="s">
        <v>2039</v>
      </c>
      <c r="C36" s="212" t="s">
        <v>2025</v>
      </c>
      <c r="D36" s="212" t="s">
        <v>853</v>
      </c>
      <c r="E36" s="212" t="s">
        <v>853</v>
      </c>
      <c r="F36" s="212" t="s">
        <v>2033</v>
      </c>
      <c r="G36" s="212" t="s">
        <v>2034</v>
      </c>
      <c r="H36" s="213" t="s">
        <v>2035</v>
      </c>
      <c r="I36" s="213">
        <v>1</v>
      </c>
      <c r="J36" s="213">
        <v>1</v>
      </c>
      <c r="K36" s="213"/>
      <c r="L36" s="213"/>
      <c r="M36" s="213"/>
      <c r="N36" s="214"/>
      <c r="Q36" s="280" t="str">
        <f>'2.직종별 인원현황'!F37</f>
        <v>보온공</v>
      </c>
      <c r="R36" s="213">
        <f ca="1">SUMIF(표2[[직종구분]:[작업 위치_코드]],$Q36,표2[조출])</f>
        <v>0</v>
      </c>
      <c r="S36" s="213">
        <f ca="1">SUMIF(표2[[직종구분]:[작업 위치_코드]],$Q36,표2[주간])</f>
        <v>0</v>
      </c>
      <c r="T36" s="213">
        <f ca="1">SUMIF(표2[[직종구분]:[작업 위치_코드]],$Q36,표2[연장])</f>
        <v>0</v>
      </c>
      <c r="U36" s="213">
        <f ca="1">SUMIF(표2[[직종구분]:[작업 위치_코드]],$Q36,표2[야간])</f>
        <v>0</v>
      </c>
      <c r="V36" s="213">
        <f ca="1">SUMIF(표2[[직종구분]:[작업 위치_코드]],$Q36,표2[철야])</f>
        <v>0</v>
      </c>
      <c r="W36" s="213">
        <f t="shared" ca="1" si="1"/>
        <v>0</v>
      </c>
    </row>
    <row r="37" spans="1:23" ht="20.100000000000001" customHeight="1">
      <c r="A37" s="211">
        <f t="shared" si="0"/>
        <v>34</v>
      </c>
      <c r="B37" s="215" t="s">
        <v>2040</v>
      </c>
      <c r="C37" s="212" t="s">
        <v>112</v>
      </c>
      <c r="D37" s="212" t="s">
        <v>853</v>
      </c>
      <c r="E37" s="212" t="s">
        <v>853</v>
      </c>
      <c r="F37" s="212" t="s">
        <v>2033</v>
      </c>
      <c r="G37" s="212" t="s">
        <v>2034</v>
      </c>
      <c r="H37" s="213" t="s">
        <v>2035</v>
      </c>
      <c r="I37" s="213">
        <v>1</v>
      </c>
      <c r="J37" s="213">
        <v>1</v>
      </c>
      <c r="K37" s="213"/>
      <c r="L37" s="213"/>
      <c r="M37" s="213"/>
      <c r="N37" s="214"/>
      <c r="Q37" s="280" t="str">
        <f>'2.직종별 인원현황'!F38</f>
        <v>비계공</v>
      </c>
      <c r="R37" s="213">
        <f ca="1">SUMIF(표2[[직종구분]:[작업 위치_코드]],$Q37,표2[조출])</f>
        <v>0</v>
      </c>
      <c r="S37" s="213">
        <f ca="1">SUMIF(표2[[직종구분]:[작업 위치_코드]],$Q37,표2[주간])</f>
        <v>9</v>
      </c>
      <c r="T37" s="213">
        <f ca="1">SUMIF(표2[[직종구분]:[작업 위치_코드]],$Q37,표2[연장])</f>
        <v>0</v>
      </c>
      <c r="U37" s="213">
        <f ca="1">SUMIF(표2[[직종구분]:[작업 위치_코드]],$Q37,표2[야간])</f>
        <v>0</v>
      </c>
      <c r="V37" s="213">
        <f ca="1">SUMIF(표2[[직종구분]:[작업 위치_코드]],$Q37,표2[철야])</f>
        <v>0</v>
      </c>
      <c r="W37" s="213">
        <f t="shared" ca="1" si="1"/>
        <v>9</v>
      </c>
    </row>
    <row r="38" spans="1:23" ht="20.100000000000001" customHeight="1">
      <c r="A38" s="211">
        <f t="shared" si="0"/>
        <v>35</v>
      </c>
      <c r="B38" s="215" t="s">
        <v>2041</v>
      </c>
      <c r="C38" s="212" t="s">
        <v>100</v>
      </c>
      <c r="D38" s="212" t="s">
        <v>853</v>
      </c>
      <c r="E38" s="212" t="s">
        <v>853</v>
      </c>
      <c r="F38" s="212" t="s">
        <v>1930</v>
      </c>
      <c r="G38" s="212" t="s">
        <v>2044</v>
      </c>
      <c r="H38" s="213" t="s">
        <v>2045</v>
      </c>
      <c r="I38" s="213">
        <v>1</v>
      </c>
      <c r="J38" s="213">
        <v>1</v>
      </c>
      <c r="K38" s="213"/>
      <c r="L38" s="213"/>
      <c r="M38" s="213"/>
      <c r="N38" s="214"/>
      <c r="Q38" s="280" t="str">
        <f>'2.직종별 인원현황'!F39</f>
        <v>수장공</v>
      </c>
      <c r="R38" s="213">
        <f ca="1">SUMIF(표2[[직종구분]:[작업 위치_코드]],$Q38,표2[조출])</f>
        <v>0</v>
      </c>
      <c r="S38" s="213">
        <f ca="1">SUMIF(표2[[직종구분]:[작업 위치_코드]],$Q38,표2[주간])</f>
        <v>0</v>
      </c>
      <c r="T38" s="213">
        <f ca="1">SUMIF(표2[[직종구분]:[작업 위치_코드]],$Q38,표2[연장])</f>
        <v>0</v>
      </c>
      <c r="U38" s="213">
        <f ca="1">SUMIF(표2[[직종구분]:[작업 위치_코드]],$Q38,표2[야간])</f>
        <v>0</v>
      </c>
      <c r="V38" s="213">
        <f ca="1">SUMIF(표2[[직종구분]:[작업 위치_코드]],$Q38,표2[철야])</f>
        <v>0</v>
      </c>
      <c r="W38" s="213">
        <f t="shared" ca="1" si="1"/>
        <v>0</v>
      </c>
    </row>
    <row r="39" spans="1:23" ht="20.100000000000001" customHeight="1">
      <c r="A39" s="211">
        <f t="shared" si="0"/>
        <v>36</v>
      </c>
      <c r="B39" s="215" t="s">
        <v>2042</v>
      </c>
      <c r="C39" s="212" t="s">
        <v>2025</v>
      </c>
      <c r="D39" s="212" t="s">
        <v>853</v>
      </c>
      <c r="E39" s="212" t="s">
        <v>853</v>
      </c>
      <c r="F39" s="212" t="s">
        <v>1930</v>
      </c>
      <c r="G39" s="212" t="s">
        <v>2044</v>
      </c>
      <c r="H39" s="213" t="s">
        <v>2045</v>
      </c>
      <c r="I39" s="213">
        <v>1</v>
      </c>
      <c r="J39" s="213">
        <v>1</v>
      </c>
      <c r="K39" s="213"/>
      <c r="L39" s="213"/>
      <c r="M39" s="213"/>
      <c r="N39" s="214"/>
      <c r="Q39" s="280" t="str">
        <f>'2.직종별 인원현황'!F40</f>
        <v>승강기 설치공</v>
      </c>
      <c r="R39" s="213">
        <f ca="1">SUMIF(표2[[직종구분]:[작업 위치_코드]],$Q39,표2[조출])</f>
        <v>0</v>
      </c>
      <c r="S39" s="213">
        <f ca="1">SUMIF(표2[[직종구분]:[작업 위치_코드]],$Q39,표2[주간])</f>
        <v>0</v>
      </c>
      <c r="T39" s="213">
        <f ca="1">SUMIF(표2[[직종구분]:[작업 위치_코드]],$Q39,표2[연장])</f>
        <v>0</v>
      </c>
      <c r="U39" s="213">
        <f ca="1">SUMIF(표2[[직종구분]:[작업 위치_코드]],$Q39,표2[야간])</f>
        <v>0</v>
      </c>
      <c r="V39" s="213">
        <f ca="1">SUMIF(표2[[직종구분]:[작업 위치_코드]],$Q39,표2[철야])</f>
        <v>0</v>
      </c>
      <c r="W39" s="213">
        <f t="shared" ca="1" si="1"/>
        <v>0</v>
      </c>
    </row>
    <row r="40" spans="1:23" ht="20.100000000000001" customHeight="1">
      <c r="A40" s="211">
        <f t="shared" si="0"/>
        <v>37</v>
      </c>
      <c r="B40" s="215" t="s">
        <v>2043</v>
      </c>
      <c r="C40" s="212" t="s">
        <v>2025</v>
      </c>
      <c r="D40" s="212" t="s">
        <v>853</v>
      </c>
      <c r="E40" s="212" t="s">
        <v>853</v>
      </c>
      <c r="F40" s="212" t="s">
        <v>1930</v>
      </c>
      <c r="G40" s="212" t="s">
        <v>2044</v>
      </c>
      <c r="H40" s="213" t="s">
        <v>2045</v>
      </c>
      <c r="I40" s="213">
        <v>1</v>
      </c>
      <c r="J40" s="213">
        <v>1</v>
      </c>
      <c r="K40" s="213"/>
      <c r="L40" s="213"/>
      <c r="M40" s="213"/>
      <c r="N40" s="214"/>
      <c r="Q40" s="280" t="str">
        <f>'2.직종별 인원현황'!F41</f>
        <v>신호수</v>
      </c>
      <c r="R40" s="213">
        <f ca="1">SUMIF(표2[[직종구분]:[작업 위치_코드]],$Q40,표2[조출])</f>
        <v>0</v>
      </c>
      <c r="S40" s="213">
        <f ca="1">SUMIF(표2[[직종구분]:[작업 위치_코드]],$Q40,표2[주간])</f>
        <v>1</v>
      </c>
      <c r="T40" s="213">
        <f ca="1">SUMIF(표2[[직종구분]:[작업 위치_코드]],$Q40,표2[연장])</f>
        <v>0</v>
      </c>
      <c r="U40" s="213">
        <f ca="1">SUMIF(표2[[직종구분]:[작업 위치_코드]],$Q40,표2[야간])</f>
        <v>0</v>
      </c>
      <c r="V40" s="213">
        <f ca="1">SUMIF(표2[[직종구분]:[작업 위치_코드]],$Q40,표2[철야])</f>
        <v>0</v>
      </c>
      <c r="W40" s="213">
        <f t="shared" ca="1" si="1"/>
        <v>1</v>
      </c>
    </row>
    <row r="41" spans="1:23" ht="20.100000000000001" customHeight="1">
      <c r="A41" s="211">
        <f t="shared" si="0"/>
        <v>38</v>
      </c>
      <c r="B41" s="215" t="s">
        <v>2046</v>
      </c>
      <c r="C41" s="212" t="s">
        <v>100</v>
      </c>
      <c r="D41" s="212" t="s">
        <v>853</v>
      </c>
      <c r="E41" s="212" t="s">
        <v>853</v>
      </c>
      <c r="F41" s="212" t="s">
        <v>1930</v>
      </c>
      <c r="G41" s="212" t="s">
        <v>2050</v>
      </c>
      <c r="H41" s="213" t="s">
        <v>2051</v>
      </c>
      <c r="I41" s="213">
        <v>1</v>
      </c>
      <c r="J41" s="213">
        <v>1</v>
      </c>
      <c r="K41" s="213"/>
      <c r="L41" s="213"/>
      <c r="M41" s="213"/>
      <c r="N41" s="214"/>
      <c r="Q41" s="280" t="str">
        <f>'2.직종별 인원현황'!F42</f>
        <v>안전감시단</v>
      </c>
      <c r="R41" s="213">
        <f ca="1">SUMIF(표2[[직종구분]:[작업 위치_코드]],$Q41,표2[조출])</f>
        <v>0</v>
      </c>
      <c r="S41" s="213">
        <f ca="1">SUMIF(표2[[직종구분]:[작업 위치_코드]],$Q41,표2[주간])</f>
        <v>0</v>
      </c>
      <c r="T41" s="213">
        <f ca="1">SUMIF(표2[[직종구분]:[작업 위치_코드]],$Q41,표2[연장])</f>
        <v>0</v>
      </c>
      <c r="U41" s="213">
        <f ca="1">SUMIF(표2[[직종구분]:[작업 위치_코드]],$Q41,표2[야간])</f>
        <v>0</v>
      </c>
      <c r="V41" s="213">
        <f ca="1">SUMIF(표2[[직종구분]:[작업 위치_코드]],$Q41,표2[철야])</f>
        <v>0</v>
      </c>
      <c r="W41" s="213">
        <f t="shared" ca="1" si="1"/>
        <v>0</v>
      </c>
    </row>
    <row r="42" spans="1:23" ht="20.100000000000001" customHeight="1">
      <c r="A42" s="211">
        <f t="shared" si="0"/>
        <v>39</v>
      </c>
      <c r="B42" s="215" t="s">
        <v>2047</v>
      </c>
      <c r="C42" s="212" t="s">
        <v>100</v>
      </c>
      <c r="D42" s="212" t="s">
        <v>853</v>
      </c>
      <c r="E42" s="212" t="s">
        <v>853</v>
      </c>
      <c r="F42" s="212" t="s">
        <v>1930</v>
      </c>
      <c r="G42" s="212" t="s">
        <v>2050</v>
      </c>
      <c r="H42" s="213" t="s">
        <v>2051</v>
      </c>
      <c r="I42" s="213">
        <v>1</v>
      </c>
      <c r="J42" s="213">
        <v>1</v>
      </c>
      <c r="K42" s="213"/>
      <c r="L42" s="213"/>
      <c r="M42" s="213"/>
      <c r="N42" s="214"/>
      <c r="Q42" s="280" t="str">
        <f>'2.직종별 인원현황'!F43</f>
        <v>안전시설</v>
      </c>
      <c r="R42" s="213">
        <f ca="1">SUMIF(표2[[직종구분]:[작업 위치_코드]],$Q42,표2[조출])</f>
        <v>0</v>
      </c>
      <c r="S42" s="213">
        <f ca="1">SUMIF(표2[[직종구분]:[작업 위치_코드]],$Q42,표2[주간])</f>
        <v>0</v>
      </c>
      <c r="T42" s="213">
        <f ca="1">SUMIF(표2[[직종구분]:[작업 위치_코드]],$Q42,표2[연장])</f>
        <v>0</v>
      </c>
      <c r="U42" s="213">
        <f ca="1">SUMIF(표2[[직종구분]:[작업 위치_코드]],$Q42,표2[야간])</f>
        <v>0</v>
      </c>
      <c r="V42" s="213">
        <f ca="1">SUMIF(표2[[직종구분]:[작업 위치_코드]],$Q42,표2[철야])</f>
        <v>0</v>
      </c>
      <c r="W42" s="213">
        <f t="shared" ca="1" si="1"/>
        <v>0</v>
      </c>
    </row>
    <row r="43" spans="1:23" ht="20.100000000000001" customHeight="1">
      <c r="A43" s="211">
        <f t="shared" si="0"/>
        <v>40</v>
      </c>
      <c r="B43" s="215" t="s">
        <v>2048</v>
      </c>
      <c r="C43" s="212" t="s">
        <v>2025</v>
      </c>
      <c r="D43" s="212" t="s">
        <v>853</v>
      </c>
      <c r="E43" s="212" t="s">
        <v>853</v>
      </c>
      <c r="F43" s="212" t="s">
        <v>1930</v>
      </c>
      <c r="G43" s="212" t="s">
        <v>2050</v>
      </c>
      <c r="H43" s="213" t="s">
        <v>2051</v>
      </c>
      <c r="I43" s="213">
        <v>1</v>
      </c>
      <c r="J43" s="213">
        <v>1</v>
      </c>
      <c r="K43" s="213"/>
      <c r="L43" s="213"/>
      <c r="M43" s="213"/>
      <c r="N43" s="214"/>
      <c r="Q43" s="280" t="str">
        <f>'2.직종별 인원현황'!F44</f>
        <v>열선공</v>
      </c>
      <c r="R43" s="213">
        <f ca="1">SUMIF(표2[[직종구분]:[작업 위치_코드]],$Q43,표2[조출])</f>
        <v>0</v>
      </c>
      <c r="S43" s="213">
        <f ca="1">SUMIF(표2[[직종구분]:[작업 위치_코드]],$Q43,표2[주간])</f>
        <v>0</v>
      </c>
      <c r="T43" s="213">
        <f ca="1">SUMIF(표2[[직종구분]:[작업 위치_코드]],$Q43,표2[연장])</f>
        <v>0</v>
      </c>
      <c r="U43" s="213">
        <f ca="1">SUMIF(표2[[직종구분]:[작업 위치_코드]],$Q43,표2[야간])</f>
        <v>0</v>
      </c>
      <c r="V43" s="213">
        <f ca="1">SUMIF(표2[[직종구분]:[작업 위치_코드]],$Q43,표2[철야])</f>
        <v>0</v>
      </c>
      <c r="W43" s="213">
        <f t="shared" ca="1" si="1"/>
        <v>0</v>
      </c>
    </row>
    <row r="44" spans="1:23" ht="20.100000000000001" customHeight="1">
      <c r="A44" s="211">
        <f t="shared" si="0"/>
        <v>41</v>
      </c>
      <c r="B44" s="215" t="s">
        <v>2049</v>
      </c>
      <c r="C44" s="212" t="s">
        <v>2025</v>
      </c>
      <c r="D44" s="212" t="s">
        <v>853</v>
      </c>
      <c r="E44" s="212" t="s">
        <v>853</v>
      </c>
      <c r="F44" s="212" t="s">
        <v>1930</v>
      </c>
      <c r="G44" s="212" t="s">
        <v>2050</v>
      </c>
      <c r="H44" s="213" t="s">
        <v>2051</v>
      </c>
      <c r="I44" s="213">
        <v>1</v>
      </c>
      <c r="J44" s="213">
        <v>1</v>
      </c>
      <c r="K44" s="213"/>
      <c r="L44" s="213"/>
      <c r="M44" s="213"/>
      <c r="N44" s="214"/>
      <c r="Q44" s="280" t="str">
        <f>'2.직종별 인원현황'!F45</f>
        <v>영업</v>
      </c>
      <c r="R44" s="213">
        <f ca="1">SUMIF(표2[[직종구분]:[작업 위치_코드]],$Q44,표2[조출])</f>
        <v>0</v>
      </c>
      <c r="S44" s="213">
        <f ca="1">SUMIF(표2[[직종구분]:[작업 위치_코드]],$Q44,표2[주간])</f>
        <v>0</v>
      </c>
      <c r="T44" s="213">
        <f ca="1">SUMIF(표2[[직종구분]:[작업 위치_코드]],$Q44,표2[연장])</f>
        <v>0</v>
      </c>
      <c r="U44" s="213">
        <f ca="1">SUMIF(표2[[직종구분]:[작업 위치_코드]],$Q44,표2[야간])</f>
        <v>0</v>
      </c>
      <c r="V44" s="213">
        <f ca="1">SUMIF(표2[[직종구분]:[작업 위치_코드]],$Q44,표2[철야])</f>
        <v>0</v>
      </c>
      <c r="W44" s="213">
        <f t="shared" ca="1" si="1"/>
        <v>0</v>
      </c>
    </row>
    <row r="45" spans="1:23" ht="20.100000000000001" customHeight="1">
      <c r="A45" s="211">
        <f t="shared" si="0"/>
        <v>42</v>
      </c>
      <c r="B45" s="215" t="s">
        <v>2052</v>
      </c>
      <c r="C45" s="212" t="s">
        <v>2063</v>
      </c>
      <c r="D45" s="212" t="s">
        <v>853</v>
      </c>
      <c r="E45" s="212" t="s">
        <v>853</v>
      </c>
      <c r="F45" s="212" t="s">
        <v>2033</v>
      </c>
      <c r="G45" s="212" t="s">
        <v>2005</v>
      </c>
      <c r="H45" s="213" t="s">
        <v>2067</v>
      </c>
      <c r="I45" s="213">
        <v>1</v>
      </c>
      <c r="J45" s="213">
        <v>1</v>
      </c>
      <c r="K45" s="213"/>
      <c r="L45" s="213"/>
      <c r="M45" s="213"/>
      <c r="N45" s="214"/>
      <c r="Q45" s="280" t="str">
        <f>'2.직종별 인원현황'!F46</f>
        <v>외장공</v>
      </c>
      <c r="R45" s="213">
        <f ca="1">SUMIF(표2[[직종구분]:[작업 위치_코드]],$Q45,표2[조출])</f>
        <v>0</v>
      </c>
      <c r="S45" s="213">
        <f ca="1">SUMIF(표2[[직종구분]:[작업 위치_코드]],$Q45,표2[주간])</f>
        <v>0</v>
      </c>
      <c r="T45" s="213">
        <f ca="1">SUMIF(표2[[직종구분]:[작업 위치_코드]],$Q45,표2[연장])</f>
        <v>0</v>
      </c>
      <c r="U45" s="213">
        <f ca="1">SUMIF(표2[[직종구분]:[작업 위치_코드]],$Q45,표2[야간])</f>
        <v>0</v>
      </c>
      <c r="V45" s="213">
        <f ca="1">SUMIF(표2[[직종구분]:[작업 위치_코드]],$Q45,표2[철야])</f>
        <v>0</v>
      </c>
      <c r="W45" s="213">
        <f t="shared" ca="1" si="1"/>
        <v>0</v>
      </c>
    </row>
    <row r="46" spans="1:23" ht="20.100000000000001" customHeight="1">
      <c r="A46" s="211">
        <f t="shared" si="0"/>
        <v>43</v>
      </c>
      <c r="B46" s="215" t="s">
        <v>2053</v>
      </c>
      <c r="C46" s="212" t="s">
        <v>2064</v>
      </c>
      <c r="D46" s="212" t="s">
        <v>853</v>
      </c>
      <c r="E46" s="212" t="s">
        <v>853</v>
      </c>
      <c r="F46" s="212" t="s">
        <v>2033</v>
      </c>
      <c r="G46" s="212" t="s">
        <v>2005</v>
      </c>
      <c r="H46" s="213" t="s">
        <v>2067</v>
      </c>
      <c r="I46" s="213">
        <v>1</v>
      </c>
      <c r="J46" s="213">
        <v>1</v>
      </c>
      <c r="K46" s="213"/>
      <c r="L46" s="213"/>
      <c r="M46" s="213"/>
      <c r="N46" s="214"/>
      <c r="Q46" s="280" t="str">
        <f>'2.직종별 인원현황'!F47</f>
        <v>용접공</v>
      </c>
      <c r="R46" s="213">
        <f ca="1">SUMIF(표2[[직종구분]:[작업 위치_코드]],$Q46,표2[조출])</f>
        <v>8</v>
      </c>
      <c r="S46" s="213">
        <f ca="1">SUMIF(표2[[직종구분]:[작업 위치_코드]],$Q46,표2[주간])</f>
        <v>18</v>
      </c>
      <c r="T46" s="213">
        <f ca="1">SUMIF(표2[[직종구분]:[작업 위치_코드]],$Q46,표2[연장])</f>
        <v>0</v>
      </c>
      <c r="U46" s="213">
        <f ca="1">SUMIF(표2[[직종구분]:[작업 위치_코드]],$Q46,표2[야간])</f>
        <v>0</v>
      </c>
      <c r="V46" s="213">
        <f ca="1">SUMIF(표2[[직종구분]:[작업 위치_코드]],$Q46,표2[철야])</f>
        <v>0</v>
      </c>
      <c r="W46" s="213">
        <f t="shared" ca="1" si="1"/>
        <v>26</v>
      </c>
    </row>
    <row r="47" spans="1:23" ht="20.100000000000001" customHeight="1">
      <c r="A47" s="211">
        <f t="shared" si="0"/>
        <v>44</v>
      </c>
      <c r="B47" s="215" t="s">
        <v>2054</v>
      </c>
      <c r="C47" s="212" t="s">
        <v>2064</v>
      </c>
      <c r="D47" s="212" t="s">
        <v>853</v>
      </c>
      <c r="E47" s="212" t="s">
        <v>853</v>
      </c>
      <c r="F47" s="212" t="s">
        <v>2033</v>
      </c>
      <c r="G47" s="212" t="s">
        <v>2005</v>
      </c>
      <c r="H47" s="213" t="s">
        <v>2067</v>
      </c>
      <c r="I47" s="213">
        <v>1</v>
      </c>
      <c r="J47" s="213">
        <v>1</v>
      </c>
      <c r="K47" s="213"/>
      <c r="L47" s="213"/>
      <c r="M47" s="213"/>
      <c r="N47" s="214"/>
      <c r="Q47" s="280" t="str">
        <f>'2.직종별 인원현황'!F48</f>
        <v>유도원</v>
      </c>
      <c r="R47" s="213">
        <f ca="1">SUMIF(표2[[직종구분]:[작업 위치_코드]],$Q47,표2[조출])</f>
        <v>2</v>
      </c>
      <c r="S47" s="213">
        <f ca="1">SUMIF(표2[[직종구분]:[작업 위치_코드]],$Q47,표2[주간])</f>
        <v>21</v>
      </c>
      <c r="T47" s="213">
        <f ca="1">SUMIF(표2[[직종구분]:[작업 위치_코드]],$Q47,표2[연장])</f>
        <v>0</v>
      </c>
      <c r="U47" s="213">
        <f ca="1">SUMIF(표2[[직종구분]:[작업 위치_코드]],$Q47,표2[야간])</f>
        <v>0</v>
      </c>
      <c r="V47" s="213">
        <f ca="1">SUMIF(표2[[직종구분]:[작업 위치_코드]],$Q47,표2[철야])</f>
        <v>0</v>
      </c>
      <c r="W47" s="213">
        <f t="shared" ca="1" si="1"/>
        <v>23</v>
      </c>
    </row>
    <row r="48" spans="1:23" ht="20.100000000000001" customHeight="1">
      <c r="A48" s="211">
        <f t="shared" si="0"/>
        <v>45</v>
      </c>
      <c r="B48" s="215" t="s">
        <v>2055</v>
      </c>
      <c r="C48" s="212" t="s">
        <v>2064</v>
      </c>
      <c r="D48" s="212" t="s">
        <v>853</v>
      </c>
      <c r="E48" s="212" t="s">
        <v>853</v>
      </c>
      <c r="F48" s="212" t="s">
        <v>2033</v>
      </c>
      <c r="G48" s="212" t="s">
        <v>2005</v>
      </c>
      <c r="H48" s="213" t="s">
        <v>2067</v>
      </c>
      <c r="I48" s="213">
        <v>1</v>
      </c>
      <c r="J48" s="213">
        <v>1</v>
      </c>
      <c r="K48" s="213"/>
      <c r="L48" s="213"/>
      <c r="M48" s="213"/>
      <c r="N48" s="214"/>
      <c r="Q48" s="280" t="str">
        <f>'2.직종별 인원현황'!F49</f>
        <v>잡철공</v>
      </c>
      <c r="R48" s="213">
        <f ca="1">SUMIF(표2[[직종구분]:[작업 위치_코드]],$Q48,표2[조출])</f>
        <v>0</v>
      </c>
      <c r="S48" s="213">
        <f ca="1">SUMIF(표2[[직종구분]:[작업 위치_코드]],$Q48,표2[주간])</f>
        <v>0</v>
      </c>
      <c r="T48" s="213">
        <f ca="1">SUMIF(표2[[직종구분]:[작업 위치_코드]],$Q48,표2[연장])</f>
        <v>0</v>
      </c>
      <c r="U48" s="213">
        <f ca="1">SUMIF(표2[[직종구분]:[작업 위치_코드]],$Q48,표2[야간])</f>
        <v>0</v>
      </c>
      <c r="V48" s="213">
        <f ca="1">SUMIF(표2[[직종구분]:[작업 위치_코드]],$Q48,표2[철야])</f>
        <v>0</v>
      </c>
      <c r="W48" s="213">
        <f t="shared" ca="1" si="1"/>
        <v>0</v>
      </c>
    </row>
    <row r="49" spans="1:23" ht="20.100000000000001" customHeight="1">
      <c r="A49" s="211">
        <f t="shared" si="0"/>
        <v>46</v>
      </c>
      <c r="B49" s="215" t="s">
        <v>2056</v>
      </c>
      <c r="C49" s="212" t="s">
        <v>2064</v>
      </c>
      <c r="D49" s="212" t="s">
        <v>853</v>
      </c>
      <c r="E49" s="212" t="s">
        <v>853</v>
      </c>
      <c r="F49" s="212" t="s">
        <v>2033</v>
      </c>
      <c r="G49" s="212" t="s">
        <v>2005</v>
      </c>
      <c r="H49" s="213" t="s">
        <v>2067</v>
      </c>
      <c r="I49" s="213">
        <v>1</v>
      </c>
      <c r="J49" s="213">
        <v>1</v>
      </c>
      <c r="K49" s="213"/>
      <c r="L49" s="213"/>
      <c r="M49" s="213"/>
      <c r="N49" s="214"/>
      <c r="Q49" s="280" t="str">
        <f>'2.직종별 인원현황'!F50</f>
        <v>전기공</v>
      </c>
      <c r="R49" s="213">
        <f ca="1">SUMIF(표2[[직종구분]:[작업 위치_코드]],$Q49,표2[조출])</f>
        <v>0</v>
      </c>
      <c r="S49" s="213">
        <f ca="1">SUMIF(표2[[직종구분]:[작업 위치_코드]],$Q49,표2[주간])</f>
        <v>0</v>
      </c>
      <c r="T49" s="213">
        <f ca="1">SUMIF(표2[[직종구분]:[작업 위치_코드]],$Q49,표2[연장])</f>
        <v>0</v>
      </c>
      <c r="U49" s="213">
        <f ca="1">SUMIF(표2[[직종구분]:[작업 위치_코드]],$Q49,표2[야간])</f>
        <v>0</v>
      </c>
      <c r="V49" s="213">
        <f ca="1">SUMIF(표2[[직종구분]:[작업 위치_코드]],$Q49,표2[철야])</f>
        <v>0</v>
      </c>
      <c r="W49" s="213">
        <f t="shared" ca="1" si="1"/>
        <v>0</v>
      </c>
    </row>
    <row r="50" spans="1:23" ht="20.100000000000001" customHeight="1">
      <c r="A50" s="211">
        <f t="shared" si="0"/>
        <v>47</v>
      </c>
      <c r="B50" s="215" t="s">
        <v>2057</v>
      </c>
      <c r="C50" s="212" t="s">
        <v>2065</v>
      </c>
      <c r="D50" s="212" t="s">
        <v>853</v>
      </c>
      <c r="E50" s="212" t="s">
        <v>853</v>
      </c>
      <c r="F50" s="212" t="s">
        <v>2033</v>
      </c>
      <c r="G50" s="212" t="s">
        <v>2005</v>
      </c>
      <c r="H50" s="213" t="s">
        <v>2067</v>
      </c>
      <c r="I50" s="213">
        <v>1</v>
      </c>
      <c r="J50" s="213">
        <v>1</v>
      </c>
      <c r="K50" s="213"/>
      <c r="L50" s="213"/>
      <c r="M50" s="213"/>
      <c r="N50" s="214"/>
      <c r="Q50" s="280" t="str">
        <f>'2.직종별 인원현황'!F51</f>
        <v>조적공</v>
      </c>
      <c r="R50" s="213">
        <f ca="1">SUMIF(표2[[직종구분]:[작업 위치_코드]],$Q50,표2[조출])</f>
        <v>0</v>
      </c>
      <c r="S50" s="213">
        <f ca="1">SUMIF(표2[[직종구분]:[작업 위치_코드]],$Q50,표2[주간])</f>
        <v>0</v>
      </c>
      <c r="T50" s="213">
        <f ca="1">SUMIF(표2[[직종구분]:[작업 위치_코드]],$Q50,표2[연장])</f>
        <v>0</v>
      </c>
      <c r="U50" s="213">
        <f ca="1">SUMIF(표2[[직종구분]:[작업 위치_코드]],$Q50,표2[야간])</f>
        <v>0</v>
      </c>
      <c r="V50" s="213">
        <f ca="1">SUMIF(표2[[직종구분]:[작업 위치_코드]],$Q50,표2[철야])</f>
        <v>0</v>
      </c>
      <c r="W50" s="213">
        <f t="shared" ca="1" si="1"/>
        <v>0</v>
      </c>
    </row>
    <row r="51" spans="1:23" ht="20.100000000000001" customHeight="1">
      <c r="A51" s="211">
        <f t="shared" si="0"/>
        <v>48</v>
      </c>
      <c r="B51" s="215" t="s">
        <v>2058</v>
      </c>
      <c r="C51" s="212" t="s">
        <v>2065</v>
      </c>
      <c r="D51" s="212" t="s">
        <v>853</v>
      </c>
      <c r="E51" s="212" t="s">
        <v>853</v>
      </c>
      <c r="F51" s="212" t="s">
        <v>2033</v>
      </c>
      <c r="G51" s="212" t="s">
        <v>2005</v>
      </c>
      <c r="H51" s="213" t="s">
        <v>2067</v>
      </c>
      <c r="I51" s="213">
        <v>1</v>
      </c>
      <c r="J51" s="213">
        <v>1</v>
      </c>
      <c r="K51" s="213"/>
      <c r="L51" s="213"/>
      <c r="M51" s="213"/>
      <c r="N51" s="214"/>
      <c r="Q51" s="280" t="str">
        <f>'2.직종별 인원현황'!F52</f>
        <v>철거공</v>
      </c>
      <c r="R51" s="213">
        <f ca="1">SUMIF(표2[[직종구분]:[작업 위치_코드]],$Q51,표2[조출])</f>
        <v>0</v>
      </c>
      <c r="S51" s="213">
        <f ca="1">SUMIF(표2[[직종구분]:[작업 위치_코드]],$Q51,표2[주간])</f>
        <v>0</v>
      </c>
      <c r="T51" s="213">
        <f ca="1">SUMIF(표2[[직종구분]:[작업 위치_코드]],$Q51,표2[연장])</f>
        <v>0</v>
      </c>
      <c r="U51" s="213">
        <f ca="1">SUMIF(표2[[직종구분]:[작업 위치_코드]],$Q51,표2[야간])</f>
        <v>0</v>
      </c>
      <c r="V51" s="213">
        <f ca="1">SUMIF(표2[[직종구분]:[작업 위치_코드]],$Q51,표2[철야])</f>
        <v>0</v>
      </c>
      <c r="W51" s="213">
        <f t="shared" ca="1" si="1"/>
        <v>0</v>
      </c>
    </row>
    <row r="52" spans="1:23" ht="20.100000000000001" customHeight="1">
      <c r="A52" s="211">
        <f t="shared" si="0"/>
        <v>49</v>
      </c>
      <c r="B52" s="215" t="s">
        <v>2059</v>
      </c>
      <c r="C52" s="212" t="s">
        <v>2065</v>
      </c>
      <c r="D52" s="212" t="s">
        <v>853</v>
      </c>
      <c r="E52" s="212" t="s">
        <v>853</v>
      </c>
      <c r="F52" s="212" t="s">
        <v>2033</v>
      </c>
      <c r="G52" s="212" t="s">
        <v>2005</v>
      </c>
      <c r="H52" s="213" t="s">
        <v>2067</v>
      </c>
      <c r="I52" s="213">
        <v>1</v>
      </c>
      <c r="J52" s="213">
        <v>1</v>
      </c>
      <c r="K52" s="213"/>
      <c r="L52" s="213"/>
      <c r="M52" s="213"/>
      <c r="N52" s="214"/>
      <c r="Q52" s="280" t="str">
        <f>'2.직종별 인원현황'!F53</f>
        <v>철골공</v>
      </c>
      <c r="R52" s="213">
        <f ca="1">SUMIF(표2[[직종구분]:[작업 위치_코드]],$Q52,표2[조출])</f>
        <v>0</v>
      </c>
      <c r="S52" s="213">
        <f ca="1">SUMIF(표2[[직종구분]:[작업 위치_코드]],$Q52,표2[주간])</f>
        <v>0</v>
      </c>
      <c r="T52" s="213">
        <f ca="1">SUMIF(표2[[직종구분]:[작업 위치_코드]],$Q52,표2[연장])</f>
        <v>0</v>
      </c>
      <c r="U52" s="213">
        <f ca="1">SUMIF(표2[[직종구분]:[작업 위치_코드]],$Q52,표2[야간])</f>
        <v>0</v>
      </c>
      <c r="V52" s="213">
        <f ca="1">SUMIF(표2[[직종구분]:[작업 위치_코드]],$Q52,표2[철야])</f>
        <v>0</v>
      </c>
      <c r="W52" s="213">
        <f t="shared" ca="1" si="1"/>
        <v>0</v>
      </c>
    </row>
    <row r="53" spans="1:23" ht="20.100000000000001" customHeight="1">
      <c r="A53" s="211">
        <f t="shared" si="0"/>
        <v>50</v>
      </c>
      <c r="B53" s="215" t="s">
        <v>2060</v>
      </c>
      <c r="C53" s="212" t="s">
        <v>2065</v>
      </c>
      <c r="D53" s="212" t="s">
        <v>853</v>
      </c>
      <c r="E53" s="212" t="s">
        <v>853</v>
      </c>
      <c r="F53" s="212" t="s">
        <v>2033</v>
      </c>
      <c r="G53" s="212" t="s">
        <v>2005</v>
      </c>
      <c r="H53" s="213" t="s">
        <v>2067</v>
      </c>
      <c r="I53" s="213">
        <v>1</v>
      </c>
      <c r="J53" s="213">
        <v>1</v>
      </c>
      <c r="K53" s="213"/>
      <c r="L53" s="213"/>
      <c r="M53" s="213"/>
      <c r="N53" s="214"/>
      <c r="Q53" s="280" t="str">
        <f>'2.직종별 인원현황'!F54</f>
        <v>철근공</v>
      </c>
      <c r="R53" s="213">
        <f ca="1">SUMIF(표2[[직종구분]:[작업 위치_코드]],$Q53,표2[조출])</f>
        <v>0</v>
      </c>
      <c r="S53" s="213">
        <f ca="1">SUMIF(표2[[직종구분]:[작업 위치_코드]],$Q53,표2[주간])</f>
        <v>0</v>
      </c>
      <c r="T53" s="213">
        <f ca="1">SUMIF(표2[[직종구분]:[작업 위치_코드]],$Q53,표2[연장])</f>
        <v>0</v>
      </c>
      <c r="U53" s="213">
        <f ca="1">SUMIF(표2[[직종구분]:[작업 위치_코드]],$Q53,표2[야간])</f>
        <v>0</v>
      </c>
      <c r="V53" s="213">
        <f ca="1">SUMIF(표2[[직종구분]:[작업 위치_코드]],$Q53,표2[철야])</f>
        <v>0</v>
      </c>
      <c r="W53" s="213">
        <f t="shared" ca="1" si="1"/>
        <v>0</v>
      </c>
    </row>
    <row r="54" spans="1:23" ht="20.100000000000001" customHeight="1">
      <c r="A54" s="211">
        <f t="shared" si="0"/>
        <v>51</v>
      </c>
      <c r="B54" s="215" t="s">
        <v>2061</v>
      </c>
      <c r="C54" s="212" t="s">
        <v>2066</v>
      </c>
      <c r="D54" s="212" t="s">
        <v>853</v>
      </c>
      <c r="E54" s="212" t="s">
        <v>853</v>
      </c>
      <c r="F54" s="212" t="s">
        <v>2033</v>
      </c>
      <c r="G54" s="212" t="s">
        <v>2005</v>
      </c>
      <c r="H54" s="213" t="s">
        <v>2067</v>
      </c>
      <c r="I54" s="213">
        <v>1</v>
      </c>
      <c r="J54" s="213">
        <v>1</v>
      </c>
      <c r="K54" s="213"/>
      <c r="L54" s="213"/>
      <c r="M54" s="213"/>
      <c r="N54" s="214"/>
      <c r="Q54" s="280" t="str">
        <f>'2.직종별 인원현황'!F55</f>
        <v>컷팅공</v>
      </c>
      <c r="R54" s="213">
        <f ca="1">SUMIF(표2[[직종구분]:[작업 위치_코드]],$Q54,표2[조출])</f>
        <v>0</v>
      </c>
      <c r="S54" s="213">
        <f ca="1">SUMIF(표2[[직종구분]:[작업 위치_코드]],$Q54,표2[주간])</f>
        <v>0</v>
      </c>
      <c r="T54" s="213">
        <f ca="1">SUMIF(표2[[직종구분]:[작업 위치_코드]],$Q54,표2[연장])</f>
        <v>0</v>
      </c>
      <c r="U54" s="213">
        <f ca="1">SUMIF(표2[[직종구분]:[작업 위치_코드]],$Q54,표2[야간])</f>
        <v>0</v>
      </c>
      <c r="V54" s="213">
        <f ca="1">SUMIF(표2[[직종구분]:[작업 위치_코드]],$Q54,표2[철야])</f>
        <v>0</v>
      </c>
      <c r="W54" s="213">
        <f t="shared" ca="1" si="1"/>
        <v>0</v>
      </c>
    </row>
    <row r="55" spans="1:23" ht="20.100000000000001" customHeight="1">
      <c r="A55" s="211">
        <f t="shared" si="0"/>
        <v>52</v>
      </c>
      <c r="B55" s="215" t="s">
        <v>2062</v>
      </c>
      <c r="C55" s="212" t="s">
        <v>2066</v>
      </c>
      <c r="D55" s="212" t="s">
        <v>853</v>
      </c>
      <c r="E55" s="212" t="s">
        <v>853</v>
      </c>
      <c r="F55" s="212" t="s">
        <v>2033</v>
      </c>
      <c r="G55" s="212" t="s">
        <v>2005</v>
      </c>
      <c r="H55" s="213" t="s">
        <v>2067</v>
      </c>
      <c r="I55" s="213">
        <v>1</v>
      </c>
      <c r="J55" s="213">
        <v>1</v>
      </c>
      <c r="K55" s="213"/>
      <c r="L55" s="213"/>
      <c r="M55" s="213"/>
      <c r="N55" s="214"/>
      <c r="Q55" s="280" t="str">
        <f>'2.직종별 인원현황'!F56</f>
        <v>타설공</v>
      </c>
      <c r="R55" s="213">
        <f ca="1">SUMIF(표2[[직종구분]:[작업 위치_코드]],$Q55,표2[조출])</f>
        <v>0</v>
      </c>
      <c r="S55" s="213">
        <f ca="1">SUMIF(표2[[직종구분]:[작업 위치_코드]],$Q55,표2[주간])</f>
        <v>0</v>
      </c>
      <c r="T55" s="213">
        <f ca="1">SUMIF(표2[[직종구분]:[작업 위치_코드]],$Q55,표2[연장])</f>
        <v>0</v>
      </c>
      <c r="U55" s="213">
        <f ca="1">SUMIF(표2[[직종구분]:[작업 위치_코드]],$Q55,표2[야간])</f>
        <v>0</v>
      </c>
      <c r="V55" s="213">
        <f ca="1">SUMIF(표2[[직종구분]:[작업 위치_코드]],$Q55,표2[철야])</f>
        <v>0</v>
      </c>
      <c r="W55" s="213">
        <f t="shared" ca="1" si="1"/>
        <v>0</v>
      </c>
    </row>
    <row r="56" spans="1:23" ht="20.100000000000001" customHeight="1">
      <c r="A56" s="211">
        <f t="shared" si="0"/>
        <v>53</v>
      </c>
      <c r="B56" s="215" t="s">
        <v>2068</v>
      </c>
      <c r="C56" s="212" t="s">
        <v>2063</v>
      </c>
      <c r="D56" s="212" t="s">
        <v>853</v>
      </c>
      <c r="E56" s="212" t="s">
        <v>853</v>
      </c>
      <c r="F56" s="212" t="s">
        <v>2033</v>
      </c>
      <c r="G56" s="212" t="s">
        <v>2005</v>
      </c>
      <c r="H56" s="213" t="s">
        <v>2073</v>
      </c>
      <c r="I56" s="213">
        <v>1</v>
      </c>
      <c r="J56" s="213">
        <v>1</v>
      </c>
      <c r="K56" s="213"/>
      <c r="L56" s="213"/>
      <c r="M56" s="213"/>
      <c r="N56" s="214"/>
      <c r="Q56" s="280" t="str">
        <f>'2.직종별 인원현황'!F57</f>
        <v>타일공</v>
      </c>
      <c r="R56" s="213">
        <f ca="1">SUMIF(표2[[직종구분]:[작업 위치_코드]],$Q56,표2[조출])</f>
        <v>0</v>
      </c>
      <c r="S56" s="213">
        <f ca="1">SUMIF(표2[[직종구분]:[작업 위치_코드]],$Q56,표2[주간])</f>
        <v>0</v>
      </c>
      <c r="T56" s="213">
        <f ca="1">SUMIF(표2[[직종구분]:[작업 위치_코드]],$Q56,표2[연장])</f>
        <v>0</v>
      </c>
      <c r="U56" s="213">
        <f ca="1">SUMIF(표2[[직종구분]:[작업 위치_코드]],$Q56,표2[야간])</f>
        <v>0</v>
      </c>
      <c r="V56" s="213">
        <f ca="1">SUMIF(표2[[직종구분]:[작업 위치_코드]],$Q56,표2[철야])</f>
        <v>0</v>
      </c>
      <c r="W56" s="213">
        <f t="shared" ca="1" si="1"/>
        <v>0</v>
      </c>
    </row>
    <row r="57" spans="1:23" ht="20.100000000000001" customHeight="1">
      <c r="A57" s="211">
        <f t="shared" si="0"/>
        <v>54</v>
      </c>
      <c r="B57" s="215" t="s">
        <v>2069</v>
      </c>
      <c r="C57" s="212" t="s">
        <v>2065</v>
      </c>
      <c r="D57" s="212" t="s">
        <v>853</v>
      </c>
      <c r="E57" s="212" t="s">
        <v>853</v>
      </c>
      <c r="F57" s="212" t="s">
        <v>2033</v>
      </c>
      <c r="G57" s="212" t="s">
        <v>2005</v>
      </c>
      <c r="H57" s="213" t="s">
        <v>2073</v>
      </c>
      <c r="I57" s="213">
        <v>1</v>
      </c>
      <c r="J57" s="213">
        <v>1</v>
      </c>
      <c r="K57" s="213"/>
      <c r="L57" s="213"/>
      <c r="M57" s="213"/>
      <c r="N57" s="214"/>
      <c r="Q57" s="280" t="str">
        <f>'2.직종별 인원현황'!F58</f>
        <v>토공</v>
      </c>
      <c r="R57" s="213">
        <f ca="1">SUMIF(표2[[직종구분]:[작업 위치_코드]],$Q57,표2[조출])</f>
        <v>0</v>
      </c>
      <c r="S57" s="213">
        <f ca="1">SUMIF(표2[[직종구분]:[작업 위치_코드]],$Q57,표2[주간])</f>
        <v>0</v>
      </c>
      <c r="T57" s="213">
        <f ca="1">SUMIF(표2[[직종구분]:[작업 위치_코드]],$Q57,표2[연장])</f>
        <v>0</v>
      </c>
      <c r="U57" s="213">
        <f ca="1">SUMIF(표2[[직종구분]:[작업 위치_코드]],$Q57,표2[야간])</f>
        <v>0</v>
      </c>
      <c r="V57" s="213">
        <f ca="1">SUMIF(표2[[직종구분]:[작업 위치_코드]],$Q57,표2[철야])</f>
        <v>0</v>
      </c>
      <c r="W57" s="213">
        <f t="shared" ca="1" si="1"/>
        <v>0</v>
      </c>
    </row>
    <row r="58" spans="1:23" ht="20.100000000000001" customHeight="1">
      <c r="A58" s="211">
        <f t="shared" si="0"/>
        <v>55</v>
      </c>
      <c r="B58" s="215" t="s">
        <v>2070</v>
      </c>
      <c r="C58" s="212" t="s">
        <v>2065</v>
      </c>
      <c r="D58" s="212" t="s">
        <v>853</v>
      </c>
      <c r="E58" s="212" t="s">
        <v>853</v>
      </c>
      <c r="F58" s="212" t="s">
        <v>2033</v>
      </c>
      <c r="G58" s="212" t="s">
        <v>2005</v>
      </c>
      <c r="H58" s="213" t="s">
        <v>2073</v>
      </c>
      <c r="I58" s="213">
        <v>1</v>
      </c>
      <c r="J58" s="213">
        <v>1</v>
      </c>
      <c r="K58" s="213"/>
      <c r="L58" s="213"/>
      <c r="M58" s="213"/>
      <c r="N58" s="214"/>
      <c r="Q58" s="280" t="str">
        <f>'2.직종별 인원현황'!F59</f>
        <v>포장공</v>
      </c>
      <c r="R58" s="213">
        <f ca="1">SUMIF(표2[[직종구분]:[작업 위치_코드]],$Q58,표2[조출])</f>
        <v>0</v>
      </c>
      <c r="S58" s="213">
        <f ca="1">SUMIF(표2[[직종구분]:[작업 위치_코드]],$Q58,표2[주간])</f>
        <v>0</v>
      </c>
      <c r="T58" s="213">
        <f ca="1">SUMIF(표2[[직종구분]:[작업 위치_코드]],$Q58,표2[연장])</f>
        <v>0</v>
      </c>
      <c r="U58" s="213">
        <f ca="1">SUMIF(표2[[직종구분]:[작업 위치_코드]],$Q58,표2[야간])</f>
        <v>0</v>
      </c>
      <c r="V58" s="213">
        <f ca="1">SUMIF(표2[[직종구분]:[작업 위치_코드]],$Q58,표2[철야])</f>
        <v>0</v>
      </c>
      <c r="W58" s="213">
        <f t="shared" ca="1" si="1"/>
        <v>0</v>
      </c>
    </row>
    <row r="59" spans="1:23" ht="20.100000000000001" customHeight="1">
      <c r="A59" s="211">
        <f t="shared" si="0"/>
        <v>56</v>
      </c>
      <c r="B59" s="215" t="s">
        <v>2071</v>
      </c>
      <c r="C59" s="212" t="s">
        <v>2064</v>
      </c>
      <c r="D59" s="212" t="s">
        <v>853</v>
      </c>
      <c r="E59" s="212" t="s">
        <v>853</v>
      </c>
      <c r="F59" s="212" t="s">
        <v>2033</v>
      </c>
      <c r="G59" s="212" t="s">
        <v>2005</v>
      </c>
      <c r="H59" s="213" t="s">
        <v>2073</v>
      </c>
      <c r="I59" s="213">
        <v>1</v>
      </c>
      <c r="J59" s="213">
        <v>1</v>
      </c>
      <c r="K59" s="213"/>
      <c r="L59" s="213"/>
      <c r="M59" s="213"/>
      <c r="N59" s="214"/>
      <c r="Q59" s="280" t="str">
        <f>'2.직종별 인원현황'!F60</f>
        <v>해체공</v>
      </c>
      <c r="R59" s="213">
        <f ca="1">SUMIF(표2[[직종구분]:[작업 위치_코드]],$Q59,표2[조출])</f>
        <v>0</v>
      </c>
      <c r="S59" s="213">
        <f ca="1">SUMIF(표2[[직종구분]:[작업 위치_코드]],$Q59,표2[주간])</f>
        <v>0</v>
      </c>
      <c r="T59" s="213">
        <f ca="1">SUMIF(표2[[직종구분]:[작업 위치_코드]],$Q59,표2[연장])</f>
        <v>0</v>
      </c>
      <c r="U59" s="213">
        <f ca="1">SUMIF(표2[[직종구분]:[작업 위치_코드]],$Q59,표2[야간])</f>
        <v>0</v>
      </c>
      <c r="V59" s="213">
        <f ca="1">SUMIF(표2[[직종구분]:[작업 위치_코드]],$Q59,표2[철야])</f>
        <v>0</v>
      </c>
      <c r="W59" s="213">
        <f t="shared" ca="1" si="1"/>
        <v>0</v>
      </c>
    </row>
    <row r="60" spans="1:23" ht="20.100000000000001" customHeight="1">
      <c r="A60" s="211">
        <f t="shared" si="0"/>
        <v>57</v>
      </c>
      <c r="B60" s="215" t="s">
        <v>2072</v>
      </c>
      <c r="C60" s="212" t="s">
        <v>2066</v>
      </c>
      <c r="D60" s="212" t="s">
        <v>853</v>
      </c>
      <c r="E60" s="212" t="s">
        <v>853</v>
      </c>
      <c r="F60" s="212" t="s">
        <v>2033</v>
      </c>
      <c r="G60" s="212" t="s">
        <v>2005</v>
      </c>
      <c r="H60" s="213" t="s">
        <v>2073</v>
      </c>
      <c r="I60" s="213">
        <v>1</v>
      </c>
      <c r="J60" s="213">
        <v>1</v>
      </c>
      <c r="K60" s="213"/>
      <c r="L60" s="213"/>
      <c r="M60" s="213"/>
      <c r="N60" s="214"/>
      <c r="Q60" s="280" t="str">
        <f>'2.직종별 인원현황'!F61</f>
        <v>현장경비</v>
      </c>
      <c r="R60" s="213">
        <f ca="1">SUMIF(표2[[직종구분]:[작업 위치_코드]],$Q60,표2[조출])</f>
        <v>0</v>
      </c>
      <c r="S60" s="213">
        <f ca="1">SUMIF(표2[[직종구분]:[작업 위치_코드]],$Q60,표2[주간])</f>
        <v>0</v>
      </c>
      <c r="T60" s="213">
        <f ca="1">SUMIF(표2[[직종구분]:[작업 위치_코드]],$Q60,표2[연장])</f>
        <v>0</v>
      </c>
      <c r="U60" s="213">
        <f ca="1">SUMIF(표2[[직종구분]:[작업 위치_코드]],$Q60,표2[야간])</f>
        <v>0</v>
      </c>
      <c r="V60" s="213">
        <f ca="1">SUMIF(표2[[직종구분]:[작업 위치_코드]],$Q60,표2[철야])</f>
        <v>0</v>
      </c>
      <c r="W60" s="213">
        <f t="shared" ca="1" si="1"/>
        <v>0</v>
      </c>
    </row>
    <row r="61" spans="1:23" ht="20.100000000000001" customHeight="1">
      <c r="A61" s="211">
        <f t="shared" si="0"/>
        <v>58</v>
      </c>
      <c r="B61" s="215" t="s">
        <v>2074</v>
      </c>
      <c r="C61" s="212" t="s">
        <v>2063</v>
      </c>
      <c r="D61" s="212" t="s">
        <v>853</v>
      </c>
      <c r="E61" s="212" t="s">
        <v>853</v>
      </c>
      <c r="F61" s="212" t="s">
        <v>2033</v>
      </c>
      <c r="G61" s="212" t="s">
        <v>2034</v>
      </c>
      <c r="H61" s="213" t="s">
        <v>2035</v>
      </c>
      <c r="I61" s="213">
        <v>1</v>
      </c>
      <c r="J61" s="213">
        <v>1</v>
      </c>
      <c r="K61" s="213"/>
      <c r="L61" s="213"/>
      <c r="M61" s="213"/>
      <c r="N61" s="214"/>
      <c r="Q61" s="280" t="str">
        <f>'2.직종별 인원현황'!F62</f>
        <v>형틀공</v>
      </c>
      <c r="R61" s="213">
        <f ca="1">SUMIF(표2[[직종구분]:[작업 위치_코드]],$Q61,표2[조출])</f>
        <v>0</v>
      </c>
      <c r="S61" s="213">
        <f ca="1">SUMIF(표2[[직종구분]:[작업 위치_코드]],$Q61,표2[주간])</f>
        <v>0</v>
      </c>
      <c r="T61" s="213">
        <f ca="1">SUMIF(표2[[직종구분]:[작업 위치_코드]],$Q61,표2[연장])</f>
        <v>0</v>
      </c>
      <c r="U61" s="213">
        <f ca="1">SUMIF(표2[[직종구분]:[작업 위치_코드]],$Q61,표2[야간])</f>
        <v>0</v>
      </c>
      <c r="V61" s="213">
        <f ca="1">SUMIF(표2[[직종구분]:[작업 위치_코드]],$Q61,표2[철야])</f>
        <v>0</v>
      </c>
      <c r="W61" s="213">
        <f t="shared" ca="1" si="1"/>
        <v>0</v>
      </c>
    </row>
    <row r="62" spans="1:23" ht="20.100000000000001" customHeight="1">
      <c r="A62" s="211">
        <f t="shared" si="0"/>
        <v>59</v>
      </c>
      <c r="B62" s="215" t="s">
        <v>2075</v>
      </c>
      <c r="C62" s="212" t="s">
        <v>2064</v>
      </c>
      <c r="D62" s="212" t="s">
        <v>853</v>
      </c>
      <c r="E62" s="212" t="s">
        <v>853</v>
      </c>
      <c r="F62" s="212" t="s">
        <v>2033</v>
      </c>
      <c r="G62" s="212" t="s">
        <v>2034</v>
      </c>
      <c r="H62" s="213" t="s">
        <v>2035</v>
      </c>
      <c r="I62" s="213">
        <v>1</v>
      </c>
      <c r="J62" s="213">
        <v>1</v>
      </c>
      <c r="K62" s="213"/>
      <c r="L62" s="213"/>
      <c r="M62" s="213"/>
      <c r="N62" s="214"/>
      <c r="Q62" s="280" t="str">
        <f>'2.직종별 인원현황'!F63</f>
        <v>호이스트 설치공</v>
      </c>
      <c r="R62" s="213">
        <f ca="1">SUMIF(표2[[직종구분]:[작업 위치_코드]],$Q62,표2[조출])</f>
        <v>0</v>
      </c>
      <c r="S62" s="213">
        <f ca="1">SUMIF(표2[[직종구분]:[작업 위치_코드]],$Q62,표2[주간])</f>
        <v>0</v>
      </c>
      <c r="T62" s="213">
        <f ca="1">SUMIF(표2[[직종구분]:[작업 위치_코드]],$Q62,표2[연장])</f>
        <v>0</v>
      </c>
      <c r="U62" s="213">
        <f ca="1">SUMIF(표2[[직종구분]:[작업 위치_코드]],$Q62,표2[야간])</f>
        <v>0</v>
      </c>
      <c r="V62" s="213">
        <f ca="1">SUMIF(표2[[직종구분]:[작업 위치_코드]],$Q62,표2[철야])</f>
        <v>0</v>
      </c>
      <c r="W62" s="213">
        <f t="shared" ca="1" si="1"/>
        <v>0</v>
      </c>
    </row>
    <row r="63" spans="1:23" ht="20.100000000000001" customHeight="1">
      <c r="A63" s="211">
        <f t="shared" si="0"/>
        <v>60</v>
      </c>
      <c r="B63" s="215" t="s">
        <v>2076</v>
      </c>
      <c r="C63" s="212" t="s">
        <v>2065</v>
      </c>
      <c r="D63" s="212" t="s">
        <v>853</v>
      </c>
      <c r="E63" s="212" t="s">
        <v>853</v>
      </c>
      <c r="F63" s="212" t="s">
        <v>2033</v>
      </c>
      <c r="G63" s="212" t="s">
        <v>2034</v>
      </c>
      <c r="H63" s="213" t="s">
        <v>2035</v>
      </c>
      <c r="I63" s="213">
        <v>1</v>
      </c>
      <c r="J63" s="213">
        <v>1</v>
      </c>
      <c r="K63" s="213"/>
      <c r="L63" s="213"/>
      <c r="M63" s="213"/>
      <c r="N63" s="214"/>
      <c r="Q63" s="280" t="str">
        <f>'2.직종별 인원현황'!F64</f>
        <v>화기감시자</v>
      </c>
      <c r="R63" s="213">
        <f ca="1">SUMIF(표2[[직종구분]:[작업 위치_코드]],$Q63,표2[조출])</f>
        <v>4</v>
      </c>
      <c r="S63" s="213">
        <f ca="1">SUMIF(표2[[직종구분]:[작업 위치_코드]],$Q63,표2[주간])</f>
        <v>4</v>
      </c>
      <c r="T63" s="213">
        <f ca="1">SUMIF(표2[[직종구분]:[작업 위치_코드]],$Q63,표2[연장])</f>
        <v>0</v>
      </c>
      <c r="U63" s="213">
        <f ca="1">SUMIF(표2[[직종구분]:[작업 위치_코드]],$Q63,표2[야간])</f>
        <v>0</v>
      </c>
      <c r="V63" s="213">
        <f ca="1">SUMIF(표2[[직종구분]:[작업 위치_코드]],$Q63,표2[철야])</f>
        <v>0</v>
      </c>
      <c r="W63" s="213">
        <f t="shared" ca="1" si="1"/>
        <v>8</v>
      </c>
    </row>
    <row r="64" spans="1:23" ht="20.100000000000001" customHeight="1">
      <c r="A64" s="211">
        <f t="shared" si="0"/>
        <v>61</v>
      </c>
      <c r="B64" s="215" t="s">
        <v>2077</v>
      </c>
      <c r="C64" s="212" t="s">
        <v>2065</v>
      </c>
      <c r="D64" s="212" t="s">
        <v>853</v>
      </c>
      <c r="E64" s="212" t="s">
        <v>853</v>
      </c>
      <c r="F64" s="212" t="s">
        <v>2033</v>
      </c>
      <c r="G64" s="212" t="s">
        <v>2034</v>
      </c>
      <c r="H64" s="213" t="s">
        <v>2035</v>
      </c>
      <c r="I64" s="213">
        <v>1</v>
      </c>
      <c r="J64" s="213">
        <v>1</v>
      </c>
      <c r="K64" s="213"/>
      <c r="L64" s="213"/>
      <c r="M64" s="213"/>
      <c r="N64" s="214"/>
      <c r="Q64" s="280" t="str">
        <f>'2.직종별 인원현황'!F65</f>
        <v>환경정리</v>
      </c>
      <c r="R64" s="213">
        <f ca="1">SUMIF(표2[[직종구분]:[작업 위치_코드]],$Q64,표2[조출])</f>
        <v>0</v>
      </c>
      <c r="S64" s="213">
        <f ca="1">SUMIF(표2[[직종구분]:[작업 위치_코드]],$Q64,표2[주간])</f>
        <v>0</v>
      </c>
      <c r="T64" s="213">
        <f ca="1">SUMIF(표2[[직종구분]:[작업 위치_코드]],$Q64,표2[연장])</f>
        <v>0</v>
      </c>
      <c r="U64" s="213">
        <f ca="1">SUMIF(표2[[직종구분]:[작업 위치_코드]],$Q64,표2[야간])</f>
        <v>0</v>
      </c>
      <c r="V64" s="213">
        <f ca="1">SUMIF(표2[[직종구분]:[작업 위치_코드]],$Q64,표2[철야])</f>
        <v>0</v>
      </c>
      <c r="W64" s="213">
        <f t="shared" ca="1" si="1"/>
        <v>0</v>
      </c>
    </row>
    <row r="65" spans="1:23" ht="20.100000000000001" customHeight="1">
      <c r="A65" s="211">
        <f t="shared" si="0"/>
        <v>62</v>
      </c>
      <c r="B65" s="215" t="s">
        <v>2078</v>
      </c>
      <c r="C65" s="212" t="s">
        <v>2079</v>
      </c>
      <c r="D65" s="212" t="s">
        <v>853</v>
      </c>
      <c r="E65" s="212" t="s">
        <v>853</v>
      </c>
      <c r="F65" s="212" t="s">
        <v>2033</v>
      </c>
      <c r="G65" s="212" t="s">
        <v>2034</v>
      </c>
      <c r="H65" s="213" t="s">
        <v>2035</v>
      </c>
      <c r="I65" s="213">
        <v>1</v>
      </c>
      <c r="J65" s="213">
        <v>1</v>
      </c>
      <c r="K65" s="213"/>
      <c r="L65" s="213"/>
      <c r="M65" s="213"/>
      <c r="N65" s="214"/>
      <c r="Q65" s="280" t="str">
        <f>'2.직종별 인원현황'!F66</f>
        <v>A/F Post 설치</v>
      </c>
      <c r="R65" s="213">
        <f ca="1">SUMIF(표2[[직종구분]:[작업 위치_코드]],$Q65,표2[조출])</f>
        <v>0</v>
      </c>
      <c r="S65" s="213">
        <f ca="1">SUMIF(표2[[직종구분]:[작업 위치_코드]],$Q65,표2[주간])</f>
        <v>0</v>
      </c>
      <c r="T65" s="213">
        <f ca="1">SUMIF(표2[[직종구분]:[작업 위치_코드]],$Q65,표2[연장])</f>
        <v>0</v>
      </c>
      <c r="U65" s="213">
        <f ca="1">SUMIF(표2[[직종구분]:[작업 위치_코드]],$Q65,표2[야간])</f>
        <v>0</v>
      </c>
      <c r="V65" s="213">
        <f ca="1">SUMIF(표2[[직종구분]:[작업 위치_코드]],$Q65,표2[철야])</f>
        <v>0</v>
      </c>
      <c r="W65" s="213">
        <f t="shared" ca="1" si="1"/>
        <v>0</v>
      </c>
    </row>
    <row r="66" spans="1:23" ht="20.100000000000001" customHeight="1">
      <c r="A66" s="211">
        <f t="shared" si="0"/>
        <v>63</v>
      </c>
      <c r="B66" s="215" t="s">
        <v>2080</v>
      </c>
      <c r="C66" s="212" t="s">
        <v>102</v>
      </c>
      <c r="D66" s="212" t="s">
        <v>853</v>
      </c>
      <c r="E66" s="212" t="s">
        <v>853</v>
      </c>
      <c r="F66" s="212" t="s">
        <v>2033</v>
      </c>
      <c r="G66" s="212" t="s">
        <v>2090</v>
      </c>
      <c r="H66" s="285" t="s">
        <v>2091</v>
      </c>
      <c r="I66" s="213"/>
      <c r="J66" s="213">
        <v>1</v>
      </c>
      <c r="K66" s="213"/>
      <c r="L66" s="213"/>
      <c r="M66" s="213"/>
      <c r="N66" s="214"/>
      <c r="Q66" s="280" t="str">
        <f>'2.직종별 인원현황'!F67</f>
        <v>Access Floor</v>
      </c>
      <c r="R66" s="213">
        <f ca="1">SUMIF(표2[[직종구분]:[작업 위치_코드]],$Q66,표2[조출])</f>
        <v>0</v>
      </c>
      <c r="S66" s="213">
        <f ca="1">SUMIF(표2[[직종구분]:[작업 위치_코드]],$Q66,표2[주간])</f>
        <v>0</v>
      </c>
      <c r="T66" s="213">
        <f ca="1">SUMIF(표2[[직종구분]:[작업 위치_코드]],$Q66,표2[연장])</f>
        <v>0</v>
      </c>
      <c r="U66" s="213">
        <f ca="1">SUMIF(표2[[직종구분]:[작업 위치_코드]],$Q66,표2[야간])</f>
        <v>0</v>
      </c>
      <c r="V66" s="213">
        <f ca="1">SUMIF(표2[[직종구분]:[작업 위치_코드]],$Q66,표2[철야])</f>
        <v>0</v>
      </c>
      <c r="W66" s="213">
        <f t="shared" ca="1" si="1"/>
        <v>0</v>
      </c>
    </row>
    <row r="67" spans="1:23" ht="20.100000000000001" customHeight="1">
      <c r="A67" s="211">
        <f t="shared" si="0"/>
        <v>64</v>
      </c>
      <c r="B67" s="215" t="s">
        <v>2081</v>
      </c>
      <c r="C67" s="212" t="s">
        <v>102</v>
      </c>
      <c r="D67" s="212" t="s">
        <v>853</v>
      </c>
      <c r="E67" s="212" t="s">
        <v>853</v>
      </c>
      <c r="F67" s="212" t="s">
        <v>2033</v>
      </c>
      <c r="G67" s="212" t="s">
        <v>2090</v>
      </c>
      <c r="H67" s="285" t="s">
        <v>2091</v>
      </c>
      <c r="I67" s="213"/>
      <c r="J67" s="213">
        <v>1</v>
      </c>
      <c r="K67" s="213"/>
      <c r="L67" s="213"/>
      <c r="M67" s="213"/>
      <c r="N67" s="214"/>
      <c r="Q67" s="280" t="str">
        <f>'2.직종별 인원현황'!F68</f>
        <v>S/C M16 Bolt 설치</v>
      </c>
      <c r="R67" s="213">
        <f ca="1">SUMIF(표2[[직종구분]:[작업 위치_코드]],$Q67,표2[조출])</f>
        <v>0</v>
      </c>
      <c r="S67" s="213">
        <f ca="1">SUMIF(표2[[직종구분]:[작업 위치_코드]],$Q67,표2[주간])</f>
        <v>0</v>
      </c>
      <c r="T67" s="213">
        <f ca="1">SUMIF(표2[[직종구분]:[작업 위치_코드]],$Q67,표2[연장])</f>
        <v>0</v>
      </c>
      <c r="U67" s="213">
        <f ca="1">SUMIF(표2[[직종구분]:[작업 위치_코드]],$Q67,표2[야간])</f>
        <v>0</v>
      </c>
      <c r="V67" s="213">
        <f ca="1">SUMIF(표2[[직종구분]:[작업 위치_코드]],$Q67,표2[철야])</f>
        <v>0</v>
      </c>
      <c r="W67" s="213">
        <f t="shared" ca="1" si="1"/>
        <v>0</v>
      </c>
    </row>
    <row r="68" spans="1:23" ht="20.100000000000001" customHeight="1">
      <c r="A68" s="211">
        <f t="shared" si="0"/>
        <v>65</v>
      </c>
      <c r="B68" s="215" t="s">
        <v>2082</v>
      </c>
      <c r="C68" s="212" t="s">
        <v>102</v>
      </c>
      <c r="D68" s="212" t="s">
        <v>853</v>
      </c>
      <c r="E68" s="212" t="s">
        <v>853</v>
      </c>
      <c r="F68" s="212" t="s">
        <v>2033</v>
      </c>
      <c r="G68" s="212" t="s">
        <v>2090</v>
      </c>
      <c r="H68" s="285" t="s">
        <v>2091</v>
      </c>
      <c r="I68" s="213"/>
      <c r="J68" s="213">
        <v>1</v>
      </c>
      <c r="K68" s="213"/>
      <c r="L68" s="213"/>
      <c r="M68" s="213"/>
      <c r="N68" s="214"/>
      <c r="Q68" s="280" t="str">
        <f>'2.직종별 인원현황'!F69</f>
        <v>S/C SQ Pipe 설치</v>
      </c>
      <c r="R68" s="213">
        <f ca="1">SUMIF(표2[[직종구분]:[작업 위치_코드]],$Q68,표2[조출])</f>
        <v>0</v>
      </c>
      <c r="S68" s="213">
        <f ca="1">SUMIF(표2[[직종구분]:[작업 위치_코드]],$Q68,표2[주간])</f>
        <v>0</v>
      </c>
      <c r="T68" s="213">
        <f ca="1">SUMIF(표2[[직종구분]:[작업 위치_코드]],$Q68,표2[연장])</f>
        <v>0</v>
      </c>
      <c r="U68" s="213">
        <f ca="1">SUMIF(표2[[직종구분]:[작업 위치_코드]],$Q68,표2[야간])</f>
        <v>0</v>
      </c>
      <c r="V68" s="213">
        <f ca="1">SUMIF(표2[[직종구분]:[작업 위치_코드]],$Q68,표2[철야])</f>
        <v>0</v>
      </c>
      <c r="W68" s="213">
        <f t="shared" ca="1" si="1"/>
        <v>0</v>
      </c>
    </row>
    <row r="69" spans="1:23" ht="20.100000000000001" customHeight="1">
      <c r="A69" s="211">
        <f t="shared" si="0"/>
        <v>66</v>
      </c>
      <c r="B69" s="215" t="s">
        <v>2083</v>
      </c>
      <c r="C69" s="212" t="s">
        <v>102</v>
      </c>
      <c r="D69" s="212" t="s">
        <v>853</v>
      </c>
      <c r="E69" s="212" t="s">
        <v>853</v>
      </c>
      <c r="F69" s="212" t="s">
        <v>2033</v>
      </c>
      <c r="G69" s="212" t="s">
        <v>2090</v>
      </c>
      <c r="H69" s="285" t="s">
        <v>2091</v>
      </c>
      <c r="I69" s="213"/>
      <c r="J69" s="213">
        <v>1</v>
      </c>
      <c r="K69" s="213"/>
      <c r="L69" s="213"/>
      <c r="M69" s="213"/>
      <c r="N69" s="214"/>
      <c r="Q69" s="127" t="str">
        <f>'2.직종별 인원현황'!F70</f>
        <v>S/C M8/Mould Bar 설치</v>
      </c>
      <c r="R69" s="213">
        <f ca="1">SUMIF(표2[[직종구분]:[작업 위치_코드]],$Q69,표2[조출])</f>
        <v>0</v>
      </c>
      <c r="S69" s="213">
        <f ca="1">SUMIF(표2[[직종구분]:[작업 위치_코드]],$Q69,표2[주간])</f>
        <v>0</v>
      </c>
      <c r="T69" s="213">
        <f ca="1">SUMIF(표2[[직종구분]:[작업 위치_코드]],$Q69,표2[연장])</f>
        <v>0</v>
      </c>
      <c r="U69" s="213">
        <f ca="1">SUMIF(표2[[직종구분]:[작업 위치_코드]],$Q69,표2[야간])</f>
        <v>0</v>
      </c>
      <c r="V69" s="213">
        <f ca="1">SUMIF(표2[[직종구분]:[작업 위치_코드]],$Q69,표2[철야])</f>
        <v>0</v>
      </c>
      <c r="W69" s="213">
        <f t="shared" ca="1" si="1"/>
        <v>0</v>
      </c>
    </row>
    <row r="70" spans="1:23" ht="20.100000000000001" customHeight="1">
      <c r="A70" s="211">
        <f t="shared" ref="A70:A134" si="2">A69+1</f>
        <v>67</v>
      </c>
      <c r="B70" s="215" t="s">
        <v>2084</v>
      </c>
      <c r="C70" s="212" t="s">
        <v>102</v>
      </c>
      <c r="D70" s="212" t="s">
        <v>853</v>
      </c>
      <c r="E70" s="212" t="s">
        <v>853</v>
      </c>
      <c r="F70" s="212" t="s">
        <v>2033</v>
      </c>
      <c r="G70" s="212" t="s">
        <v>2090</v>
      </c>
      <c r="H70" s="285" t="s">
        <v>2091</v>
      </c>
      <c r="I70" s="213"/>
      <c r="J70" s="213">
        <v>1</v>
      </c>
      <c r="K70" s="213"/>
      <c r="L70" s="213"/>
      <c r="M70" s="213"/>
      <c r="N70" s="214"/>
      <c r="Q70" s="127" t="str">
        <f>'2.직종별 인원현황'!F71</f>
        <v>S/C Blind Panel 설치</v>
      </c>
      <c r="R70" s="213">
        <f ca="1">SUMIF(표2[[직종구분]:[작업 위치_코드]],$Q70,표2[조출])</f>
        <v>0</v>
      </c>
      <c r="S70" s="213">
        <f ca="1">SUMIF(표2[[직종구분]:[작업 위치_코드]],$Q70,표2[주간])</f>
        <v>0</v>
      </c>
      <c r="T70" s="213">
        <f ca="1">SUMIF(표2[[직종구분]:[작업 위치_코드]],$Q70,표2[연장])</f>
        <v>0</v>
      </c>
      <c r="U70" s="213">
        <f ca="1">SUMIF(표2[[직종구분]:[작업 위치_코드]],$Q70,표2[야간])</f>
        <v>0</v>
      </c>
      <c r="V70" s="213">
        <f ca="1">SUMIF(표2[[직종구분]:[작업 위치_코드]],$Q70,표2[철야])</f>
        <v>0</v>
      </c>
      <c r="W70" s="213">
        <f t="shared" ref="W70:W85" ca="1" si="3">SUM(R70:V70)</f>
        <v>0</v>
      </c>
    </row>
    <row r="71" spans="1:23" ht="20.100000000000001" customHeight="1">
      <c r="A71" s="211">
        <f t="shared" si="2"/>
        <v>68</v>
      </c>
      <c r="B71" s="215" t="s">
        <v>2085</v>
      </c>
      <c r="C71" s="212" t="s">
        <v>102</v>
      </c>
      <c r="D71" s="212" t="s">
        <v>853</v>
      </c>
      <c r="E71" s="212" t="s">
        <v>853</v>
      </c>
      <c r="F71" s="212" t="s">
        <v>2033</v>
      </c>
      <c r="G71" s="212" t="s">
        <v>2090</v>
      </c>
      <c r="H71" s="285" t="s">
        <v>2091</v>
      </c>
      <c r="I71" s="213"/>
      <c r="J71" s="213">
        <v>1</v>
      </c>
      <c r="K71" s="213"/>
      <c r="L71" s="213"/>
      <c r="M71" s="213"/>
      <c r="N71" s="214"/>
      <c r="Q71" s="127" t="str">
        <f>'2.직종별 인원현황'!F72</f>
        <v>케이블 포설</v>
      </c>
      <c r="R71" s="213">
        <f ca="1">SUMIF(표2[[직종구분]:[작업 위치_코드]],$Q71,표2[조출])</f>
        <v>0</v>
      </c>
      <c r="S71" s="213">
        <f ca="1">SUMIF(표2[[직종구분]:[작업 위치_코드]],$Q71,표2[주간])</f>
        <v>0</v>
      </c>
      <c r="T71" s="213">
        <f ca="1">SUMIF(표2[[직종구분]:[작업 위치_코드]],$Q71,표2[연장])</f>
        <v>0</v>
      </c>
      <c r="U71" s="213">
        <f ca="1">SUMIF(표2[[직종구분]:[작업 위치_코드]],$Q71,표2[야간])</f>
        <v>0</v>
      </c>
      <c r="V71" s="213">
        <f ca="1">SUMIF(표2[[직종구분]:[작업 위치_코드]],$Q71,표2[철야])</f>
        <v>0</v>
      </c>
      <c r="W71" s="213">
        <f t="shared" ca="1" si="3"/>
        <v>0</v>
      </c>
    </row>
    <row r="72" spans="1:23" ht="20.100000000000001" customHeight="1">
      <c r="A72" s="211">
        <f t="shared" si="2"/>
        <v>69</v>
      </c>
      <c r="B72" s="215" t="s">
        <v>2086</v>
      </c>
      <c r="C72" s="212" t="s">
        <v>102</v>
      </c>
      <c r="D72" s="212" t="s">
        <v>853</v>
      </c>
      <c r="E72" s="212" t="s">
        <v>853</v>
      </c>
      <c r="F72" s="212" t="s">
        <v>2033</v>
      </c>
      <c r="G72" s="212" t="s">
        <v>2090</v>
      </c>
      <c r="H72" s="285" t="s">
        <v>2091</v>
      </c>
      <c r="I72" s="213"/>
      <c r="J72" s="213">
        <v>1</v>
      </c>
      <c r="K72" s="213"/>
      <c r="L72" s="213"/>
      <c r="M72" s="213"/>
      <c r="N72" s="214"/>
      <c r="Q72" s="127" t="str">
        <f>'2.직종별 인원현황'!F73</f>
        <v>케이블 단말</v>
      </c>
      <c r="R72" s="213">
        <f ca="1">SUMIF(표2[[직종구분]:[작업 위치_코드]],$Q72,표2[조출])</f>
        <v>0</v>
      </c>
      <c r="S72" s="213">
        <f ca="1">SUMIF(표2[[직종구분]:[작업 위치_코드]],$Q72,표2[주간])</f>
        <v>0</v>
      </c>
      <c r="T72" s="213">
        <f ca="1">SUMIF(표2[[직종구분]:[작업 위치_코드]],$Q72,표2[연장])</f>
        <v>0</v>
      </c>
      <c r="U72" s="213">
        <f ca="1">SUMIF(표2[[직종구분]:[작업 위치_코드]],$Q72,표2[야간])</f>
        <v>0</v>
      </c>
      <c r="V72" s="213">
        <f ca="1">SUMIF(표2[[직종구분]:[작업 위치_코드]],$Q72,표2[철야])</f>
        <v>0</v>
      </c>
      <c r="W72" s="213">
        <f t="shared" ca="1" si="3"/>
        <v>0</v>
      </c>
    </row>
    <row r="73" spans="1:23" ht="20.100000000000001" customHeight="1">
      <c r="A73" s="211">
        <f t="shared" si="2"/>
        <v>70</v>
      </c>
      <c r="B73" s="215" t="s">
        <v>2087</v>
      </c>
      <c r="C73" s="212" t="s">
        <v>102</v>
      </c>
      <c r="D73" s="212" t="s">
        <v>853</v>
      </c>
      <c r="E73" s="212" t="s">
        <v>853</v>
      </c>
      <c r="F73" s="212" t="s">
        <v>2033</v>
      </c>
      <c r="G73" s="212" t="s">
        <v>2090</v>
      </c>
      <c r="H73" s="285" t="s">
        <v>2091</v>
      </c>
      <c r="I73" s="213"/>
      <c r="J73" s="213">
        <v>1</v>
      </c>
      <c r="K73" s="213"/>
      <c r="L73" s="213"/>
      <c r="M73" s="213"/>
      <c r="N73" s="214"/>
      <c r="Q73" s="127" t="str">
        <f>'2.직종별 인원현황'!F74</f>
        <v>Cable Tray 설치</v>
      </c>
      <c r="R73" s="213">
        <f ca="1">SUMIF(표2[[직종구분]:[작업 위치_코드]],$Q73,표2[조출])</f>
        <v>0</v>
      </c>
      <c r="S73" s="213">
        <f ca="1">SUMIF(표2[[직종구분]:[작업 위치_코드]],$Q73,표2[주간])</f>
        <v>0</v>
      </c>
      <c r="T73" s="213">
        <f ca="1">SUMIF(표2[[직종구분]:[작업 위치_코드]],$Q73,표2[연장])</f>
        <v>0</v>
      </c>
      <c r="U73" s="213">
        <f ca="1">SUMIF(표2[[직종구분]:[작업 위치_코드]],$Q73,표2[야간])</f>
        <v>0</v>
      </c>
      <c r="V73" s="213">
        <f ca="1">SUMIF(표2[[직종구분]:[작업 위치_코드]],$Q73,표2[철야])</f>
        <v>0</v>
      </c>
      <c r="W73" s="213">
        <f t="shared" ca="1" si="3"/>
        <v>0</v>
      </c>
    </row>
    <row r="74" spans="1:23" ht="20.100000000000001" customHeight="1">
      <c r="A74" s="211">
        <f t="shared" si="2"/>
        <v>71</v>
      </c>
      <c r="B74" s="215" t="s">
        <v>2088</v>
      </c>
      <c r="C74" s="212" t="s">
        <v>102</v>
      </c>
      <c r="D74" s="212" t="s">
        <v>853</v>
      </c>
      <c r="E74" s="212" t="s">
        <v>853</v>
      </c>
      <c r="F74" s="212" t="s">
        <v>2033</v>
      </c>
      <c r="G74" s="212" t="s">
        <v>2090</v>
      </c>
      <c r="H74" s="285" t="s">
        <v>2091</v>
      </c>
      <c r="I74" s="213"/>
      <c r="J74" s="213">
        <v>1</v>
      </c>
      <c r="K74" s="213"/>
      <c r="L74" s="213"/>
      <c r="M74" s="213"/>
      <c r="N74" s="214"/>
      <c r="Q74" s="127" t="str">
        <f>'2.직종별 인원현황'!F75</f>
        <v>Bus Duct 설치</v>
      </c>
      <c r="R74" s="213">
        <f ca="1">SUMIF(표2[[직종구분]:[작업 위치_코드]],$Q74,표2[조출])</f>
        <v>0</v>
      </c>
      <c r="S74" s="213">
        <f ca="1">SUMIF(표2[[직종구분]:[작업 위치_코드]],$Q74,표2[주간])</f>
        <v>0</v>
      </c>
      <c r="T74" s="213">
        <f ca="1">SUMIF(표2[[직종구분]:[작업 위치_코드]],$Q74,표2[연장])</f>
        <v>0</v>
      </c>
      <c r="U74" s="213">
        <f ca="1">SUMIF(표2[[직종구분]:[작업 위치_코드]],$Q74,표2[야간])</f>
        <v>0</v>
      </c>
      <c r="V74" s="213">
        <f ca="1">SUMIF(표2[[직종구분]:[작업 위치_코드]],$Q74,표2[철야])</f>
        <v>0</v>
      </c>
      <c r="W74" s="213">
        <f t="shared" ca="1" si="3"/>
        <v>0</v>
      </c>
    </row>
    <row r="75" spans="1:23" ht="20.100000000000001" customHeight="1">
      <c r="A75" s="211">
        <f t="shared" si="2"/>
        <v>72</v>
      </c>
      <c r="B75" s="215" t="s">
        <v>2089</v>
      </c>
      <c r="C75" s="212" t="s">
        <v>2079</v>
      </c>
      <c r="D75" s="212" t="s">
        <v>853</v>
      </c>
      <c r="E75" s="212" t="s">
        <v>853</v>
      </c>
      <c r="F75" s="212" t="s">
        <v>2033</v>
      </c>
      <c r="G75" s="212" t="s">
        <v>2090</v>
      </c>
      <c r="H75" s="285" t="s">
        <v>2091</v>
      </c>
      <c r="I75" s="213"/>
      <c r="J75" s="213">
        <v>1</v>
      </c>
      <c r="K75" s="213"/>
      <c r="L75" s="213"/>
      <c r="M75" s="213"/>
      <c r="N75" s="214"/>
      <c r="Q75" s="288" t="str">
        <f>'2.직종별 인원현황'!F76</f>
        <v>경량벽체설치</v>
      </c>
      <c r="R75" s="213">
        <f ca="1">SUMIF(표2[[직종구분]:[작업 위치_코드]],$Q75,표2[조출])</f>
        <v>0</v>
      </c>
      <c r="S75" s="213">
        <f ca="1">SUMIF(표2[[직종구분]:[작업 위치_코드]],$Q75,표2[주간])</f>
        <v>0</v>
      </c>
      <c r="T75" s="213">
        <f ca="1">SUMIF(표2[[직종구분]:[작업 위치_코드]],$Q75,표2[연장])</f>
        <v>0</v>
      </c>
      <c r="U75" s="213">
        <f ca="1">SUMIF(표2[[직종구분]:[작업 위치_코드]],$Q75,표2[야간])</f>
        <v>0</v>
      </c>
      <c r="V75" s="213">
        <f ca="1">SUMIF(표2[[직종구분]:[작업 위치_코드]],$Q75,표2[철야])</f>
        <v>0</v>
      </c>
      <c r="W75" s="213">
        <f t="shared" ca="1" si="3"/>
        <v>0</v>
      </c>
    </row>
    <row r="76" spans="1:23" ht="20.100000000000001" customHeight="1">
      <c r="A76" s="211">
        <f t="shared" si="2"/>
        <v>73</v>
      </c>
      <c r="B76" s="215" t="s">
        <v>2092</v>
      </c>
      <c r="C76" s="212" t="s">
        <v>2063</v>
      </c>
      <c r="D76" s="212" t="s">
        <v>853</v>
      </c>
      <c r="E76" s="212" t="s">
        <v>853</v>
      </c>
      <c r="F76" s="212" t="s">
        <v>2033</v>
      </c>
      <c r="G76" s="212" t="s">
        <v>2135</v>
      </c>
      <c r="H76" s="286" t="s">
        <v>2136</v>
      </c>
      <c r="I76" s="213"/>
      <c r="J76" s="213">
        <v>1</v>
      </c>
      <c r="K76" s="213"/>
      <c r="L76" s="213"/>
      <c r="M76" s="213"/>
      <c r="N76" s="214"/>
      <c r="Q76" s="127" t="str">
        <f>'2.직종별 인원현황'!F77</f>
        <v>경량벽체설치</v>
      </c>
      <c r="R76" s="213">
        <f ca="1">SUMIF(표2[[직종구분]:[작업 위치_코드]],$Q76,표2[조출])</f>
        <v>0</v>
      </c>
      <c r="S76" s="213">
        <f ca="1">SUMIF(표2[[직종구분]:[작업 위치_코드]],$Q76,표2[주간])</f>
        <v>0</v>
      </c>
      <c r="T76" s="213">
        <f ca="1">SUMIF(표2[[직종구분]:[작업 위치_코드]],$Q76,표2[연장])</f>
        <v>0</v>
      </c>
      <c r="U76" s="213">
        <f ca="1">SUMIF(표2[[직종구분]:[작업 위치_코드]],$Q76,표2[야간])</f>
        <v>0</v>
      </c>
      <c r="V76" s="213">
        <f ca="1">SUMIF(표2[[직종구분]:[작업 위치_코드]],$Q76,표2[철야])</f>
        <v>0</v>
      </c>
      <c r="W76" s="213">
        <f t="shared" ca="1" si="3"/>
        <v>0</v>
      </c>
    </row>
    <row r="77" spans="1:23" ht="20.100000000000001" customHeight="1">
      <c r="A77" s="211">
        <f t="shared" si="2"/>
        <v>74</v>
      </c>
      <c r="B77" s="215" t="s">
        <v>2093</v>
      </c>
      <c r="C77" s="212" t="s">
        <v>2065</v>
      </c>
      <c r="D77" s="212" t="s">
        <v>853</v>
      </c>
      <c r="E77" s="212" t="s">
        <v>853</v>
      </c>
      <c r="F77" s="212" t="s">
        <v>2033</v>
      </c>
      <c r="G77" s="212" t="s">
        <v>2135</v>
      </c>
      <c r="H77" s="286" t="s">
        <v>2136</v>
      </c>
      <c r="I77" s="213"/>
      <c r="J77" s="213">
        <v>1</v>
      </c>
      <c r="K77" s="213"/>
      <c r="L77" s="213"/>
      <c r="M77" s="213"/>
      <c r="N77" s="214"/>
      <c r="Q77" s="127" t="str">
        <f>'2.직종별 인원현황'!F78</f>
        <v>인력운반공</v>
      </c>
      <c r="R77" s="213">
        <f ca="1">SUMIF(표2[[직종구분]:[작업 위치_코드]],$Q77,표2[조출])</f>
        <v>0</v>
      </c>
      <c r="S77" s="213">
        <f ca="1">SUMIF(표2[[직종구분]:[작업 위치_코드]],$Q77,표2[주간])</f>
        <v>0</v>
      </c>
      <c r="T77" s="213">
        <f ca="1">SUMIF(표2[[직종구분]:[작업 위치_코드]],$Q77,표2[연장])</f>
        <v>0</v>
      </c>
      <c r="U77" s="213">
        <f ca="1">SUMIF(표2[[직종구분]:[작업 위치_코드]],$Q77,표2[야간])</f>
        <v>0</v>
      </c>
      <c r="V77" s="213">
        <f ca="1">SUMIF(표2[[직종구분]:[작업 위치_코드]],$Q77,표2[철야])</f>
        <v>0</v>
      </c>
      <c r="W77" s="213">
        <f t="shared" ca="1" si="3"/>
        <v>0</v>
      </c>
    </row>
    <row r="78" spans="1:23" ht="20.100000000000001" customHeight="1">
      <c r="A78" s="211">
        <f t="shared" si="2"/>
        <v>75</v>
      </c>
      <c r="B78" s="215" t="s">
        <v>2094</v>
      </c>
      <c r="C78" s="212" t="s">
        <v>2063</v>
      </c>
      <c r="D78" s="212" t="s">
        <v>853</v>
      </c>
      <c r="E78" s="212" t="s">
        <v>853</v>
      </c>
      <c r="F78" s="212" t="s">
        <v>2033</v>
      </c>
      <c r="G78" s="212" t="s">
        <v>2135</v>
      </c>
      <c r="H78" s="286" t="s">
        <v>2136</v>
      </c>
      <c r="I78" s="213"/>
      <c r="J78" s="213">
        <v>1</v>
      </c>
      <c r="K78" s="213"/>
      <c r="L78" s="213"/>
      <c r="M78" s="213"/>
      <c r="N78" s="214"/>
      <c r="Q78" s="127" t="str">
        <f>'2.직종별 인원현황'!F79</f>
        <v>보통인부</v>
      </c>
      <c r="R78" s="213">
        <f ca="1">SUMIF(표2[[직종구분]:[작업 위치_코드]],$Q78,표2[조출])</f>
        <v>19</v>
      </c>
      <c r="S78" s="213">
        <f ca="1">SUMIF(표2[[직종구분]:[작업 위치_코드]],$Q78,표2[주간])</f>
        <v>62</v>
      </c>
      <c r="T78" s="213">
        <f ca="1">SUMIF(표2[[직종구분]:[작업 위치_코드]],$Q78,표2[연장])</f>
        <v>0</v>
      </c>
      <c r="U78" s="213">
        <f ca="1">SUMIF(표2[[직종구분]:[작업 위치_코드]],$Q78,표2[야간])</f>
        <v>0</v>
      </c>
      <c r="V78" s="213">
        <f ca="1">SUMIF(표2[[직종구분]:[작업 위치_코드]],$Q78,표2[철야])</f>
        <v>0</v>
      </c>
      <c r="W78" s="213">
        <f t="shared" ca="1" si="3"/>
        <v>81</v>
      </c>
    </row>
    <row r="79" spans="1:23" ht="20.100000000000001" customHeight="1">
      <c r="A79" s="211">
        <f t="shared" si="2"/>
        <v>76</v>
      </c>
      <c r="B79" s="215" t="s">
        <v>2095</v>
      </c>
      <c r="C79" s="212" t="s">
        <v>2065</v>
      </c>
      <c r="D79" s="212" t="s">
        <v>853</v>
      </c>
      <c r="E79" s="212" t="s">
        <v>853</v>
      </c>
      <c r="F79" s="212" t="s">
        <v>2033</v>
      </c>
      <c r="G79" s="212" t="s">
        <v>2135</v>
      </c>
      <c r="H79" s="286" t="s">
        <v>2136</v>
      </c>
      <c r="I79" s="213"/>
      <c r="J79" s="213">
        <v>1</v>
      </c>
      <c r="K79" s="213"/>
      <c r="L79" s="213"/>
      <c r="M79" s="213"/>
      <c r="N79" s="214"/>
      <c r="Q79" s="127" t="str">
        <f>'2.직종별 인원현황'!F80</f>
        <v>작업자66</v>
      </c>
      <c r="R79" s="213">
        <f ca="1">SUMIF(표2[[직종구분]:[작업 위치_코드]],$Q79,표2[조출])</f>
        <v>0</v>
      </c>
      <c r="S79" s="213">
        <f ca="1">SUMIF(표2[[직종구분]:[작업 위치_코드]],$Q79,표2[주간])</f>
        <v>0</v>
      </c>
      <c r="T79" s="213">
        <f ca="1">SUMIF(표2[[직종구분]:[작업 위치_코드]],$Q79,표2[연장])</f>
        <v>0</v>
      </c>
      <c r="U79" s="213">
        <f ca="1">SUMIF(표2[[직종구분]:[작업 위치_코드]],$Q79,표2[야간])</f>
        <v>0</v>
      </c>
      <c r="V79" s="213">
        <f ca="1">SUMIF(표2[[직종구분]:[작업 위치_코드]],$Q79,표2[철야])</f>
        <v>0</v>
      </c>
      <c r="W79" s="213">
        <f t="shared" ca="1" si="3"/>
        <v>0</v>
      </c>
    </row>
    <row r="80" spans="1:23" ht="20.100000000000001" customHeight="1">
      <c r="A80" s="211">
        <f t="shared" si="2"/>
        <v>77</v>
      </c>
      <c r="B80" s="215" t="s">
        <v>2096</v>
      </c>
      <c r="C80" s="212" t="s">
        <v>2065</v>
      </c>
      <c r="D80" s="212" t="s">
        <v>853</v>
      </c>
      <c r="E80" s="212" t="s">
        <v>853</v>
      </c>
      <c r="F80" s="212" t="s">
        <v>2033</v>
      </c>
      <c r="G80" s="212" t="s">
        <v>2135</v>
      </c>
      <c r="H80" s="286" t="s">
        <v>2136</v>
      </c>
      <c r="I80" s="213"/>
      <c r="J80" s="213">
        <v>1</v>
      </c>
      <c r="K80" s="213"/>
      <c r="L80" s="213"/>
      <c r="M80" s="213"/>
      <c r="N80" s="214"/>
      <c r="Q80" s="127" t="str">
        <f>'2.직종별 인원현황'!F81</f>
        <v>작업자67</v>
      </c>
      <c r="R80" s="213">
        <f ca="1">SUMIF(표2[[직종구분]:[작업 위치_코드]],$Q80,표2[조출])</f>
        <v>0</v>
      </c>
      <c r="S80" s="213">
        <f ca="1">SUMIF(표2[[직종구분]:[작업 위치_코드]],$Q80,표2[주간])</f>
        <v>0</v>
      </c>
      <c r="T80" s="213">
        <f ca="1">SUMIF(표2[[직종구분]:[작업 위치_코드]],$Q80,표2[연장])</f>
        <v>0</v>
      </c>
      <c r="U80" s="213">
        <f ca="1">SUMIF(표2[[직종구분]:[작업 위치_코드]],$Q80,표2[야간])</f>
        <v>0</v>
      </c>
      <c r="V80" s="213">
        <f ca="1">SUMIF(표2[[직종구분]:[작업 위치_코드]],$Q80,표2[철야])</f>
        <v>0</v>
      </c>
      <c r="W80" s="213">
        <f t="shared" ca="1" si="3"/>
        <v>0</v>
      </c>
    </row>
    <row r="81" spans="1:23" ht="20.100000000000001" customHeight="1">
      <c r="A81" s="211">
        <f t="shared" si="2"/>
        <v>78</v>
      </c>
      <c r="B81" s="215" t="s">
        <v>2100</v>
      </c>
      <c r="C81" s="212" t="s">
        <v>2079</v>
      </c>
      <c r="D81" s="212" t="s">
        <v>853</v>
      </c>
      <c r="E81" s="212" t="s">
        <v>853</v>
      </c>
      <c r="F81" s="212" t="s">
        <v>2033</v>
      </c>
      <c r="G81" s="212" t="s">
        <v>2135</v>
      </c>
      <c r="H81" s="286" t="s">
        <v>2136</v>
      </c>
      <c r="I81" s="213"/>
      <c r="J81" s="213">
        <v>1</v>
      </c>
      <c r="K81" s="213"/>
      <c r="L81" s="213"/>
      <c r="M81" s="213"/>
      <c r="N81" s="214"/>
      <c r="Q81" s="127" t="str">
        <f>'2.직종별 인원현황'!F82</f>
        <v>작업자68</v>
      </c>
      <c r="R81" s="213">
        <f ca="1">SUMIF(표2[[직종구분]:[작업 위치_코드]],$Q81,표2[조출])</f>
        <v>0</v>
      </c>
      <c r="S81" s="213">
        <f ca="1">SUMIF(표2[[직종구분]:[작업 위치_코드]],$Q81,표2[주간])</f>
        <v>0</v>
      </c>
      <c r="T81" s="213">
        <f ca="1">SUMIF(표2[[직종구분]:[작업 위치_코드]],$Q81,표2[연장])</f>
        <v>0</v>
      </c>
      <c r="U81" s="213">
        <f ca="1">SUMIF(표2[[직종구분]:[작업 위치_코드]],$Q81,표2[야간])</f>
        <v>0</v>
      </c>
      <c r="V81" s="213">
        <f ca="1">SUMIF(표2[[직종구분]:[작업 위치_코드]],$Q81,표2[철야])</f>
        <v>0</v>
      </c>
      <c r="W81" s="213">
        <f t="shared" ca="1" si="3"/>
        <v>0</v>
      </c>
    </row>
    <row r="82" spans="1:23" ht="20.100000000000001" customHeight="1">
      <c r="A82" s="211">
        <f t="shared" si="2"/>
        <v>79</v>
      </c>
      <c r="B82" s="215" t="s">
        <v>2097</v>
      </c>
      <c r="C82" s="212" t="s">
        <v>2063</v>
      </c>
      <c r="D82" s="212" t="s">
        <v>853</v>
      </c>
      <c r="E82" s="212" t="s">
        <v>853</v>
      </c>
      <c r="F82" s="212" t="s">
        <v>2033</v>
      </c>
      <c r="G82" s="212" t="s">
        <v>2135</v>
      </c>
      <c r="H82" s="286" t="s">
        <v>2136</v>
      </c>
      <c r="I82" s="213"/>
      <c r="J82" s="213">
        <v>1</v>
      </c>
      <c r="K82" s="213"/>
      <c r="L82" s="213"/>
      <c r="M82" s="213"/>
      <c r="N82" s="214"/>
      <c r="Q82" s="127" t="str">
        <f>'2.직종별 인원현황'!F83</f>
        <v>작업자69</v>
      </c>
      <c r="R82" s="213">
        <f ca="1">SUMIF(표2[[직종구분]:[작업 위치_코드]],$Q82,표2[조출])</f>
        <v>0</v>
      </c>
      <c r="S82" s="213">
        <f ca="1">SUMIF(표2[[직종구분]:[작업 위치_코드]],$Q82,표2[주간])</f>
        <v>0</v>
      </c>
      <c r="T82" s="213">
        <f ca="1">SUMIF(표2[[직종구분]:[작업 위치_코드]],$Q82,표2[연장])</f>
        <v>0</v>
      </c>
      <c r="U82" s="213">
        <f ca="1">SUMIF(표2[[직종구분]:[작업 위치_코드]],$Q82,표2[야간])</f>
        <v>0</v>
      </c>
      <c r="V82" s="213">
        <f ca="1">SUMIF(표2[[직종구분]:[작업 위치_코드]],$Q82,표2[철야])</f>
        <v>0</v>
      </c>
      <c r="W82" s="213">
        <f t="shared" ca="1" si="3"/>
        <v>0</v>
      </c>
    </row>
    <row r="83" spans="1:23" ht="20.100000000000001" customHeight="1">
      <c r="A83" s="211">
        <f t="shared" si="2"/>
        <v>80</v>
      </c>
      <c r="B83" s="215" t="s">
        <v>2098</v>
      </c>
      <c r="C83" s="212" t="s">
        <v>2065</v>
      </c>
      <c r="D83" s="212" t="s">
        <v>853</v>
      </c>
      <c r="E83" s="212" t="s">
        <v>853</v>
      </c>
      <c r="F83" s="212" t="s">
        <v>2033</v>
      </c>
      <c r="G83" s="212" t="s">
        <v>2135</v>
      </c>
      <c r="H83" s="286" t="s">
        <v>2136</v>
      </c>
      <c r="I83" s="213"/>
      <c r="J83" s="213">
        <v>1</v>
      </c>
      <c r="K83" s="213"/>
      <c r="L83" s="213"/>
      <c r="M83" s="213"/>
      <c r="N83" s="214"/>
      <c r="Q83" s="127" t="str">
        <f>'2.직종별 인원현황'!F84</f>
        <v>작업자70</v>
      </c>
      <c r="R83" s="213">
        <f ca="1">SUMIF(표2[[직종구분]:[작업 위치_코드]],$Q83,표2[조출])</f>
        <v>0</v>
      </c>
      <c r="S83" s="213">
        <f ca="1">SUMIF(표2[[직종구분]:[작업 위치_코드]],$Q83,표2[주간])</f>
        <v>0</v>
      </c>
      <c r="T83" s="213">
        <f ca="1">SUMIF(표2[[직종구분]:[작업 위치_코드]],$Q83,표2[연장])</f>
        <v>0</v>
      </c>
      <c r="U83" s="213">
        <f ca="1">SUMIF(표2[[직종구분]:[작업 위치_코드]],$Q83,표2[야간])</f>
        <v>0</v>
      </c>
      <c r="V83" s="213">
        <f ca="1">SUMIF(표2[[직종구분]:[작업 위치_코드]],$Q83,표2[철야])</f>
        <v>0</v>
      </c>
      <c r="W83" s="213">
        <f t="shared" ca="1" si="3"/>
        <v>0</v>
      </c>
    </row>
    <row r="84" spans="1:23" ht="20.100000000000001" customHeight="1">
      <c r="A84" s="211">
        <f t="shared" si="2"/>
        <v>81</v>
      </c>
      <c r="B84" s="215" t="s">
        <v>2101</v>
      </c>
      <c r="C84" s="212" t="s">
        <v>2079</v>
      </c>
      <c r="D84" s="212" t="s">
        <v>853</v>
      </c>
      <c r="E84" s="212" t="s">
        <v>853</v>
      </c>
      <c r="F84" s="212" t="s">
        <v>2033</v>
      </c>
      <c r="G84" s="212" t="s">
        <v>2135</v>
      </c>
      <c r="H84" s="286" t="s">
        <v>2136</v>
      </c>
      <c r="I84" s="213"/>
      <c r="J84" s="213">
        <v>1</v>
      </c>
      <c r="K84" s="213"/>
      <c r="L84" s="213"/>
      <c r="M84" s="213"/>
      <c r="N84" s="214"/>
      <c r="Q84" s="127" t="str">
        <f>'2.직종별 인원현황'!F85</f>
        <v>작업자71</v>
      </c>
      <c r="R84" s="213">
        <f ca="1">SUMIF(표2[[직종구분]:[작업 위치_코드]],$Q84,표2[조출])</f>
        <v>0</v>
      </c>
      <c r="S84" s="213">
        <f ca="1">SUMIF(표2[[직종구분]:[작업 위치_코드]],$Q84,표2[주간])</f>
        <v>0</v>
      </c>
      <c r="T84" s="213">
        <f ca="1">SUMIF(표2[[직종구분]:[작업 위치_코드]],$Q84,표2[연장])</f>
        <v>0</v>
      </c>
      <c r="U84" s="213">
        <f ca="1">SUMIF(표2[[직종구분]:[작업 위치_코드]],$Q84,표2[야간])</f>
        <v>0</v>
      </c>
      <c r="V84" s="213">
        <f ca="1">SUMIF(표2[[직종구분]:[작업 위치_코드]],$Q84,표2[철야])</f>
        <v>0</v>
      </c>
      <c r="W84" s="213">
        <f t="shared" ca="1" si="3"/>
        <v>0</v>
      </c>
    </row>
    <row r="85" spans="1:23" ht="20.100000000000001" customHeight="1">
      <c r="A85" s="211">
        <f t="shared" si="2"/>
        <v>82</v>
      </c>
      <c r="B85" s="215" t="s">
        <v>2099</v>
      </c>
      <c r="C85" s="212" t="s">
        <v>2063</v>
      </c>
      <c r="D85" s="212" t="s">
        <v>853</v>
      </c>
      <c r="E85" s="212" t="s">
        <v>853</v>
      </c>
      <c r="F85" s="212" t="s">
        <v>2033</v>
      </c>
      <c r="G85" s="212" t="s">
        <v>2135</v>
      </c>
      <c r="H85" s="286" t="s">
        <v>2136</v>
      </c>
      <c r="I85" s="213"/>
      <c r="J85" s="213">
        <v>1</v>
      </c>
      <c r="K85" s="213"/>
      <c r="L85" s="213"/>
      <c r="M85" s="213"/>
      <c r="N85" s="214"/>
      <c r="Q85" s="289" t="str">
        <f>'2.직종별 인원현황'!F86</f>
        <v>작업자72</v>
      </c>
      <c r="R85" s="213">
        <f ca="1">SUMIF(표2[[직종구분]:[작업 위치_코드]],$Q85,표2[조출])</f>
        <v>0</v>
      </c>
      <c r="S85" s="213">
        <f ca="1">SUMIF(표2[[직종구분]:[작업 위치_코드]],$Q85,표2[주간])</f>
        <v>0</v>
      </c>
      <c r="T85" s="213">
        <f ca="1">SUMIF(표2[[직종구분]:[작업 위치_코드]],$Q85,표2[연장])</f>
        <v>0</v>
      </c>
      <c r="U85" s="213">
        <f ca="1">SUMIF(표2[[직종구분]:[작업 위치_코드]],$Q85,표2[야간])</f>
        <v>0</v>
      </c>
      <c r="V85" s="213">
        <f ca="1">SUMIF(표2[[직종구분]:[작업 위치_코드]],$Q85,표2[철야])</f>
        <v>0</v>
      </c>
      <c r="W85" s="290">
        <f t="shared" ca="1" si="3"/>
        <v>0</v>
      </c>
    </row>
    <row r="86" spans="1:23" ht="20.100000000000001" customHeight="1">
      <c r="A86" s="211">
        <f t="shared" si="2"/>
        <v>83</v>
      </c>
      <c r="B86" s="215" t="s">
        <v>2102</v>
      </c>
      <c r="C86" s="212" t="s">
        <v>2065</v>
      </c>
      <c r="D86" s="212" t="s">
        <v>853</v>
      </c>
      <c r="E86" s="212" t="s">
        <v>853</v>
      </c>
      <c r="F86" s="212" t="s">
        <v>2033</v>
      </c>
      <c r="G86" s="212" t="s">
        <v>2135</v>
      </c>
      <c r="H86" s="286" t="s">
        <v>2136</v>
      </c>
      <c r="I86" s="213"/>
      <c r="J86" s="213">
        <v>1</v>
      </c>
      <c r="K86" s="213"/>
      <c r="L86" s="213"/>
      <c r="M86" s="213"/>
      <c r="N86" s="214"/>
      <c r="Q86" s="209" t="s">
        <v>138</v>
      </c>
      <c r="R86" s="291">
        <f t="shared" ref="R86:W86" ca="1" si="4">SUM(R5:R14)</f>
        <v>4</v>
      </c>
      <c r="S86" s="291">
        <f t="shared" ca="1" si="4"/>
        <v>17</v>
      </c>
      <c r="T86" s="291">
        <f t="shared" ca="1" si="4"/>
        <v>0</v>
      </c>
      <c r="U86" s="291">
        <f t="shared" ca="1" si="4"/>
        <v>0</v>
      </c>
      <c r="V86" s="291">
        <f t="shared" ca="1" si="4"/>
        <v>0</v>
      </c>
      <c r="W86" s="291">
        <f t="shared" ca="1" si="4"/>
        <v>21</v>
      </c>
    </row>
    <row r="87" spans="1:23" ht="20.100000000000001" customHeight="1">
      <c r="A87" s="211">
        <f t="shared" si="2"/>
        <v>84</v>
      </c>
      <c r="B87" s="215" t="s">
        <v>2103</v>
      </c>
      <c r="C87" s="212" t="s">
        <v>2079</v>
      </c>
      <c r="D87" s="212" t="s">
        <v>853</v>
      </c>
      <c r="E87" s="212" t="s">
        <v>853</v>
      </c>
      <c r="F87" s="212" t="s">
        <v>2033</v>
      </c>
      <c r="G87" s="212" t="s">
        <v>2135</v>
      </c>
      <c r="H87" s="286" t="s">
        <v>2136</v>
      </c>
      <c r="I87" s="213"/>
      <c r="J87" s="213">
        <v>1</v>
      </c>
      <c r="K87" s="213"/>
      <c r="L87" s="213"/>
      <c r="M87" s="213"/>
      <c r="N87" s="214"/>
      <c r="Q87" s="213" t="s">
        <v>139</v>
      </c>
      <c r="R87" s="292">
        <f t="shared" ref="R87:W87" ca="1" si="5">SUM(R15:R85)</f>
        <v>45</v>
      </c>
      <c r="S87" s="292">
        <f t="shared" ca="1" si="5"/>
        <v>146</v>
      </c>
      <c r="T87" s="292">
        <f t="shared" ca="1" si="5"/>
        <v>0</v>
      </c>
      <c r="U87" s="292">
        <f t="shared" ca="1" si="5"/>
        <v>0</v>
      </c>
      <c r="V87" s="292">
        <f t="shared" ca="1" si="5"/>
        <v>0</v>
      </c>
      <c r="W87" s="292">
        <f t="shared" ca="1" si="5"/>
        <v>191</v>
      </c>
    </row>
    <row r="88" spans="1:23" ht="20.100000000000001" customHeight="1">
      <c r="A88" s="211">
        <f t="shared" si="2"/>
        <v>85</v>
      </c>
      <c r="B88" s="215" t="s">
        <v>2104</v>
      </c>
      <c r="C88" s="212" t="s">
        <v>2063</v>
      </c>
      <c r="D88" s="212" t="s">
        <v>853</v>
      </c>
      <c r="E88" s="212" t="s">
        <v>853</v>
      </c>
      <c r="F88" s="212" t="s">
        <v>2033</v>
      </c>
      <c r="G88" s="212" t="s">
        <v>2135</v>
      </c>
      <c r="H88" s="286" t="s">
        <v>2136</v>
      </c>
      <c r="I88" s="213"/>
      <c r="J88" s="213">
        <v>1</v>
      </c>
      <c r="K88" s="213"/>
      <c r="L88" s="213"/>
      <c r="M88" s="213"/>
      <c r="N88" s="214"/>
      <c r="Q88" s="290" t="s">
        <v>19</v>
      </c>
      <c r="R88" s="293">
        <f t="shared" ref="R88:W88" ca="1" si="6">SUM(R5:R85)</f>
        <v>49</v>
      </c>
      <c r="S88" s="293">
        <f t="shared" ca="1" si="6"/>
        <v>163</v>
      </c>
      <c r="T88" s="293">
        <f t="shared" ca="1" si="6"/>
        <v>0</v>
      </c>
      <c r="U88" s="293">
        <f t="shared" ca="1" si="6"/>
        <v>0</v>
      </c>
      <c r="V88" s="293">
        <f t="shared" ca="1" si="6"/>
        <v>0</v>
      </c>
      <c r="W88" s="293">
        <f t="shared" ca="1" si="6"/>
        <v>212</v>
      </c>
    </row>
    <row r="89" spans="1:23" ht="20.100000000000001" customHeight="1">
      <c r="A89" s="211">
        <f t="shared" si="2"/>
        <v>86</v>
      </c>
      <c r="B89" s="215" t="s">
        <v>2105</v>
      </c>
      <c r="C89" s="212" t="s">
        <v>2065</v>
      </c>
      <c r="D89" s="212" t="s">
        <v>853</v>
      </c>
      <c r="E89" s="212" t="s">
        <v>853</v>
      </c>
      <c r="F89" s="212" t="s">
        <v>2033</v>
      </c>
      <c r="G89" s="212" t="s">
        <v>2135</v>
      </c>
      <c r="H89" s="286" t="s">
        <v>2136</v>
      </c>
      <c r="I89" s="213"/>
      <c r="J89" s="213">
        <v>1</v>
      </c>
      <c r="K89" s="213"/>
      <c r="L89" s="213"/>
      <c r="M89" s="213"/>
      <c r="N89" s="214"/>
    </row>
    <row r="90" spans="1:23" ht="20.100000000000001" customHeight="1">
      <c r="A90" s="211">
        <f t="shared" si="2"/>
        <v>87</v>
      </c>
      <c r="B90" s="215" t="s">
        <v>2106</v>
      </c>
      <c r="C90" s="212" t="s">
        <v>2065</v>
      </c>
      <c r="D90" s="212" t="s">
        <v>853</v>
      </c>
      <c r="E90" s="212" t="s">
        <v>853</v>
      </c>
      <c r="F90" s="212" t="s">
        <v>2033</v>
      </c>
      <c r="G90" s="212" t="s">
        <v>2135</v>
      </c>
      <c r="H90" s="286" t="s">
        <v>2136</v>
      </c>
      <c r="I90" s="213"/>
      <c r="J90" s="213">
        <v>1</v>
      </c>
      <c r="K90" s="213"/>
      <c r="L90" s="213"/>
      <c r="M90" s="213"/>
      <c r="N90" s="214"/>
    </row>
    <row r="91" spans="1:23" ht="20.100000000000001" customHeight="1">
      <c r="A91" s="211">
        <f t="shared" si="2"/>
        <v>88</v>
      </c>
      <c r="B91" s="215" t="s">
        <v>2107</v>
      </c>
      <c r="C91" s="212" t="s">
        <v>2079</v>
      </c>
      <c r="D91" s="212" t="s">
        <v>853</v>
      </c>
      <c r="E91" s="212" t="s">
        <v>853</v>
      </c>
      <c r="F91" s="212" t="s">
        <v>2033</v>
      </c>
      <c r="G91" s="212" t="s">
        <v>2135</v>
      </c>
      <c r="H91" s="286" t="s">
        <v>2136</v>
      </c>
      <c r="I91" s="213"/>
      <c r="J91" s="213">
        <v>1</v>
      </c>
      <c r="K91" s="213"/>
      <c r="L91" s="213"/>
      <c r="M91" s="213"/>
      <c r="N91" s="214"/>
    </row>
    <row r="92" spans="1:23" ht="20.100000000000001" customHeight="1">
      <c r="A92" s="211">
        <f t="shared" si="2"/>
        <v>89</v>
      </c>
      <c r="B92" s="215" t="s">
        <v>2108</v>
      </c>
      <c r="C92" s="212" t="s">
        <v>2063</v>
      </c>
      <c r="D92" s="212" t="s">
        <v>853</v>
      </c>
      <c r="E92" s="212" t="s">
        <v>853</v>
      </c>
      <c r="F92" s="212" t="s">
        <v>2033</v>
      </c>
      <c r="G92" s="212" t="s">
        <v>2135</v>
      </c>
      <c r="H92" s="286" t="s">
        <v>2136</v>
      </c>
      <c r="I92" s="213"/>
      <c r="J92" s="213">
        <v>1</v>
      </c>
      <c r="K92" s="213"/>
      <c r="L92" s="213"/>
      <c r="M92" s="213"/>
      <c r="N92" s="214"/>
    </row>
    <row r="93" spans="1:23" ht="20.100000000000001" customHeight="1">
      <c r="A93" s="211">
        <f t="shared" si="2"/>
        <v>90</v>
      </c>
      <c r="B93" s="215" t="s">
        <v>2109</v>
      </c>
      <c r="C93" s="212" t="s">
        <v>2065</v>
      </c>
      <c r="D93" s="212" t="s">
        <v>853</v>
      </c>
      <c r="E93" s="212" t="s">
        <v>853</v>
      </c>
      <c r="F93" s="212" t="s">
        <v>2033</v>
      </c>
      <c r="G93" s="212" t="s">
        <v>2135</v>
      </c>
      <c r="H93" s="286" t="s">
        <v>2136</v>
      </c>
      <c r="I93" s="213"/>
      <c r="J93" s="213">
        <v>1</v>
      </c>
      <c r="K93" s="213"/>
      <c r="L93" s="213"/>
      <c r="M93" s="213"/>
      <c r="N93" s="214"/>
    </row>
    <row r="94" spans="1:23" ht="20.100000000000001" customHeight="1">
      <c r="A94" s="211">
        <f t="shared" si="2"/>
        <v>91</v>
      </c>
      <c r="B94" s="215" t="s">
        <v>2110</v>
      </c>
      <c r="C94" s="212" t="s">
        <v>2065</v>
      </c>
      <c r="D94" s="212" t="s">
        <v>853</v>
      </c>
      <c r="E94" s="212" t="s">
        <v>853</v>
      </c>
      <c r="F94" s="212" t="s">
        <v>2033</v>
      </c>
      <c r="G94" s="212" t="s">
        <v>2135</v>
      </c>
      <c r="H94" s="286" t="s">
        <v>2136</v>
      </c>
      <c r="I94" s="213"/>
      <c r="J94" s="213">
        <v>1</v>
      </c>
      <c r="K94" s="213"/>
      <c r="L94" s="213"/>
      <c r="M94" s="213"/>
      <c r="N94" s="214"/>
    </row>
    <row r="95" spans="1:23" ht="20.100000000000001" customHeight="1">
      <c r="A95" s="211">
        <f t="shared" si="2"/>
        <v>92</v>
      </c>
      <c r="B95" s="215" t="s">
        <v>2111</v>
      </c>
      <c r="C95" s="212" t="s">
        <v>2065</v>
      </c>
      <c r="D95" s="212" t="s">
        <v>853</v>
      </c>
      <c r="E95" s="212" t="s">
        <v>853</v>
      </c>
      <c r="F95" s="212" t="s">
        <v>2033</v>
      </c>
      <c r="G95" s="212" t="s">
        <v>2135</v>
      </c>
      <c r="H95" s="286" t="s">
        <v>2136</v>
      </c>
      <c r="I95" s="213"/>
      <c r="J95" s="213">
        <v>1</v>
      </c>
      <c r="K95" s="213"/>
      <c r="L95" s="213"/>
      <c r="M95" s="213"/>
      <c r="N95" s="214"/>
    </row>
    <row r="96" spans="1:23" ht="20.100000000000001" customHeight="1">
      <c r="A96" s="211">
        <f t="shared" si="2"/>
        <v>93</v>
      </c>
      <c r="B96" s="215" t="s">
        <v>2112</v>
      </c>
      <c r="C96" s="212" t="s">
        <v>2079</v>
      </c>
      <c r="D96" s="212" t="s">
        <v>853</v>
      </c>
      <c r="E96" s="212" t="s">
        <v>853</v>
      </c>
      <c r="F96" s="212" t="s">
        <v>2033</v>
      </c>
      <c r="G96" s="212" t="s">
        <v>2135</v>
      </c>
      <c r="H96" s="286" t="s">
        <v>2136</v>
      </c>
      <c r="I96" s="213"/>
      <c r="J96" s="213">
        <v>1</v>
      </c>
      <c r="K96" s="213"/>
      <c r="L96" s="213"/>
      <c r="M96" s="213"/>
      <c r="N96" s="214"/>
    </row>
    <row r="97" spans="1:14" ht="20.100000000000001" customHeight="1">
      <c r="A97" s="211">
        <f t="shared" si="2"/>
        <v>94</v>
      </c>
      <c r="B97" s="215" t="s">
        <v>2113</v>
      </c>
      <c r="C97" s="212" t="s">
        <v>2063</v>
      </c>
      <c r="D97" s="212" t="s">
        <v>853</v>
      </c>
      <c r="E97" s="212" t="s">
        <v>853</v>
      </c>
      <c r="F97" s="212" t="s">
        <v>2033</v>
      </c>
      <c r="G97" s="212" t="s">
        <v>2135</v>
      </c>
      <c r="H97" s="286" t="s">
        <v>2136</v>
      </c>
      <c r="I97" s="213"/>
      <c r="J97" s="213">
        <v>1</v>
      </c>
      <c r="K97" s="213"/>
      <c r="L97" s="213"/>
      <c r="M97" s="213"/>
      <c r="N97" s="214"/>
    </row>
    <row r="98" spans="1:14" ht="20.100000000000001" customHeight="1">
      <c r="A98" s="211">
        <f t="shared" si="2"/>
        <v>95</v>
      </c>
      <c r="B98" s="215" t="s">
        <v>2114</v>
      </c>
      <c r="C98" s="212" t="s">
        <v>2065</v>
      </c>
      <c r="D98" s="212" t="s">
        <v>853</v>
      </c>
      <c r="E98" s="212" t="s">
        <v>853</v>
      </c>
      <c r="F98" s="212" t="s">
        <v>2033</v>
      </c>
      <c r="G98" s="212" t="s">
        <v>2135</v>
      </c>
      <c r="H98" s="286" t="s">
        <v>2136</v>
      </c>
      <c r="I98" s="213"/>
      <c r="J98" s="213">
        <v>1</v>
      </c>
      <c r="K98" s="213"/>
      <c r="L98" s="213"/>
      <c r="M98" s="213"/>
      <c r="N98" s="214"/>
    </row>
    <row r="99" spans="1:14" ht="20.100000000000001" customHeight="1">
      <c r="A99" s="211">
        <f t="shared" si="2"/>
        <v>96</v>
      </c>
      <c r="B99" s="215" t="s">
        <v>2115</v>
      </c>
      <c r="C99" s="212" t="s">
        <v>2065</v>
      </c>
      <c r="D99" s="212" t="s">
        <v>853</v>
      </c>
      <c r="E99" s="212" t="s">
        <v>853</v>
      </c>
      <c r="F99" s="212" t="s">
        <v>2033</v>
      </c>
      <c r="G99" s="212" t="s">
        <v>2135</v>
      </c>
      <c r="H99" s="286" t="s">
        <v>2136</v>
      </c>
      <c r="I99" s="213"/>
      <c r="J99" s="213">
        <v>1</v>
      </c>
      <c r="K99" s="213"/>
      <c r="L99" s="213"/>
      <c r="M99" s="213"/>
      <c r="N99" s="214"/>
    </row>
    <row r="100" spans="1:14" ht="20.100000000000001" customHeight="1">
      <c r="A100" s="211">
        <f t="shared" si="2"/>
        <v>97</v>
      </c>
      <c r="B100" s="215" t="s">
        <v>2116</v>
      </c>
      <c r="C100" s="212" t="s">
        <v>2065</v>
      </c>
      <c r="D100" s="212" t="s">
        <v>853</v>
      </c>
      <c r="E100" s="212" t="s">
        <v>853</v>
      </c>
      <c r="F100" s="212" t="s">
        <v>2033</v>
      </c>
      <c r="G100" s="212" t="s">
        <v>2135</v>
      </c>
      <c r="H100" s="286" t="s">
        <v>2136</v>
      </c>
      <c r="I100" s="213"/>
      <c r="J100" s="213">
        <v>1</v>
      </c>
      <c r="K100" s="213"/>
      <c r="L100" s="213"/>
      <c r="M100" s="213"/>
      <c r="N100" s="214"/>
    </row>
    <row r="101" spans="1:14" ht="20.100000000000001" customHeight="1">
      <c r="A101" s="211">
        <f t="shared" si="2"/>
        <v>98</v>
      </c>
      <c r="B101" s="215" t="s">
        <v>2117</v>
      </c>
      <c r="C101" s="212" t="s">
        <v>2065</v>
      </c>
      <c r="D101" s="212" t="s">
        <v>853</v>
      </c>
      <c r="E101" s="212" t="s">
        <v>853</v>
      </c>
      <c r="F101" s="212" t="s">
        <v>2033</v>
      </c>
      <c r="G101" s="212" t="s">
        <v>2135</v>
      </c>
      <c r="H101" s="286" t="s">
        <v>2136</v>
      </c>
      <c r="I101" s="213"/>
      <c r="J101" s="213">
        <v>1</v>
      </c>
      <c r="K101" s="213"/>
      <c r="L101" s="213"/>
      <c r="M101" s="213"/>
      <c r="N101" s="214"/>
    </row>
    <row r="102" spans="1:14" ht="20.100000000000001" customHeight="1">
      <c r="A102" s="211">
        <f t="shared" si="2"/>
        <v>99</v>
      </c>
      <c r="B102" s="215" t="s">
        <v>2118</v>
      </c>
      <c r="C102" s="212" t="s">
        <v>2079</v>
      </c>
      <c r="D102" s="212" t="s">
        <v>853</v>
      </c>
      <c r="E102" s="212" t="s">
        <v>853</v>
      </c>
      <c r="F102" s="212" t="s">
        <v>2033</v>
      </c>
      <c r="G102" s="212" t="s">
        <v>2135</v>
      </c>
      <c r="H102" s="286" t="s">
        <v>2136</v>
      </c>
      <c r="I102" s="213"/>
      <c r="J102" s="213">
        <v>1</v>
      </c>
      <c r="K102" s="213"/>
      <c r="L102" s="213"/>
      <c r="M102" s="213"/>
      <c r="N102" s="214"/>
    </row>
    <row r="103" spans="1:14" ht="20.100000000000001" customHeight="1">
      <c r="A103" s="211">
        <f t="shared" si="2"/>
        <v>100</v>
      </c>
      <c r="B103" s="215" t="s">
        <v>2119</v>
      </c>
      <c r="C103" s="212" t="s">
        <v>2063</v>
      </c>
      <c r="D103" s="212" t="s">
        <v>853</v>
      </c>
      <c r="E103" s="212" t="s">
        <v>853</v>
      </c>
      <c r="F103" s="212" t="s">
        <v>2033</v>
      </c>
      <c r="G103" s="212" t="s">
        <v>2135</v>
      </c>
      <c r="H103" s="286" t="s">
        <v>2136</v>
      </c>
      <c r="I103" s="213"/>
      <c r="J103" s="213">
        <v>1</v>
      </c>
      <c r="K103" s="213"/>
      <c r="L103" s="213"/>
      <c r="M103" s="213"/>
      <c r="N103" s="214"/>
    </row>
    <row r="104" spans="1:14" ht="20.100000000000001" customHeight="1">
      <c r="A104" s="211">
        <f t="shared" si="2"/>
        <v>101</v>
      </c>
      <c r="B104" s="215" t="s">
        <v>2120</v>
      </c>
      <c r="C104" s="212" t="s">
        <v>2065</v>
      </c>
      <c r="D104" s="212" t="s">
        <v>853</v>
      </c>
      <c r="E104" s="212" t="s">
        <v>853</v>
      </c>
      <c r="F104" s="212" t="s">
        <v>2033</v>
      </c>
      <c r="G104" s="212" t="s">
        <v>2135</v>
      </c>
      <c r="H104" s="286" t="s">
        <v>2136</v>
      </c>
      <c r="I104" s="213"/>
      <c r="J104" s="213">
        <v>1</v>
      </c>
      <c r="K104" s="213"/>
      <c r="L104" s="213"/>
      <c r="M104" s="213"/>
      <c r="N104" s="214"/>
    </row>
    <row r="105" spans="1:14" ht="20.100000000000001" customHeight="1">
      <c r="A105" s="211">
        <f t="shared" si="2"/>
        <v>102</v>
      </c>
      <c r="B105" s="215" t="s">
        <v>2121</v>
      </c>
      <c r="C105" s="212" t="s">
        <v>2065</v>
      </c>
      <c r="D105" s="212" t="s">
        <v>853</v>
      </c>
      <c r="E105" s="212" t="s">
        <v>853</v>
      </c>
      <c r="F105" s="212" t="s">
        <v>2033</v>
      </c>
      <c r="G105" s="212" t="s">
        <v>2135</v>
      </c>
      <c r="H105" s="286" t="s">
        <v>2136</v>
      </c>
      <c r="I105" s="213"/>
      <c r="J105" s="213">
        <v>1</v>
      </c>
      <c r="K105" s="213"/>
      <c r="L105" s="213"/>
      <c r="M105" s="213"/>
      <c r="N105" s="214"/>
    </row>
    <row r="106" spans="1:14" ht="20.100000000000001" customHeight="1">
      <c r="A106" s="211">
        <f t="shared" si="2"/>
        <v>103</v>
      </c>
      <c r="B106" s="215" t="s">
        <v>2122</v>
      </c>
      <c r="C106" s="212" t="s">
        <v>2079</v>
      </c>
      <c r="D106" s="212" t="s">
        <v>853</v>
      </c>
      <c r="E106" s="212" t="s">
        <v>853</v>
      </c>
      <c r="F106" s="212" t="s">
        <v>2033</v>
      </c>
      <c r="G106" s="212" t="s">
        <v>2135</v>
      </c>
      <c r="H106" s="286" t="s">
        <v>2136</v>
      </c>
      <c r="I106" s="213"/>
      <c r="J106" s="213">
        <v>1</v>
      </c>
      <c r="K106" s="213"/>
      <c r="L106" s="213"/>
      <c r="M106" s="213"/>
      <c r="N106" s="214"/>
    </row>
    <row r="107" spans="1:14" ht="20.100000000000001" customHeight="1">
      <c r="A107" s="211">
        <f t="shared" si="2"/>
        <v>104</v>
      </c>
      <c r="B107" s="215" t="s">
        <v>2123</v>
      </c>
      <c r="C107" s="212" t="s">
        <v>2063</v>
      </c>
      <c r="D107" s="212" t="s">
        <v>853</v>
      </c>
      <c r="E107" s="212" t="s">
        <v>853</v>
      </c>
      <c r="F107" s="212" t="s">
        <v>2033</v>
      </c>
      <c r="G107" s="212" t="s">
        <v>2135</v>
      </c>
      <c r="H107" s="286" t="s">
        <v>2136</v>
      </c>
      <c r="I107" s="213"/>
      <c r="J107" s="213">
        <v>1</v>
      </c>
      <c r="K107" s="213"/>
      <c r="L107" s="213"/>
      <c r="M107" s="213"/>
      <c r="N107" s="214"/>
    </row>
    <row r="108" spans="1:14" ht="20.100000000000001" customHeight="1">
      <c r="A108" s="211">
        <f t="shared" si="2"/>
        <v>105</v>
      </c>
      <c r="B108" s="215" t="s">
        <v>2124</v>
      </c>
      <c r="C108" s="212" t="s">
        <v>2065</v>
      </c>
      <c r="D108" s="212" t="s">
        <v>853</v>
      </c>
      <c r="E108" s="212" t="s">
        <v>853</v>
      </c>
      <c r="F108" s="212" t="s">
        <v>2033</v>
      </c>
      <c r="G108" s="212" t="s">
        <v>2135</v>
      </c>
      <c r="H108" s="286" t="s">
        <v>2136</v>
      </c>
      <c r="I108" s="213"/>
      <c r="J108" s="213">
        <v>1</v>
      </c>
      <c r="K108" s="213"/>
      <c r="L108" s="213"/>
      <c r="M108" s="213"/>
      <c r="N108" s="214"/>
    </row>
    <row r="109" spans="1:14" ht="20.100000000000001" customHeight="1">
      <c r="A109" s="211">
        <f t="shared" si="2"/>
        <v>106</v>
      </c>
      <c r="B109" s="215" t="s">
        <v>2125</v>
      </c>
      <c r="C109" s="212" t="s">
        <v>2065</v>
      </c>
      <c r="D109" s="212" t="s">
        <v>853</v>
      </c>
      <c r="E109" s="212" t="s">
        <v>853</v>
      </c>
      <c r="F109" s="212" t="s">
        <v>2033</v>
      </c>
      <c r="G109" s="212" t="s">
        <v>2135</v>
      </c>
      <c r="H109" s="286" t="s">
        <v>2136</v>
      </c>
      <c r="I109" s="213"/>
      <c r="J109" s="213">
        <v>1</v>
      </c>
      <c r="K109" s="213"/>
      <c r="L109" s="213"/>
      <c r="M109" s="213"/>
      <c r="N109" s="214"/>
    </row>
    <row r="110" spans="1:14" ht="20.100000000000001" customHeight="1">
      <c r="A110" s="211">
        <f t="shared" si="2"/>
        <v>107</v>
      </c>
      <c r="B110" s="215" t="s">
        <v>2126</v>
      </c>
      <c r="C110" s="212" t="s">
        <v>2079</v>
      </c>
      <c r="D110" s="212" t="s">
        <v>853</v>
      </c>
      <c r="E110" s="212" t="s">
        <v>853</v>
      </c>
      <c r="F110" s="212" t="s">
        <v>2033</v>
      </c>
      <c r="G110" s="212" t="s">
        <v>2135</v>
      </c>
      <c r="H110" s="286" t="s">
        <v>2136</v>
      </c>
      <c r="I110" s="213"/>
      <c r="J110" s="213">
        <v>1</v>
      </c>
      <c r="K110" s="213"/>
      <c r="L110" s="213"/>
      <c r="M110" s="213"/>
      <c r="N110" s="214"/>
    </row>
    <row r="111" spans="1:14" ht="20.100000000000001" customHeight="1">
      <c r="A111" s="211">
        <f t="shared" si="2"/>
        <v>108</v>
      </c>
      <c r="B111" s="215" t="s">
        <v>2127</v>
      </c>
      <c r="C111" s="212" t="s">
        <v>2063</v>
      </c>
      <c r="D111" s="212" t="s">
        <v>853</v>
      </c>
      <c r="E111" s="212" t="s">
        <v>853</v>
      </c>
      <c r="F111" s="212" t="s">
        <v>2033</v>
      </c>
      <c r="G111" s="212" t="s">
        <v>2135</v>
      </c>
      <c r="H111" s="286" t="s">
        <v>2136</v>
      </c>
      <c r="I111" s="213"/>
      <c r="J111" s="213">
        <v>1</v>
      </c>
      <c r="K111" s="213"/>
      <c r="L111" s="213"/>
      <c r="M111" s="213"/>
      <c r="N111" s="214"/>
    </row>
    <row r="112" spans="1:14" ht="20.100000000000001" customHeight="1">
      <c r="A112" s="211">
        <f t="shared" si="2"/>
        <v>109</v>
      </c>
      <c r="B112" s="215" t="s">
        <v>2128</v>
      </c>
      <c r="C112" s="212" t="s">
        <v>2064</v>
      </c>
      <c r="D112" s="212" t="s">
        <v>853</v>
      </c>
      <c r="E112" s="212" t="s">
        <v>853</v>
      </c>
      <c r="F112" s="212" t="s">
        <v>2033</v>
      </c>
      <c r="G112" s="212" t="s">
        <v>2135</v>
      </c>
      <c r="H112" s="286" t="s">
        <v>2136</v>
      </c>
      <c r="I112" s="213"/>
      <c r="J112" s="213">
        <v>1</v>
      </c>
      <c r="K112" s="213"/>
      <c r="L112" s="213"/>
      <c r="M112" s="213"/>
      <c r="N112" s="214"/>
    </row>
    <row r="113" spans="1:14" ht="20.100000000000001" customHeight="1">
      <c r="A113" s="211">
        <f t="shared" si="2"/>
        <v>110</v>
      </c>
      <c r="B113" s="215" t="s">
        <v>2129</v>
      </c>
      <c r="C113" s="212" t="s">
        <v>2064</v>
      </c>
      <c r="D113" s="212" t="s">
        <v>853</v>
      </c>
      <c r="E113" s="212" t="s">
        <v>853</v>
      </c>
      <c r="F113" s="212" t="s">
        <v>2033</v>
      </c>
      <c r="G113" s="212" t="s">
        <v>2135</v>
      </c>
      <c r="H113" s="286" t="s">
        <v>2136</v>
      </c>
      <c r="I113" s="213"/>
      <c r="J113" s="213">
        <v>1</v>
      </c>
      <c r="K113" s="213"/>
      <c r="L113" s="213"/>
      <c r="M113" s="213"/>
      <c r="N113" s="214"/>
    </row>
    <row r="114" spans="1:14" ht="20.100000000000001" customHeight="1">
      <c r="A114" s="211">
        <f t="shared" si="2"/>
        <v>111</v>
      </c>
      <c r="B114" s="215" t="s">
        <v>2130</v>
      </c>
      <c r="C114" s="212" t="s">
        <v>2064</v>
      </c>
      <c r="D114" s="212" t="s">
        <v>853</v>
      </c>
      <c r="E114" s="212" t="s">
        <v>853</v>
      </c>
      <c r="F114" s="212" t="s">
        <v>2033</v>
      </c>
      <c r="G114" s="212" t="s">
        <v>2135</v>
      </c>
      <c r="H114" s="286" t="s">
        <v>2136</v>
      </c>
      <c r="I114" s="213"/>
      <c r="J114" s="213">
        <v>1</v>
      </c>
      <c r="K114" s="213"/>
      <c r="L114" s="213"/>
      <c r="M114" s="213"/>
      <c r="N114" s="214"/>
    </row>
    <row r="115" spans="1:14" ht="20.100000000000001" customHeight="1">
      <c r="A115" s="211">
        <f t="shared" si="2"/>
        <v>112</v>
      </c>
      <c r="B115" s="215" t="s">
        <v>2131</v>
      </c>
      <c r="C115" s="212" t="s">
        <v>2064</v>
      </c>
      <c r="D115" s="212" t="s">
        <v>853</v>
      </c>
      <c r="E115" s="212" t="s">
        <v>853</v>
      </c>
      <c r="F115" s="212" t="s">
        <v>2033</v>
      </c>
      <c r="G115" s="212" t="s">
        <v>2135</v>
      </c>
      <c r="H115" s="286" t="s">
        <v>2136</v>
      </c>
      <c r="I115" s="213"/>
      <c r="J115" s="213">
        <v>1</v>
      </c>
      <c r="K115" s="213"/>
      <c r="L115" s="213"/>
      <c r="M115" s="213"/>
      <c r="N115" s="214"/>
    </row>
    <row r="116" spans="1:14" ht="20.100000000000001" customHeight="1">
      <c r="A116" s="211">
        <f t="shared" si="2"/>
        <v>113</v>
      </c>
      <c r="B116" s="215" t="s">
        <v>2132</v>
      </c>
      <c r="C116" s="212" t="s">
        <v>2064</v>
      </c>
      <c r="D116" s="212" t="s">
        <v>853</v>
      </c>
      <c r="E116" s="212" t="s">
        <v>853</v>
      </c>
      <c r="F116" s="212" t="s">
        <v>2033</v>
      </c>
      <c r="G116" s="212" t="s">
        <v>2135</v>
      </c>
      <c r="H116" s="286" t="s">
        <v>2136</v>
      </c>
      <c r="I116" s="213"/>
      <c r="J116" s="213">
        <v>1</v>
      </c>
      <c r="K116" s="213"/>
      <c r="L116" s="213"/>
      <c r="M116" s="213"/>
      <c r="N116" s="214"/>
    </row>
    <row r="117" spans="1:14" ht="20.100000000000001" customHeight="1">
      <c r="A117" s="211">
        <f t="shared" si="2"/>
        <v>114</v>
      </c>
      <c r="B117" s="215" t="s">
        <v>2133</v>
      </c>
      <c r="C117" s="212" t="s">
        <v>2064</v>
      </c>
      <c r="D117" s="212" t="s">
        <v>853</v>
      </c>
      <c r="E117" s="212" t="s">
        <v>853</v>
      </c>
      <c r="F117" s="212" t="s">
        <v>2033</v>
      </c>
      <c r="G117" s="212" t="s">
        <v>2135</v>
      </c>
      <c r="H117" s="286" t="s">
        <v>2136</v>
      </c>
      <c r="I117" s="213"/>
      <c r="J117" s="213">
        <v>1</v>
      </c>
      <c r="K117" s="213"/>
      <c r="L117" s="213"/>
      <c r="M117" s="213"/>
      <c r="N117" s="214"/>
    </row>
    <row r="118" spans="1:14" ht="20.100000000000001" customHeight="1">
      <c r="A118" s="211">
        <f t="shared" si="2"/>
        <v>115</v>
      </c>
      <c r="B118" s="215" t="s">
        <v>2134</v>
      </c>
      <c r="C118" s="212" t="s">
        <v>2064</v>
      </c>
      <c r="D118" s="212" t="s">
        <v>853</v>
      </c>
      <c r="E118" s="212" t="s">
        <v>853</v>
      </c>
      <c r="F118" s="212" t="s">
        <v>2033</v>
      </c>
      <c r="G118" s="212" t="s">
        <v>2135</v>
      </c>
      <c r="H118" s="286" t="s">
        <v>2136</v>
      </c>
      <c r="I118" s="213"/>
      <c r="J118" s="213">
        <v>1</v>
      </c>
      <c r="K118" s="213"/>
      <c r="L118" s="213"/>
      <c r="M118" s="213"/>
      <c r="N118" s="214"/>
    </row>
    <row r="119" spans="1:14" ht="20.100000000000001" customHeight="1">
      <c r="A119" s="211">
        <f t="shared" si="2"/>
        <v>116</v>
      </c>
      <c r="B119" s="215" t="s">
        <v>2137</v>
      </c>
      <c r="C119" s="212" t="s">
        <v>2150</v>
      </c>
      <c r="D119" s="212" t="s">
        <v>853</v>
      </c>
      <c r="E119" s="212" t="s">
        <v>853</v>
      </c>
      <c r="F119" s="212" t="s">
        <v>2033</v>
      </c>
      <c r="G119" s="212" t="s">
        <v>1999</v>
      </c>
      <c r="H119" s="286" t="s">
        <v>2151</v>
      </c>
      <c r="I119" s="213"/>
      <c r="J119" s="213">
        <v>1</v>
      </c>
      <c r="K119" s="213"/>
      <c r="L119" s="213"/>
      <c r="M119" s="213"/>
      <c r="N119" s="214"/>
    </row>
    <row r="120" spans="1:14" ht="20.100000000000001" customHeight="1">
      <c r="A120" s="211">
        <f t="shared" si="2"/>
        <v>117</v>
      </c>
      <c r="B120" s="215" t="s">
        <v>2138</v>
      </c>
      <c r="C120" s="212" t="s">
        <v>2065</v>
      </c>
      <c r="D120" s="212" t="s">
        <v>853</v>
      </c>
      <c r="E120" s="212" t="s">
        <v>853</v>
      </c>
      <c r="F120" s="212" t="s">
        <v>2033</v>
      </c>
      <c r="G120" s="212" t="s">
        <v>1999</v>
      </c>
      <c r="H120" s="286" t="s">
        <v>2151</v>
      </c>
      <c r="I120" s="213"/>
      <c r="J120" s="213">
        <v>1</v>
      </c>
      <c r="K120" s="213"/>
      <c r="L120" s="213"/>
      <c r="M120" s="213"/>
      <c r="N120" s="214"/>
    </row>
    <row r="121" spans="1:14" ht="20.100000000000001" customHeight="1">
      <c r="A121" s="211">
        <f t="shared" si="2"/>
        <v>118</v>
      </c>
      <c r="B121" s="216" t="s">
        <v>2139</v>
      </c>
      <c r="C121" s="284" t="s">
        <v>2065</v>
      </c>
      <c r="D121" s="212" t="s">
        <v>853</v>
      </c>
      <c r="E121" s="212" t="s">
        <v>853</v>
      </c>
      <c r="F121" s="212" t="s">
        <v>2033</v>
      </c>
      <c r="G121" s="212" t="s">
        <v>1999</v>
      </c>
      <c r="H121" s="286" t="s">
        <v>2151</v>
      </c>
      <c r="I121" s="213"/>
      <c r="J121" s="213">
        <v>1</v>
      </c>
      <c r="K121" s="213"/>
      <c r="L121" s="213"/>
      <c r="M121" s="213"/>
      <c r="N121" s="214"/>
    </row>
    <row r="122" spans="1:14" ht="20.100000000000001" customHeight="1">
      <c r="A122" s="211">
        <f t="shared" si="2"/>
        <v>119</v>
      </c>
      <c r="B122" s="216" t="s">
        <v>2140</v>
      </c>
      <c r="C122" s="284" t="s">
        <v>2065</v>
      </c>
      <c r="D122" s="212" t="s">
        <v>853</v>
      </c>
      <c r="E122" s="212" t="s">
        <v>853</v>
      </c>
      <c r="F122" s="212" t="s">
        <v>2033</v>
      </c>
      <c r="G122" s="212" t="s">
        <v>1999</v>
      </c>
      <c r="H122" s="286" t="s">
        <v>2151</v>
      </c>
      <c r="I122" s="213"/>
      <c r="J122" s="213">
        <v>1</v>
      </c>
      <c r="K122" s="213"/>
      <c r="L122" s="213"/>
      <c r="M122" s="213"/>
      <c r="N122" s="214"/>
    </row>
    <row r="123" spans="1:14" ht="20.100000000000001" customHeight="1">
      <c r="A123" s="211">
        <f t="shared" si="2"/>
        <v>120</v>
      </c>
      <c r="B123" s="216" t="s">
        <v>2141</v>
      </c>
      <c r="C123" s="284" t="s">
        <v>2065</v>
      </c>
      <c r="D123" s="212" t="s">
        <v>853</v>
      </c>
      <c r="E123" s="212" t="s">
        <v>853</v>
      </c>
      <c r="F123" s="212" t="s">
        <v>2033</v>
      </c>
      <c r="G123" s="212" t="s">
        <v>1999</v>
      </c>
      <c r="H123" s="286" t="s">
        <v>2151</v>
      </c>
      <c r="I123" s="213"/>
      <c r="J123" s="213">
        <v>1</v>
      </c>
      <c r="K123" s="213"/>
      <c r="L123" s="213"/>
      <c r="M123" s="213"/>
      <c r="N123" s="214"/>
    </row>
    <row r="124" spans="1:14" ht="20.100000000000001" customHeight="1">
      <c r="A124" s="211">
        <f t="shared" si="2"/>
        <v>121</v>
      </c>
      <c r="B124" s="216" t="s">
        <v>2142</v>
      </c>
      <c r="C124" s="284" t="s">
        <v>2065</v>
      </c>
      <c r="D124" s="212" t="s">
        <v>853</v>
      </c>
      <c r="E124" s="212" t="s">
        <v>853</v>
      </c>
      <c r="F124" s="212" t="s">
        <v>2033</v>
      </c>
      <c r="G124" s="212" t="s">
        <v>1999</v>
      </c>
      <c r="H124" s="286" t="s">
        <v>2151</v>
      </c>
      <c r="I124" s="213"/>
      <c r="J124" s="213">
        <v>1</v>
      </c>
      <c r="K124" s="213"/>
      <c r="L124" s="213"/>
      <c r="M124" s="213"/>
      <c r="N124" s="214"/>
    </row>
    <row r="125" spans="1:14" ht="20.100000000000001" customHeight="1">
      <c r="A125" s="211">
        <f t="shared" si="2"/>
        <v>122</v>
      </c>
      <c r="B125" s="216" t="s">
        <v>2143</v>
      </c>
      <c r="C125" s="284" t="s">
        <v>2065</v>
      </c>
      <c r="D125" s="212" t="s">
        <v>853</v>
      </c>
      <c r="E125" s="212" t="s">
        <v>853</v>
      </c>
      <c r="F125" s="212" t="s">
        <v>2033</v>
      </c>
      <c r="G125" s="212" t="s">
        <v>1999</v>
      </c>
      <c r="H125" s="286" t="s">
        <v>2151</v>
      </c>
      <c r="I125" s="213"/>
      <c r="J125" s="213">
        <v>1</v>
      </c>
      <c r="K125" s="213"/>
      <c r="L125" s="213"/>
      <c r="M125" s="213"/>
      <c r="N125" s="214"/>
    </row>
    <row r="126" spans="1:14" ht="20.100000000000001" customHeight="1">
      <c r="A126" s="211">
        <f t="shared" si="2"/>
        <v>123</v>
      </c>
      <c r="B126" s="216" t="s">
        <v>2144</v>
      </c>
      <c r="C126" s="284" t="s">
        <v>2065</v>
      </c>
      <c r="D126" s="212" t="s">
        <v>853</v>
      </c>
      <c r="E126" s="212" t="s">
        <v>853</v>
      </c>
      <c r="F126" s="212" t="s">
        <v>2033</v>
      </c>
      <c r="G126" s="212" t="s">
        <v>1999</v>
      </c>
      <c r="H126" s="286" t="s">
        <v>2151</v>
      </c>
      <c r="I126" s="213"/>
      <c r="J126" s="213">
        <v>1</v>
      </c>
      <c r="K126" s="213"/>
      <c r="L126" s="213"/>
      <c r="M126" s="213"/>
      <c r="N126" s="214"/>
    </row>
    <row r="127" spans="1:14" ht="20.100000000000001" customHeight="1">
      <c r="A127" s="211">
        <f t="shared" si="2"/>
        <v>124</v>
      </c>
      <c r="B127" s="284" t="s">
        <v>2145</v>
      </c>
      <c r="C127" s="284" t="s">
        <v>2065</v>
      </c>
      <c r="D127" s="212" t="s">
        <v>853</v>
      </c>
      <c r="E127" s="212" t="s">
        <v>853</v>
      </c>
      <c r="F127" s="212" t="s">
        <v>2033</v>
      </c>
      <c r="G127" s="212" t="s">
        <v>1999</v>
      </c>
      <c r="H127" s="286" t="s">
        <v>2151</v>
      </c>
      <c r="I127" s="213"/>
      <c r="J127" s="213">
        <v>1</v>
      </c>
      <c r="K127" s="213"/>
      <c r="L127" s="213"/>
      <c r="M127" s="213"/>
      <c r="N127" s="214"/>
    </row>
    <row r="128" spans="1:14" ht="20.100000000000001" customHeight="1">
      <c r="A128" s="211">
        <f t="shared" si="2"/>
        <v>125</v>
      </c>
      <c r="B128" s="284" t="s">
        <v>2146</v>
      </c>
      <c r="C128" s="284" t="s">
        <v>2065</v>
      </c>
      <c r="D128" s="212" t="s">
        <v>853</v>
      </c>
      <c r="E128" s="212" t="s">
        <v>853</v>
      </c>
      <c r="F128" s="212" t="s">
        <v>2033</v>
      </c>
      <c r="G128" s="212" t="s">
        <v>1999</v>
      </c>
      <c r="H128" s="286" t="s">
        <v>2151</v>
      </c>
      <c r="I128" s="213"/>
      <c r="J128" s="213">
        <v>1</v>
      </c>
      <c r="K128" s="213"/>
      <c r="L128" s="213"/>
      <c r="M128" s="213"/>
      <c r="N128" s="214"/>
    </row>
    <row r="129" spans="1:14" ht="20.100000000000001" customHeight="1">
      <c r="A129" s="211">
        <f t="shared" si="2"/>
        <v>126</v>
      </c>
      <c r="B129" s="284" t="s">
        <v>2147</v>
      </c>
      <c r="C129" s="284" t="s">
        <v>2065</v>
      </c>
      <c r="D129" s="212" t="s">
        <v>853</v>
      </c>
      <c r="E129" s="212" t="s">
        <v>853</v>
      </c>
      <c r="F129" s="212" t="s">
        <v>2033</v>
      </c>
      <c r="G129" s="212" t="s">
        <v>1999</v>
      </c>
      <c r="H129" s="286" t="s">
        <v>2151</v>
      </c>
      <c r="I129" s="213"/>
      <c r="J129" s="213">
        <v>1</v>
      </c>
      <c r="K129" s="213"/>
      <c r="L129" s="213"/>
      <c r="M129" s="213"/>
      <c r="N129" s="214"/>
    </row>
    <row r="130" spans="1:14" ht="20.100000000000001" customHeight="1">
      <c r="A130" s="211">
        <f t="shared" si="2"/>
        <v>127</v>
      </c>
      <c r="B130" s="284" t="s">
        <v>2148</v>
      </c>
      <c r="C130" s="284" t="s">
        <v>2079</v>
      </c>
      <c r="D130" s="212" t="s">
        <v>853</v>
      </c>
      <c r="E130" s="212" t="s">
        <v>853</v>
      </c>
      <c r="F130" s="212" t="s">
        <v>2033</v>
      </c>
      <c r="G130" s="212" t="s">
        <v>1999</v>
      </c>
      <c r="H130" s="286" t="s">
        <v>2151</v>
      </c>
      <c r="I130" s="213"/>
      <c r="J130" s="213">
        <v>1</v>
      </c>
      <c r="K130" s="213"/>
      <c r="L130" s="213"/>
      <c r="M130" s="213"/>
      <c r="N130" s="214"/>
    </row>
    <row r="131" spans="1:14" ht="20.100000000000001" customHeight="1">
      <c r="A131" s="211">
        <f t="shared" si="2"/>
        <v>128</v>
      </c>
      <c r="B131" s="284" t="s">
        <v>2149</v>
      </c>
      <c r="C131" s="284" t="s">
        <v>2079</v>
      </c>
      <c r="D131" s="212" t="s">
        <v>853</v>
      </c>
      <c r="E131" s="212" t="s">
        <v>853</v>
      </c>
      <c r="F131" s="212" t="s">
        <v>2033</v>
      </c>
      <c r="G131" s="212" t="s">
        <v>1999</v>
      </c>
      <c r="H131" s="286" t="s">
        <v>2151</v>
      </c>
      <c r="I131" s="213"/>
      <c r="J131" s="213">
        <v>1</v>
      </c>
      <c r="K131" s="213"/>
      <c r="L131" s="213"/>
      <c r="M131" s="213"/>
      <c r="N131" s="214"/>
    </row>
    <row r="132" spans="1:14" ht="20.100000000000001" customHeight="1">
      <c r="A132" s="211">
        <f t="shared" si="2"/>
        <v>129</v>
      </c>
      <c r="B132" s="284" t="s">
        <v>2152</v>
      </c>
      <c r="C132" s="284" t="s">
        <v>2063</v>
      </c>
      <c r="D132" s="212" t="s">
        <v>853</v>
      </c>
      <c r="E132" s="212" t="s">
        <v>853</v>
      </c>
      <c r="F132" s="212" t="s">
        <v>2033</v>
      </c>
      <c r="G132" s="212" t="s">
        <v>1999</v>
      </c>
      <c r="H132" s="286" t="s">
        <v>2151</v>
      </c>
      <c r="I132" s="213"/>
      <c r="J132" s="213">
        <v>1</v>
      </c>
      <c r="K132" s="213"/>
      <c r="L132" s="213"/>
      <c r="M132" s="213"/>
      <c r="N132" s="214"/>
    </row>
    <row r="133" spans="1:14" ht="20.100000000000001" customHeight="1">
      <c r="A133" s="211">
        <f t="shared" si="2"/>
        <v>130</v>
      </c>
      <c r="B133" s="284" t="s">
        <v>2153</v>
      </c>
      <c r="C133" s="284" t="s">
        <v>2063</v>
      </c>
      <c r="D133" s="212" t="s">
        <v>853</v>
      </c>
      <c r="E133" s="212" t="s">
        <v>853</v>
      </c>
      <c r="F133" s="212" t="s">
        <v>2033</v>
      </c>
      <c r="G133" s="212" t="s">
        <v>1999</v>
      </c>
      <c r="H133" s="286" t="s">
        <v>2151</v>
      </c>
      <c r="I133" s="213"/>
      <c r="J133" s="213">
        <v>1</v>
      </c>
      <c r="K133" s="213"/>
      <c r="L133" s="213"/>
      <c r="M133" s="213"/>
      <c r="N133" s="214"/>
    </row>
    <row r="134" spans="1:14" ht="20.100000000000001" customHeight="1">
      <c r="A134" s="211">
        <f t="shared" si="2"/>
        <v>131</v>
      </c>
      <c r="B134" s="284" t="s">
        <v>2185</v>
      </c>
      <c r="C134" s="284" t="s">
        <v>2065</v>
      </c>
      <c r="D134" s="212" t="s">
        <v>853</v>
      </c>
      <c r="E134" s="212" t="s">
        <v>853</v>
      </c>
      <c r="F134" s="212" t="s">
        <v>2033</v>
      </c>
      <c r="G134" s="212" t="s">
        <v>1999</v>
      </c>
      <c r="H134" s="286" t="s">
        <v>2151</v>
      </c>
      <c r="I134" s="213"/>
      <c r="J134" s="213">
        <v>1</v>
      </c>
      <c r="K134" s="213"/>
      <c r="L134" s="213"/>
      <c r="M134" s="213"/>
      <c r="N134" s="214"/>
    </row>
    <row r="135" spans="1:14" ht="20.100000000000001" customHeight="1">
      <c r="A135" s="211">
        <f t="shared" ref="A135:A166" si="7">A134+1</f>
        <v>132</v>
      </c>
      <c r="B135" s="284" t="s">
        <v>2154</v>
      </c>
      <c r="C135" s="284" t="s">
        <v>2063</v>
      </c>
      <c r="D135" s="212" t="s">
        <v>853</v>
      </c>
      <c r="E135" s="212" t="s">
        <v>853</v>
      </c>
      <c r="F135" s="212" t="s">
        <v>2033</v>
      </c>
      <c r="G135" s="212" t="s">
        <v>1999</v>
      </c>
      <c r="H135" s="286" t="s">
        <v>2151</v>
      </c>
      <c r="I135" s="213"/>
      <c r="J135" s="213">
        <v>1</v>
      </c>
      <c r="K135" s="213"/>
      <c r="L135" s="213"/>
      <c r="M135" s="213"/>
      <c r="N135" s="214"/>
    </row>
    <row r="136" spans="1:14" ht="20.100000000000001" customHeight="1">
      <c r="A136" s="211">
        <f t="shared" si="7"/>
        <v>133</v>
      </c>
      <c r="B136" s="284" t="s">
        <v>2155</v>
      </c>
      <c r="C136" s="284" t="s">
        <v>2065</v>
      </c>
      <c r="D136" s="212" t="s">
        <v>853</v>
      </c>
      <c r="E136" s="212" t="s">
        <v>853</v>
      </c>
      <c r="F136" s="212" t="s">
        <v>2033</v>
      </c>
      <c r="G136" s="212" t="s">
        <v>1999</v>
      </c>
      <c r="H136" s="286" t="s">
        <v>2151</v>
      </c>
      <c r="I136" s="213"/>
      <c r="J136" s="213">
        <v>1</v>
      </c>
      <c r="K136" s="213"/>
      <c r="L136" s="213"/>
      <c r="M136" s="213"/>
      <c r="N136" s="214"/>
    </row>
    <row r="137" spans="1:14" ht="20.100000000000001" customHeight="1">
      <c r="A137" s="211">
        <f t="shared" si="7"/>
        <v>134</v>
      </c>
      <c r="B137" s="284" t="s">
        <v>2156</v>
      </c>
      <c r="C137" s="284" t="s">
        <v>2065</v>
      </c>
      <c r="D137" s="212" t="s">
        <v>853</v>
      </c>
      <c r="E137" s="212" t="s">
        <v>853</v>
      </c>
      <c r="F137" s="212" t="s">
        <v>2033</v>
      </c>
      <c r="G137" s="212" t="s">
        <v>1999</v>
      </c>
      <c r="H137" s="286" t="s">
        <v>2151</v>
      </c>
      <c r="I137" s="213"/>
      <c r="J137" s="213">
        <v>1</v>
      </c>
      <c r="K137" s="213"/>
      <c r="L137" s="213"/>
      <c r="M137" s="213"/>
      <c r="N137" s="214"/>
    </row>
    <row r="138" spans="1:14" ht="20.100000000000001" customHeight="1">
      <c r="A138" s="211">
        <f t="shared" si="7"/>
        <v>135</v>
      </c>
      <c r="B138" s="284" t="s">
        <v>2157</v>
      </c>
      <c r="C138" s="284" t="s">
        <v>2065</v>
      </c>
      <c r="D138" s="212" t="s">
        <v>853</v>
      </c>
      <c r="E138" s="212" t="s">
        <v>853</v>
      </c>
      <c r="F138" s="212" t="s">
        <v>2033</v>
      </c>
      <c r="G138" s="212" t="s">
        <v>1999</v>
      </c>
      <c r="H138" s="286" t="s">
        <v>2151</v>
      </c>
      <c r="I138" s="213"/>
      <c r="J138" s="213">
        <v>1</v>
      </c>
      <c r="K138" s="213"/>
      <c r="L138" s="213"/>
      <c r="M138" s="213"/>
      <c r="N138" s="214"/>
    </row>
    <row r="139" spans="1:14" ht="20.100000000000001" customHeight="1">
      <c r="A139" s="211">
        <f t="shared" si="7"/>
        <v>136</v>
      </c>
      <c r="B139" s="284" t="s">
        <v>2158</v>
      </c>
      <c r="C139" s="284" t="s">
        <v>2079</v>
      </c>
      <c r="D139" s="212" t="s">
        <v>853</v>
      </c>
      <c r="E139" s="212" t="s">
        <v>853</v>
      </c>
      <c r="F139" s="212" t="s">
        <v>2033</v>
      </c>
      <c r="G139" s="212" t="s">
        <v>1999</v>
      </c>
      <c r="H139" s="286" t="s">
        <v>2151</v>
      </c>
      <c r="I139" s="213"/>
      <c r="J139" s="213">
        <v>1</v>
      </c>
      <c r="K139" s="213"/>
      <c r="L139" s="213"/>
      <c r="M139" s="213"/>
      <c r="N139" s="214"/>
    </row>
    <row r="140" spans="1:14" ht="20.100000000000001" customHeight="1">
      <c r="A140" s="211">
        <f t="shared" si="7"/>
        <v>137</v>
      </c>
      <c r="B140" s="284" t="s">
        <v>2159</v>
      </c>
      <c r="C140" s="284" t="s">
        <v>2079</v>
      </c>
      <c r="D140" s="212" t="s">
        <v>853</v>
      </c>
      <c r="E140" s="212" t="s">
        <v>853</v>
      </c>
      <c r="F140" s="212" t="s">
        <v>2033</v>
      </c>
      <c r="G140" s="212" t="s">
        <v>1999</v>
      </c>
      <c r="H140" s="286" t="s">
        <v>2151</v>
      </c>
      <c r="I140" s="213"/>
      <c r="J140" s="213">
        <v>1</v>
      </c>
      <c r="K140" s="213"/>
      <c r="L140" s="213"/>
      <c r="M140" s="213"/>
      <c r="N140" s="214"/>
    </row>
    <row r="141" spans="1:14" ht="20.100000000000001" customHeight="1">
      <c r="A141" s="211">
        <f t="shared" si="7"/>
        <v>138</v>
      </c>
      <c r="B141" s="284" t="s">
        <v>2160</v>
      </c>
      <c r="C141" s="284" t="s">
        <v>2063</v>
      </c>
      <c r="D141" s="212" t="s">
        <v>853</v>
      </c>
      <c r="E141" s="212" t="s">
        <v>853</v>
      </c>
      <c r="F141" s="212" t="s">
        <v>2033</v>
      </c>
      <c r="G141" s="212" t="s">
        <v>1999</v>
      </c>
      <c r="H141" s="286" t="s">
        <v>2151</v>
      </c>
      <c r="I141" s="213"/>
      <c r="J141" s="213">
        <v>1</v>
      </c>
      <c r="K141" s="213"/>
      <c r="L141" s="213"/>
      <c r="M141" s="213"/>
      <c r="N141" s="214"/>
    </row>
    <row r="142" spans="1:14" ht="20.100000000000001" customHeight="1">
      <c r="A142" s="211">
        <f t="shared" si="7"/>
        <v>139</v>
      </c>
      <c r="B142" s="284" t="s">
        <v>2161</v>
      </c>
      <c r="C142" s="284" t="s">
        <v>2065</v>
      </c>
      <c r="D142" s="212" t="s">
        <v>853</v>
      </c>
      <c r="E142" s="212" t="s">
        <v>853</v>
      </c>
      <c r="F142" s="212" t="s">
        <v>2033</v>
      </c>
      <c r="G142" s="212" t="s">
        <v>1999</v>
      </c>
      <c r="H142" s="286" t="s">
        <v>2151</v>
      </c>
      <c r="I142" s="213"/>
      <c r="J142" s="213">
        <v>1</v>
      </c>
      <c r="K142" s="213"/>
      <c r="L142" s="213"/>
      <c r="M142" s="213"/>
      <c r="N142" s="214"/>
    </row>
    <row r="143" spans="1:14" ht="20.100000000000001" customHeight="1">
      <c r="A143" s="211">
        <f t="shared" si="7"/>
        <v>140</v>
      </c>
      <c r="B143" s="284" t="s">
        <v>2162</v>
      </c>
      <c r="C143" s="284" t="s">
        <v>2065</v>
      </c>
      <c r="D143" s="212" t="s">
        <v>853</v>
      </c>
      <c r="E143" s="212" t="s">
        <v>853</v>
      </c>
      <c r="F143" s="212" t="s">
        <v>2033</v>
      </c>
      <c r="G143" s="212" t="s">
        <v>1999</v>
      </c>
      <c r="H143" s="286" t="s">
        <v>2151</v>
      </c>
      <c r="I143" s="213"/>
      <c r="J143" s="213">
        <v>1</v>
      </c>
      <c r="K143" s="213"/>
      <c r="L143" s="213"/>
      <c r="M143" s="213"/>
      <c r="N143" s="214"/>
    </row>
    <row r="144" spans="1:14" ht="20.100000000000001" customHeight="1">
      <c r="A144" s="211">
        <f t="shared" si="7"/>
        <v>141</v>
      </c>
      <c r="B144" s="284" t="s">
        <v>2163</v>
      </c>
      <c r="C144" s="284" t="s">
        <v>2079</v>
      </c>
      <c r="D144" s="212" t="s">
        <v>853</v>
      </c>
      <c r="E144" s="212" t="s">
        <v>853</v>
      </c>
      <c r="F144" s="212" t="s">
        <v>2033</v>
      </c>
      <c r="G144" s="212" t="s">
        <v>1999</v>
      </c>
      <c r="H144" s="286" t="s">
        <v>2151</v>
      </c>
      <c r="I144" s="213"/>
      <c r="J144" s="213">
        <v>1</v>
      </c>
      <c r="K144" s="213"/>
      <c r="L144" s="213"/>
      <c r="M144" s="213"/>
      <c r="N144" s="214"/>
    </row>
    <row r="145" spans="1:14" ht="20.100000000000001" customHeight="1">
      <c r="A145" s="211">
        <f t="shared" si="7"/>
        <v>142</v>
      </c>
      <c r="B145" s="284" t="s">
        <v>2164</v>
      </c>
      <c r="C145" s="284" t="s">
        <v>2063</v>
      </c>
      <c r="D145" s="212" t="s">
        <v>853</v>
      </c>
      <c r="E145" s="212" t="s">
        <v>853</v>
      </c>
      <c r="F145" s="212" t="s">
        <v>2033</v>
      </c>
      <c r="G145" s="212" t="s">
        <v>1999</v>
      </c>
      <c r="H145" s="286" t="s">
        <v>2151</v>
      </c>
      <c r="I145" s="213"/>
      <c r="J145" s="213">
        <v>1</v>
      </c>
      <c r="K145" s="213"/>
      <c r="L145" s="213"/>
      <c r="M145" s="213"/>
      <c r="N145" s="214"/>
    </row>
    <row r="146" spans="1:14" ht="20.100000000000001" customHeight="1">
      <c r="A146" s="211">
        <f t="shared" si="7"/>
        <v>143</v>
      </c>
      <c r="B146" s="284" t="s">
        <v>2165</v>
      </c>
      <c r="C146" s="284" t="s">
        <v>2065</v>
      </c>
      <c r="D146" s="212" t="s">
        <v>853</v>
      </c>
      <c r="E146" s="212" t="s">
        <v>853</v>
      </c>
      <c r="F146" s="212" t="s">
        <v>2033</v>
      </c>
      <c r="G146" s="212" t="s">
        <v>1999</v>
      </c>
      <c r="H146" s="286" t="s">
        <v>2151</v>
      </c>
      <c r="I146" s="213"/>
      <c r="J146" s="213">
        <v>1</v>
      </c>
      <c r="K146" s="213"/>
      <c r="L146" s="213"/>
      <c r="M146" s="213"/>
      <c r="N146" s="214"/>
    </row>
    <row r="147" spans="1:14" ht="20.100000000000001" customHeight="1">
      <c r="A147" s="211">
        <f t="shared" si="7"/>
        <v>144</v>
      </c>
      <c r="B147" s="284" t="s">
        <v>2166</v>
      </c>
      <c r="C147" s="284" t="s">
        <v>2065</v>
      </c>
      <c r="D147" s="212" t="s">
        <v>853</v>
      </c>
      <c r="E147" s="212" t="s">
        <v>853</v>
      </c>
      <c r="F147" s="212" t="s">
        <v>2033</v>
      </c>
      <c r="G147" s="212" t="s">
        <v>1999</v>
      </c>
      <c r="H147" s="286" t="s">
        <v>2151</v>
      </c>
      <c r="I147" s="213"/>
      <c r="J147" s="213">
        <v>1</v>
      </c>
      <c r="K147" s="213"/>
      <c r="L147" s="213"/>
      <c r="M147" s="213"/>
      <c r="N147" s="214"/>
    </row>
    <row r="148" spans="1:14" ht="20.100000000000001" customHeight="1">
      <c r="A148" s="211">
        <f t="shared" si="7"/>
        <v>145</v>
      </c>
      <c r="B148" s="284" t="s">
        <v>2167</v>
      </c>
      <c r="C148" s="284" t="s">
        <v>2065</v>
      </c>
      <c r="D148" s="212" t="s">
        <v>853</v>
      </c>
      <c r="E148" s="212" t="s">
        <v>853</v>
      </c>
      <c r="F148" s="212" t="s">
        <v>2033</v>
      </c>
      <c r="G148" s="212" t="s">
        <v>1999</v>
      </c>
      <c r="H148" s="286" t="s">
        <v>2151</v>
      </c>
      <c r="I148" s="213"/>
      <c r="J148" s="213">
        <v>1</v>
      </c>
      <c r="K148" s="213"/>
      <c r="L148" s="213"/>
      <c r="M148" s="213"/>
      <c r="N148" s="214"/>
    </row>
    <row r="149" spans="1:14" ht="20.100000000000001" customHeight="1">
      <c r="A149" s="211">
        <f t="shared" si="7"/>
        <v>146</v>
      </c>
      <c r="B149" s="284" t="s">
        <v>2168</v>
      </c>
      <c r="C149" s="284" t="s">
        <v>2079</v>
      </c>
      <c r="D149" s="212" t="s">
        <v>853</v>
      </c>
      <c r="E149" s="212" t="s">
        <v>853</v>
      </c>
      <c r="F149" s="212" t="s">
        <v>2033</v>
      </c>
      <c r="G149" s="212" t="s">
        <v>1999</v>
      </c>
      <c r="H149" s="286" t="s">
        <v>2151</v>
      </c>
      <c r="I149" s="213"/>
      <c r="J149" s="213">
        <v>1</v>
      </c>
      <c r="K149" s="213"/>
      <c r="L149" s="213"/>
      <c r="M149" s="213"/>
      <c r="N149" s="214"/>
    </row>
    <row r="150" spans="1:14" ht="20.100000000000001" customHeight="1">
      <c r="A150" s="211">
        <f t="shared" si="7"/>
        <v>147</v>
      </c>
      <c r="B150" s="284" t="s">
        <v>2169</v>
      </c>
      <c r="C150" s="284" t="s">
        <v>2079</v>
      </c>
      <c r="D150" s="212" t="s">
        <v>853</v>
      </c>
      <c r="E150" s="212" t="s">
        <v>853</v>
      </c>
      <c r="F150" s="212" t="s">
        <v>2033</v>
      </c>
      <c r="G150" s="212" t="s">
        <v>1999</v>
      </c>
      <c r="H150" s="286" t="s">
        <v>2151</v>
      </c>
      <c r="I150" s="213"/>
      <c r="J150" s="213">
        <v>1</v>
      </c>
      <c r="K150" s="213"/>
      <c r="L150" s="213"/>
      <c r="M150" s="213"/>
      <c r="N150" s="214"/>
    </row>
    <row r="151" spans="1:14" ht="20.100000000000001" customHeight="1">
      <c r="A151" s="211">
        <f t="shared" si="7"/>
        <v>148</v>
      </c>
      <c r="B151" s="284" t="s">
        <v>2170</v>
      </c>
      <c r="C151" s="284" t="s">
        <v>2063</v>
      </c>
      <c r="D151" s="212" t="s">
        <v>853</v>
      </c>
      <c r="E151" s="212" t="s">
        <v>853</v>
      </c>
      <c r="F151" s="212" t="s">
        <v>2033</v>
      </c>
      <c r="G151" s="212" t="s">
        <v>1999</v>
      </c>
      <c r="H151" s="286" t="s">
        <v>2151</v>
      </c>
      <c r="I151" s="213"/>
      <c r="J151" s="213">
        <v>1</v>
      </c>
      <c r="K151" s="213"/>
      <c r="L151" s="213"/>
      <c r="M151" s="213"/>
      <c r="N151" s="214"/>
    </row>
    <row r="152" spans="1:14" ht="20.100000000000001" customHeight="1">
      <c r="A152" s="211">
        <f t="shared" si="7"/>
        <v>149</v>
      </c>
      <c r="B152" s="284" t="s">
        <v>2171</v>
      </c>
      <c r="C152" s="284" t="s">
        <v>2065</v>
      </c>
      <c r="D152" s="212" t="s">
        <v>853</v>
      </c>
      <c r="E152" s="212" t="s">
        <v>853</v>
      </c>
      <c r="F152" s="212" t="s">
        <v>2033</v>
      </c>
      <c r="G152" s="212" t="s">
        <v>1999</v>
      </c>
      <c r="H152" s="286" t="s">
        <v>2151</v>
      </c>
      <c r="I152" s="213"/>
      <c r="J152" s="213">
        <v>1</v>
      </c>
      <c r="K152" s="213"/>
      <c r="L152" s="213"/>
      <c r="M152" s="213"/>
      <c r="N152" s="214"/>
    </row>
    <row r="153" spans="1:14" ht="20.100000000000001" customHeight="1">
      <c r="A153" s="211">
        <f t="shared" si="7"/>
        <v>150</v>
      </c>
      <c r="B153" s="284" t="s">
        <v>2172</v>
      </c>
      <c r="C153" s="284" t="s">
        <v>2065</v>
      </c>
      <c r="D153" s="212" t="s">
        <v>853</v>
      </c>
      <c r="E153" s="212" t="s">
        <v>853</v>
      </c>
      <c r="F153" s="212" t="s">
        <v>2033</v>
      </c>
      <c r="G153" s="212" t="s">
        <v>1999</v>
      </c>
      <c r="H153" s="286" t="s">
        <v>2151</v>
      </c>
      <c r="I153" s="213"/>
      <c r="J153" s="213">
        <v>1</v>
      </c>
      <c r="K153" s="213"/>
      <c r="L153" s="213"/>
      <c r="M153" s="213"/>
      <c r="N153" s="214"/>
    </row>
    <row r="154" spans="1:14" ht="20.100000000000001" customHeight="1">
      <c r="A154" s="211">
        <f t="shared" si="7"/>
        <v>151</v>
      </c>
      <c r="B154" s="284" t="s">
        <v>2173</v>
      </c>
      <c r="C154" s="284" t="s">
        <v>2065</v>
      </c>
      <c r="D154" s="212" t="s">
        <v>853</v>
      </c>
      <c r="E154" s="212" t="s">
        <v>853</v>
      </c>
      <c r="F154" s="212" t="s">
        <v>2033</v>
      </c>
      <c r="G154" s="212" t="s">
        <v>1999</v>
      </c>
      <c r="H154" s="286" t="s">
        <v>2151</v>
      </c>
      <c r="I154" s="213"/>
      <c r="J154" s="213">
        <v>1</v>
      </c>
      <c r="K154" s="213"/>
      <c r="L154" s="213"/>
      <c r="M154" s="213"/>
      <c r="N154" s="214"/>
    </row>
    <row r="155" spans="1:14" ht="20.100000000000001" customHeight="1">
      <c r="A155" s="211">
        <f t="shared" si="7"/>
        <v>152</v>
      </c>
      <c r="B155" s="284" t="s">
        <v>2174</v>
      </c>
      <c r="C155" s="284" t="s">
        <v>2079</v>
      </c>
      <c r="D155" s="212" t="s">
        <v>853</v>
      </c>
      <c r="E155" s="212" t="s">
        <v>853</v>
      </c>
      <c r="F155" s="212" t="s">
        <v>2033</v>
      </c>
      <c r="G155" s="212" t="s">
        <v>1999</v>
      </c>
      <c r="H155" s="286" t="s">
        <v>2151</v>
      </c>
      <c r="I155" s="213"/>
      <c r="J155" s="213">
        <v>1</v>
      </c>
      <c r="K155" s="213"/>
      <c r="L155" s="213"/>
      <c r="M155" s="213"/>
      <c r="N155" s="214"/>
    </row>
    <row r="156" spans="1:14" ht="20.100000000000001" customHeight="1">
      <c r="A156" s="211">
        <f t="shared" si="7"/>
        <v>153</v>
      </c>
      <c r="B156" s="284" t="s">
        <v>2175</v>
      </c>
      <c r="C156" s="284" t="s">
        <v>2063</v>
      </c>
      <c r="D156" s="212" t="s">
        <v>853</v>
      </c>
      <c r="E156" s="212" t="s">
        <v>853</v>
      </c>
      <c r="F156" s="212" t="s">
        <v>2033</v>
      </c>
      <c r="G156" s="212" t="s">
        <v>1999</v>
      </c>
      <c r="H156" s="286" t="s">
        <v>2151</v>
      </c>
      <c r="I156" s="213"/>
      <c r="J156" s="213">
        <v>1</v>
      </c>
      <c r="K156" s="213"/>
      <c r="L156" s="213"/>
      <c r="M156" s="213"/>
      <c r="N156" s="214"/>
    </row>
    <row r="157" spans="1:14" ht="20.100000000000001" customHeight="1">
      <c r="A157" s="211">
        <f t="shared" si="7"/>
        <v>154</v>
      </c>
      <c r="B157" s="284" t="s">
        <v>2176</v>
      </c>
      <c r="C157" s="284" t="s">
        <v>2063</v>
      </c>
      <c r="D157" s="212" t="s">
        <v>853</v>
      </c>
      <c r="E157" s="212" t="s">
        <v>853</v>
      </c>
      <c r="F157" s="212" t="s">
        <v>2033</v>
      </c>
      <c r="G157" s="212" t="s">
        <v>1999</v>
      </c>
      <c r="H157" s="286" t="s">
        <v>2151</v>
      </c>
      <c r="I157" s="213"/>
      <c r="J157" s="213">
        <v>1</v>
      </c>
      <c r="K157" s="213"/>
      <c r="L157" s="213"/>
      <c r="M157" s="213"/>
      <c r="N157" s="214"/>
    </row>
    <row r="158" spans="1:14" ht="20.100000000000001" customHeight="1">
      <c r="A158" s="211">
        <f t="shared" si="7"/>
        <v>155</v>
      </c>
      <c r="B158" s="284" t="s">
        <v>2177</v>
      </c>
      <c r="C158" s="284" t="s">
        <v>2079</v>
      </c>
      <c r="D158" s="212" t="s">
        <v>853</v>
      </c>
      <c r="E158" s="212" t="s">
        <v>853</v>
      </c>
      <c r="F158" s="212" t="s">
        <v>2033</v>
      </c>
      <c r="G158" s="212" t="s">
        <v>1999</v>
      </c>
      <c r="H158" s="286" t="s">
        <v>2151</v>
      </c>
      <c r="I158" s="213"/>
      <c r="J158" s="213">
        <v>1</v>
      </c>
      <c r="K158" s="213"/>
      <c r="L158" s="213"/>
      <c r="M158" s="213"/>
      <c r="N158" s="214"/>
    </row>
    <row r="159" spans="1:14" ht="20.100000000000001" customHeight="1">
      <c r="A159" s="211">
        <f t="shared" si="7"/>
        <v>156</v>
      </c>
      <c r="B159" s="284" t="s">
        <v>2178</v>
      </c>
      <c r="C159" s="284" t="s">
        <v>2063</v>
      </c>
      <c r="D159" s="212" t="s">
        <v>853</v>
      </c>
      <c r="E159" s="212" t="s">
        <v>853</v>
      </c>
      <c r="F159" s="212" t="s">
        <v>2033</v>
      </c>
      <c r="G159" s="212" t="s">
        <v>1999</v>
      </c>
      <c r="H159" s="286" t="s">
        <v>2151</v>
      </c>
      <c r="I159" s="213"/>
      <c r="J159" s="213">
        <v>1</v>
      </c>
      <c r="K159" s="213"/>
      <c r="L159" s="213"/>
      <c r="M159" s="213"/>
      <c r="N159" s="214"/>
    </row>
    <row r="160" spans="1:14" ht="20.100000000000001" customHeight="1">
      <c r="A160" s="211">
        <f t="shared" si="7"/>
        <v>157</v>
      </c>
      <c r="B160" s="284" t="s">
        <v>2088</v>
      </c>
      <c r="C160" s="284" t="s">
        <v>2065</v>
      </c>
      <c r="D160" s="212" t="s">
        <v>853</v>
      </c>
      <c r="E160" s="212" t="s">
        <v>853</v>
      </c>
      <c r="F160" s="212" t="s">
        <v>2033</v>
      </c>
      <c r="G160" s="212" t="s">
        <v>1999</v>
      </c>
      <c r="H160" s="286" t="s">
        <v>2151</v>
      </c>
      <c r="I160" s="213"/>
      <c r="J160" s="213">
        <v>1</v>
      </c>
      <c r="K160" s="213"/>
      <c r="L160" s="213"/>
      <c r="M160" s="213"/>
      <c r="N160" s="214"/>
    </row>
    <row r="161" spans="1:14" ht="20.100000000000001" customHeight="1">
      <c r="A161" s="211">
        <f t="shared" si="7"/>
        <v>158</v>
      </c>
      <c r="B161" s="284" t="s">
        <v>2179</v>
      </c>
      <c r="C161" s="284" t="s">
        <v>2065</v>
      </c>
      <c r="D161" s="212" t="s">
        <v>853</v>
      </c>
      <c r="E161" s="212" t="s">
        <v>853</v>
      </c>
      <c r="F161" s="212" t="s">
        <v>2033</v>
      </c>
      <c r="G161" s="212" t="s">
        <v>1999</v>
      </c>
      <c r="H161" s="286" t="s">
        <v>2151</v>
      </c>
      <c r="I161" s="213"/>
      <c r="J161" s="213">
        <v>1</v>
      </c>
      <c r="K161" s="213"/>
      <c r="L161" s="213"/>
      <c r="M161" s="213"/>
      <c r="N161" s="214"/>
    </row>
    <row r="162" spans="1:14" ht="20.100000000000001" customHeight="1">
      <c r="A162" s="211">
        <f t="shared" si="7"/>
        <v>159</v>
      </c>
      <c r="B162" s="284" t="s">
        <v>2180</v>
      </c>
      <c r="C162" s="284" t="s">
        <v>2079</v>
      </c>
      <c r="D162" s="212" t="s">
        <v>853</v>
      </c>
      <c r="E162" s="212" t="s">
        <v>853</v>
      </c>
      <c r="F162" s="212" t="s">
        <v>2033</v>
      </c>
      <c r="G162" s="212" t="s">
        <v>1999</v>
      </c>
      <c r="H162" s="286" t="s">
        <v>2151</v>
      </c>
      <c r="I162" s="213"/>
      <c r="J162" s="213">
        <v>1</v>
      </c>
      <c r="K162" s="213"/>
      <c r="L162" s="213"/>
      <c r="M162" s="213"/>
      <c r="N162" s="214"/>
    </row>
    <row r="163" spans="1:14" ht="20.100000000000001" customHeight="1">
      <c r="A163" s="211">
        <f t="shared" si="7"/>
        <v>160</v>
      </c>
      <c r="B163" s="284" t="s">
        <v>2181</v>
      </c>
      <c r="C163" s="284" t="s">
        <v>2064</v>
      </c>
      <c r="D163" s="212" t="s">
        <v>853</v>
      </c>
      <c r="E163" s="212" t="s">
        <v>853</v>
      </c>
      <c r="F163" s="212" t="s">
        <v>2033</v>
      </c>
      <c r="G163" s="212" t="s">
        <v>1999</v>
      </c>
      <c r="H163" s="286" t="s">
        <v>2151</v>
      </c>
      <c r="I163" s="213"/>
      <c r="J163" s="213">
        <v>1</v>
      </c>
      <c r="K163" s="213"/>
      <c r="L163" s="213"/>
      <c r="M163" s="213"/>
      <c r="N163" s="214"/>
    </row>
    <row r="164" spans="1:14" ht="20.100000000000001" customHeight="1">
      <c r="A164" s="211">
        <f t="shared" si="7"/>
        <v>161</v>
      </c>
      <c r="B164" s="284" t="s">
        <v>2182</v>
      </c>
      <c r="C164" s="284" t="s">
        <v>2064</v>
      </c>
      <c r="D164" s="212" t="s">
        <v>853</v>
      </c>
      <c r="E164" s="212" t="s">
        <v>853</v>
      </c>
      <c r="F164" s="212" t="s">
        <v>2033</v>
      </c>
      <c r="G164" s="212" t="s">
        <v>1999</v>
      </c>
      <c r="H164" s="286" t="s">
        <v>2151</v>
      </c>
      <c r="I164" s="213"/>
      <c r="J164" s="213">
        <v>1</v>
      </c>
      <c r="K164" s="213"/>
      <c r="L164" s="213"/>
      <c r="M164" s="213"/>
      <c r="N164" s="214"/>
    </row>
    <row r="165" spans="1:14" ht="20.100000000000001" customHeight="1">
      <c r="A165" s="211">
        <f t="shared" si="7"/>
        <v>162</v>
      </c>
      <c r="B165" s="284" t="s">
        <v>2183</v>
      </c>
      <c r="C165" s="284" t="s">
        <v>2064</v>
      </c>
      <c r="D165" s="212" t="s">
        <v>853</v>
      </c>
      <c r="E165" s="212" t="s">
        <v>853</v>
      </c>
      <c r="F165" s="212" t="s">
        <v>2033</v>
      </c>
      <c r="G165" s="212" t="s">
        <v>1999</v>
      </c>
      <c r="H165" s="286" t="s">
        <v>2151</v>
      </c>
      <c r="I165" s="213"/>
      <c r="J165" s="213">
        <v>1</v>
      </c>
      <c r="K165" s="213"/>
      <c r="L165" s="213"/>
      <c r="M165" s="213"/>
      <c r="N165" s="214"/>
    </row>
    <row r="166" spans="1:14" ht="20.100000000000001" customHeight="1">
      <c r="A166" s="211">
        <f t="shared" si="7"/>
        <v>163</v>
      </c>
      <c r="B166" s="284" t="s">
        <v>2184</v>
      </c>
      <c r="C166" s="284" t="s">
        <v>1969</v>
      </c>
      <c r="D166" s="212" t="s">
        <v>853</v>
      </c>
      <c r="E166" s="212" t="s">
        <v>853</v>
      </c>
      <c r="F166" s="212" t="s">
        <v>2033</v>
      </c>
      <c r="G166" s="212" t="s">
        <v>1999</v>
      </c>
      <c r="H166" s="286" t="s">
        <v>2151</v>
      </c>
      <c r="I166" s="213"/>
      <c r="J166" s="213">
        <v>1</v>
      </c>
      <c r="K166" s="213"/>
      <c r="L166" s="213"/>
      <c r="M166" s="213"/>
      <c r="N166" s="214"/>
    </row>
  </sheetData>
  <mergeCells count="1">
    <mergeCell ref="R3:W3"/>
  </mergeCells>
  <phoneticPr fontId="3" type="noConversion"/>
  <conditionalFormatting sqref="Q5:Q85">
    <cfRule type="expression" dxfId="19" priority="1">
      <formula>SUM($M5:$Q5)&gt;0</formula>
    </cfRule>
  </conditionalFormatting>
  <pageMargins left="0.70866141732283472" right="0.70866141732283472" top="0.37" bottom="0.2" header="0.21" footer="0.17"/>
  <pageSetup paperSize="9" scale="38" fitToHeight="6" orientation="portrait" horizontalDpi="90" verticalDpi="9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49D143-3059-4506-BD18-C658122D9664}">
          <x14:formula1>
            <xm:f>'2.직종별 인원현황'!$F$6:$F$83</xm:f>
          </x14:formula1>
          <xm:sqref>C4:C166</xm:sqref>
        </x14:dataValidation>
        <x14:dataValidation type="list" allowBlank="1" showInputMessage="1" showErrorMessage="1" xr:uid="{15BB0954-D96C-4B4C-B48B-07EC30D52557}">
          <x14:formula1>
            <xm:f>OFFSET(WBS!$A$2,MATCH(Cover!$E$18,WBS!$B$3:$B$122,0),3,COUNTIF(WBS!$B$2:$B$122,Cover!$E$18),1)</xm:f>
          </x14:formula1>
          <xm:sqref>D4:D166</xm:sqref>
        </x14:dataValidation>
        <x14:dataValidation type="list" allowBlank="1" showInputMessage="1" showErrorMessage="1" xr:uid="{4CCA93A5-D630-48A6-8040-4A76CC48B01E}">
          <x14:formula1>
            <xm:f>OFFSET(WBS!$H$2,MATCH(Cover!$E$18,WBS!$H$3:$H$1052,0),1,COUNTIF(WBS!$H$2:$H$1052,Cover!$E$18),1)</xm:f>
          </x14:formula1>
          <xm:sqref>F4:F166</xm:sqref>
        </x14:dataValidation>
        <x14:dataValidation type="list" allowBlank="1" showInputMessage="1" showErrorMessage="1" xr:uid="{AC33B981-58FF-421A-B1E3-6AC684C5B060}">
          <x14:formula1>
            <xm:f>'4.물량'!$P$5:$P$41</xm:f>
          </x14:formula1>
          <xm:sqref>G4:G25 G38:G60 G66:G166</xm:sqref>
        </x14:dataValidation>
        <x14:dataValidation type="list" allowBlank="1" showInputMessage="1" showErrorMessage="1" xr:uid="{3D7E92F2-FFEF-4F15-84E8-4C68BBDC9CBD}">
          <x14:formula1>
            <xm:f>OFFSET(WBS!$A$2,MATCH($D4,WBS!$D$3:$D$122,0),5,COUNTIF(WBS!$D$2:$D$122,$D4),1)</xm:f>
          </x14:formula1>
          <xm:sqref>E4:E166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596D-B4F6-4287-8078-E973A12ED786}">
  <dimension ref="A2:I1051"/>
  <sheetViews>
    <sheetView zoomScaleNormal="100" workbookViewId="0">
      <pane ySplit="2" topLeftCell="A87" activePane="bottomLeft" state="frozen"/>
      <selection activeCell="G19" sqref="G19"/>
      <selection pane="bottomLeft" activeCell="E17" sqref="E17"/>
    </sheetView>
  </sheetViews>
  <sheetFormatPr defaultRowHeight="12.75"/>
  <cols>
    <col min="1" max="3" width="15.375" style="222" customWidth="1"/>
    <col min="4" max="4" width="19.375" style="222" bestFit="1" customWidth="1"/>
    <col min="5" max="5" width="15.375" style="222" customWidth="1"/>
    <col min="6" max="6" width="24" style="222" bestFit="1" customWidth="1"/>
    <col min="7" max="7" width="2.5" style="222" customWidth="1"/>
    <col min="8" max="8" width="9" style="222"/>
    <col min="9" max="9" width="52" style="222" bestFit="1" customWidth="1"/>
    <col min="10" max="16384" width="9" style="222"/>
  </cols>
  <sheetData>
    <row r="2" spans="1:9" ht="13.5">
      <c r="A2" s="221" t="s">
        <v>748</v>
      </c>
      <c r="B2" s="221" t="s">
        <v>749</v>
      </c>
      <c r="C2" s="221" t="s">
        <v>750</v>
      </c>
      <c r="D2" s="221" t="s">
        <v>751</v>
      </c>
      <c r="E2" s="221" t="s">
        <v>752</v>
      </c>
      <c r="F2" s="221" t="s">
        <v>753</v>
      </c>
      <c r="H2" s="221" t="s">
        <v>754</v>
      </c>
      <c r="I2" s="221" t="s">
        <v>755</v>
      </c>
    </row>
    <row r="3" spans="1:9" ht="13.5">
      <c r="A3" s="223"/>
      <c r="B3" s="223" t="s">
        <v>5</v>
      </c>
      <c r="C3" s="223"/>
      <c r="D3" s="223" t="s">
        <v>756</v>
      </c>
      <c r="E3" s="223"/>
      <c r="F3" s="223" t="s">
        <v>756</v>
      </c>
      <c r="H3" s="223" t="s">
        <v>5</v>
      </c>
      <c r="I3" s="223" t="s">
        <v>756</v>
      </c>
    </row>
    <row r="4" spans="1:9" ht="13.5">
      <c r="A4" s="223" t="s">
        <v>80</v>
      </c>
      <c r="B4" s="223" t="s">
        <v>5</v>
      </c>
      <c r="C4" s="223" t="s">
        <v>757</v>
      </c>
      <c r="D4" s="223" t="s">
        <v>758</v>
      </c>
      <c r="E4" s="223" t="s">
        <v>759</v>
      </c>
      <c r="F4" s="223" t="s">
        <v>760</v>
      </c>
      <c r="H4" s="223" t="s">
        <v>5</v>
      </c>
      <c r="I4" s="223" t="s">
        <v>761</v>
      </c>
    </row>
    <row r="5" spans="1:9" ht="13.5">
      <c r="A5" s="223" t="s">
        <v>80</v>
      </c>
      <c r="B5" s="223" t="s">
        <v>5</v>
      </c>
      <c r="C5" s="223" t="s">
        <v>757</v>
      </c>
      <c r="D5" s="223" t="s">
        <v>758</v>
      </c>
      <c r="E5" s="223" t="s">
        <v>762</v>
      </c>
      <c r="F5" s="223" t="s">
        <v>763</v>
      </c>
      <c r="H5" s="223" t="s">
        <v>5</v>
      </c>
      <c r="I5" s="223" t="s">
        <v>722</v>
      </c>
    </row>
    <row r="6" spans="1:9" ht="13.5">
      <c r="A6" s="223" t="s">
        <v>80</v>
      </c>
      <c r="B6" s="223" t="s">
        <v>5</v>
      </c>
      <c r="C6" s="223" t="s">
        <v>757</v>
      </c>
      <c r="D6" s="223" t="s">
        <v>758</v>
      </c>
      <c r="E6" s="223" t="s">
        <v>764</v>
      </c>
      <c r="F6" s="223" t="s">
        <v>765</v>
      </c>
      <c r="H6" s="223" t="s">
        <v>5</v>
      </c>
      <c r="I6" s="223" t="s">
        <v>721</v>
      </c>
    </row>
    <row r="7" spans="1:9" ht="13.5">
      <c r="A7" s="223" t="s">
        <v>80</v>
      </c>
      <c r="B7" s="223" t="s">
        <v>5</v>
      </c>
      <c r="C7" s="223" t="s">
        <v>757</v>
      </c>
      <c r="D7" s="223" t="s">
        <v>758</v>
      </c>
      <c r="E7" s="223" t="s">
        <v>766</v>
      </c>
      <c r="F7" s="223" t="s">
        <v>767</v>
      </c>
      <c r="H7" s="223" t="s">
        <v>5</v>
      </c>
      <c r="I7" s="223" t="s">
        <v>717</v>
      </c>
    </row>
    <row r="8" spans="1:9" ht="13.5">
      <c r="A8" s="223" t="s">
        <v>80</v>
      </c>
      <c r="B8" s="223" t="s">
        <v>5</v>
      </c>
      <c r="C8" s="223" t="s">
        <v>757</v>
      </c>
      <c r="D8" s="223" t="s">
        <v>758</v>
      </c>
      <c r="E8" s="223" t="s">
        <v>768</v>
      </c>
      <c r="F8" s="223" t="s">
        <v>769</v>
      </c>
      <c r="H8" s="223" t="s">
        <v>5</v>
      </c>
      <c r="I8" s="223" t="s">
        <v>770</v>
      </c>
    </row>
    <row r="9" spans="1:9" ht="13.5">
      <c r="A9" s="223" t="s">
        <v>80</v>
      </c>
      <c r="B9" s="223" t="s">
        <v>5</v>
      </c>
      <c r="C9" s="223" t="s">
        <v>757</v>
      </c>
      <c r="D9" s="223" t="s">
        <v>758</v>
      </c>
      <c r="E9" s="223" t="s">
        <v>771</v>
      </c>
      <c r="F9" s="223" t="s">
        <v>772</v>
      </c>
      <c r="H9" s="223" t="s">
        <v>5</v>
      </c>
      <c r="I9" s="223" t="s">
        <v>719</v>
      </c>
    </row>
    <row r="10" spans="1:9" ht="13.5">
      <c r="A10" s="223" t="s">
        <v>80</v>
      </c>
      <c r="B10" s="223" t="s">
        <v>5</v>
      </c>
      <c r="C10" s="223" t="s">
        <v>757</v>
      </c>
      <c r="D10" s="223" t="s">
        <v>758</v>
      </c>
      <c r="E10" s="223" t="s">
        <v>773</v>
      </c>
      <c r="F10" s="223" t="s">
        <v>774</v>
      </c>
      <c r="H10" s="223" t="s">
        <v>5</v>
      </c>
      <c r="I10" s="223" t="s">
        <v>775</v>
      </c>
    </row>
    <row r="11" spans="1:9" ht="13.5">
      <c r="A11" s="223" t="s">
        <v>80</v>
      </c>
      <c r="B11" s="223" t="s">
        <v>5</v>
      </c>
      <c r="C11" s="223" t="s">
        <v>757</v>
      </c>
      <c r="D11" s="223" t="s">
        <v>758</v>
      </c>
      <c r="E11" s="223" t="s">
        <v>776</v>
      </c>
      <c r="F11" s="223" t="s">
        <v>777</v>
      </c>
      <c r="H11" s="223" t="s">
        <v>5</v>
      </c>
      <c r="I11" s="223" t="s">
        <v>720</v>
      </c>
    </row>
    <row r="12" spans="1:9" ht="13.5">
      <c r="A12" s="223" t="s">
        <v>80</v>
      </c>
      <c r="B12" s="223" t="s">
        <v>5</v>
      </c>
      <c r="C12" s="223" t="s">
        <v>757</v>
      </c>
      <c r="D12" s="223" t="s">
        <v>758</v>
      </c>
      <c r="E12" s="223" t="s">
        <v>778</v>
      </c>
      <c r="F12" s="223" t="s">
        <v>779</v>
      </c>
      <c r="H12" s="223" t="s">
        <v>5</v>
      </c>
      <c r="I12" s="223" t="s">
        <v>780</v>
      </c>
    </row>
    <row r="13" spans="1:9" ht="13.5">
      <c r="A13" s="223" t="s">
        <v>80</v>
      </c>
      <c r="B13" s="223" t="s">
        <v>5</v>
      </c>
      <c r="C13" s="223" t="s">
        <v>757</v>
      </c>
      <c r="D13" s="223" t="s">
        <v>758</v>
      </c>
      <c r="E13" s="223" t="s">
        <v>781</v>
      </c>
      <c r="F13" s="223" t="s">
        <v>782</v>
      </c>
      <c r="H13" s="223" t="s">
        <v>5</v>
      </c>
      <c r="I13" s="223" t="s">
        <v>783</v>
      </c>
    </row>
    <row r="14" spans="1:9" ht="13.5">
      <c r="A14" s="223" t="s">
        <v>80</v>
      </c>
      <c r="B14" s="223" t="s">
        <v>5</v>
      </c>
      <c r="C14" s="223" t="s">
        <v>784</v>
      </c>
      <c r="D14" s="223" t="s">
        <v>785</v>
      </c>
      <c r="E14" s="223" t="s">
        <v>759</v>
      </c>
      <c r="F14" s="223" t="s">
        <v>760</v>
      </c>
      <c r="H14" s="223" t="s">
        <v>5</v>
      </c>
      <c r="I14" s="223" t="s">
        <v>786</v>
      </c>
    </row>
    <row r="15" spans="1:9" ht="13.5">
      <c r="A15" s="223" t="s">
        <v>80</v>
      </c>
      <c r="B15" s="223" t="s">
        <v>5</v>
      </c>
      <c r="C15" s="223" t="s">
        <v>784</v>
      </c>
      <c r="D15" s="223" t="s">
        <v>785</v>
      </c>
      <c r="E15" s="223" t="s">
        <v>762</v>
      </c>
      <c r="F15" s="223" t="s">
        <v>787</v>
      </c>
      <c r="H15" s="223" t="s">
        <v>5</v>
      </c>
      <c r="I15" s="223" t="s">
        <v>788</v>
      </c>
    </row>
    <row r="16" spans="1:9" ht="13.5">
      <c r="A16" s="223" t="s">
        <v>80</v>
      </c>
      <c r="B16" s="223" t="s">
        <v>5</v>
      </c>
      <c r="C16" s="223" t="s">
        <v>784</v>
      </c>
      <c r="D16" s="223" t="s">
        <v>785</v>
      </c>
      <c r="E16" s="223" t="s">
        <v>764</v>
      </c>
      <c r="F16" s="223" t="s">
        <v>789</v>
      </c>
      <c r="H16" s="223" t="s">
        <v>5</v>
      </c>
      <c r="I16" s="223" t="s">
        <v>790</v>
      </c>
    </row>
    <row r="17" spans="1:9" ht="13.5">
      <c r="A17" s="223" t="s">
        <v>80</v>
      </c>
      <c r="B17" s="223" t="s">
        <v>5</v>
      </c>
      <c r="C17" s="223" t="s">
        <v>791</v>
      </c>
      <c r="D17" s="223" t="s">
        <v>792</v>
      </c>
      <c r="E17" s="223" t="s">
        <v>759</v>
      </c>
      <c r="F17" s="223" t="s">
        <v>760</v>
      </c>
      <c r="H17" s="223" t="s">
        <v>5</v>
      </c>
      <c r="I17" s="223" t="s">
        <v>793</v>
      </c>
    </row>
    <row r="18" spans="1:9" ht="13.5">
      <c r="A18" s="223" t="s">
        <v>80</v>
      </c>
      <c r="B18" s="223" t="s">
        <v>5</v>
      </c>
      <c r="C18" s="223" t="s">
        <v>791</v>
      </c>
      <c r="D18" s="223" t="s">
        <v>792</v>
      </c>
      <c r="E18" s="223" t="s">
        <v>762</v>
      </c>
      <c r="F18" s="223" t="s">
        <v>794</v>
      </c>
      <c r="H18" s="223" t="s">
        <v>5</v>
      </c>
      <c r="I18" s="223" t="s">
        <v>795</v>
      </c>
    </row>
    <row r="19" spans="1:9" ht="13.5">
      <c r="A19" s="223" t="s">
        <v>80</v>
      </c>
      <c r="B19" s="223" t="s">
        <v>5</v>
      </c>
      <c r="C19" s="223" t="s">
        <v>791</v>
      </c>
      <c r="D19" s="223" t="s">
        <v>792</v>
      </c>
      <c r="E19" s="223" t="s">
        <v>764</v>
      </c>
      <c r="F19" s="223" t="s">
        <v>796</v>
      </c>
      <c r="H19" s="223" t="s">
        <v>5</v>
      </c>
      <c r="I19" s="223" t="s">
        <v>797</v>
      </c>
    </row>
    <row r="20" spans="1:9" ht="13.5">
      <c r="A20" s="223" t="s">
        <v>80</v>
      </c>
      <c r="B20" s="223" t="s">
        <v>5</v>
      </c>
      <c r="C20" s="223" t="s">
        <v>798</v>
      </c>
      <c r="D20" s="223" t="s">
        <v>799</v>
      </c>
      <c r="E20" s="223" t="s">
        <v>759</v>
      </c>
      <c r="F20" s="223" t="s">
        <v>760</v>
      </c>
      <c r="H20" s="223" t="s">
        <v>5</v>
      </c>
      <c r="I20" s="223" t="s">
        <v>800</v>
      </c>
    </row>
    <row r="21" spans="1:9" ht="13.5">
      <c r="A21" s="223" t="s">
        <v>80</v>
      </c>
      <c r="B21" s="223" t="s">
        <v>5</v>
      </c>
      <c r="C21" s="223" t="s">
        <v>798</v>
      </c>
      <c r="D21" s="223" t="s">
        <v>799</v>
      </c>
      <c r="E21" s="223" t="s">
        <v>762</v>
      </c>
      <c r="F21" s="223" t="s">
        <v>801</v>
      </c>
      <c r="H21" s="223" t="s">
        <v>5</v>
      </c>
      <c r="I21" s="223" t="s">
        <v>802</v>
      </c>
    </row>
    <row r="22" spans="1:9" ht="13.5">
      <c r="A22" s="223" t="s">
        <v>80</v>
      </c>
      <c r="B22" s="223" t="s">
        <v>5</v>
      </c>
      <c r="C22" s="223" t="s">
        <v>798</v>
      </c>
      <c r="D22" s="223" t="s">
        <v>799</v>
      </c>
      <c r="E22" s="223" t="s">
        <v>764</v>
      </c>
      <c r="F22" s="223" t="s">
        <v>803</v>
      </c>
      <c r="H22" s="223" t="s">
        <v>5</v>
      </c>
      <c r="I22" s="223" t="s">
        <v>804</v>
      </c>
    </row>
    <row r="23" spans="1:9" ht="13.5">
      <c r="A23" s="223" t="s">
        <v>80</v>
      </c>
      <c r="B23" s="223" t="s">
        <v>5</v>
      </c>
      <c r="C23" s="223" t="s">
        <v>805</v>
      </c>
      <c r="D23" s="223" t="s">
        <v>806</v>
      </c>
      <c r="E23" s="223" t="s">
        <v>759</v>
      </c>
      <c r="F23" s="223" t="s">
        <v>760</v>
      </c>
      <c r="H23" s="223" t="s">
        <v>5</v>
      </c>
      <c r="I23" s="223" t="s">
        <v>807</v>
      </c>
    </row>
    <row r="24" spans="1:9" ht="13.5">
      <c r="A24" s="223" t="s">
        <v>80</v>
      </c>
      <c r="B24" s="223" t="s">
        <v>5</v>
      </c>
      <c r="C24" s="223" t="s">
        <v>805</v>
      </c>
      <c r="D24" s="223" t="s">
        <v>806</v>
      </c>
      <c r="E24" s="223" t="s">
        <v>762</v>
      </c>
      <c r="F24" s="223" t="s">
        <v>808</v>
      </c>
      <c r="H24" s="223" t="s">
        <v>5</v>
      </c>
      <c r="I24" s="223" t="s">
        <v>809</v>
      </c>
    </row>
    <row r="25" spans="1:9" ht="13.5">
      <c r="A25" s="223" t="s">
        <v>80</v>
      </c>
      <c r="B25" s="223" t="s">
        <v>5</v>
      </c>
      <c r="C25" s="223" t="s">
        <v>805</v>
      </c>
      <c r="D25" s="223" t="s">
        <v>806</v>
      </c>
      <c r="E25" s="223" t="s">
        <v>764</v>
      </c>
      <c r="F25" s="223" t="s">
        <v>810</v>
      </c>
      <c r="H25" s="223" t="s">
        <v>5</v>
      </c>
      <c r="I25" s="223" t="s">
        <v>811</v>
      </c>
    </row>
    <row r="26" spans="1:9" ht="13.5">
      <c r="A26" s="223" t="s">
        <v>80</v>
      </c>
      <c r="B26" s="223" t="s">
        <v>5</v>
      </c>
      <c r="C26" s="223" t="s">
        <v>812</v>
      </c>
      <c r="D26" s="223" t="s">
        <v>813</v>
      </c>
      <c r="E26" s="223" t="s">
        <v>759</v>
      </c>
      <c r="F26" s="223" t="s">
        <v>760</v>
      </c>
      <c r="H26" s="223" t="s">
        <v>5</v>
      </c>
      <c r="I26" s="223" t="s">
        <v>814</v>
      </c>
    </row>
    <row r="27" spans="1:9" ht="13.5">
      <c r="A27" s="223" t="s">
        <v>80</v>
      </c>
      <c r="B27" s="223" t="s">
        <v>5</v>
      </c>
      <c r="C27" s="223" t="s">
        <v>815</v>
      </c>
      <c r="D27" s="223" t="s">
        <v>729</v>
      </c>
      <c r="E27" s="223" t="s">
        <v>759</v>
      </c>
      <c r="F27" s="223" t="s">
        <v>760</v>
      </c>
      <c r="H27" s="223" t="s">
        <v>5</v>
      </c>
      <c r="I27" s="223" t="s">
        <v>816</v>
      </c>
    </row>
    <row r="28" spans="1:9" ht="13.5">
      <c r="A28" s="223" t="s">
        <v>80</v>
      </c>
      <c r="B28" s="223" t="s">
        <v>5</v>
      </c>
      <c r="C28" s="223" t="s">
        <v>815</v>
      </c>
      <c r="D28" s="223" t="s">
        <v>729</v>
      </c>
      <c r="E28" s="223" t="s">
        <v>762</v>
      </c>
      <c r="F28" s="223" t="s">
        <v>730</v>
      </c>
      <c r="H28" s="223" t="s">
        <v>5</v>
      </c>
      <c r="I28" s="223" t="s">
        <v>817</v>
      </c>
    </row>
    <row r="29" spans="1:9" ht="13.5">
      <c r="A29" s="223" t="s">
        <v>80</v>
      </c>
      <c r="B29" s="223" t="s">
        <v>5</v>
      </c>
      <c r="C29" s="223" t="s">
        <v>818</v>
      </c>
      <c r="D29" s="223" t="s">
        <v>819</v>
      </c>
      <c r="E29" s="223" t="s">
        <v>759</v>
      </c>
      <c r="F29" s="223" t="s">
        <v>760</v>
      </c>
      <c r="H29" s="223" t="s">
        <v>5</v>
      </c>
      <c r="I29" s="223" t="s">
        <v>820</v>
      </c>
    </row>
    <row r="30" spans="1:9" ht="13.5">
      <c r="A30" s="223" t="s">
        <v>80</v>
      </c>
      <c r="B30" s="223" t="s">
        <v>5</v>
      </c>
      <c r="C30" s="223" t="s">
        <v>818</v>
      </c>
      <c r="D30" s="223" t="s">
        <v>819</v>
      </c>
      <c r="E30" s="223" t="s">
        <v>762</v>
      </c>
      <c r="F30" s="223" t="s">
        <v>724</v>
      </c>
      <c r="H30" s="223" t="s">
        <v>5</v>
      </c>
      <c r="I30" s="223" t="s">
        <v>821</v>
      </c>
    </row>
    <row r="31" spans="1:9" ht="13.5">
      <c r="A31" s="223" t="s">
        <v>80</v>
      </c>
      <c r="B31" s="223" t="s">
        <v>5</v>
      </c>
      <c r="C31" s="223" t="s">
        <v>822</v>
      </c>
      <c r="D31" s="223" t="s">
        <v>726</v>
      </c>
      <c r="E31" s="223" t="s">
        <v>759</v>
      </c>
      <c r="F31" s="223" t="s">
        <v>760</v>
      </c>
      <c r="H31" s="223" t="s">
        <v>5</v>
      </c>
      <c r="I31" s="223" t="s">
        <v>823</v>
      </c>
    </row>
    <row r="32" spans="1:9" ht="13.5">
      <c r="A32" s="223" t="s">
        <v>80</v>
      </c>
      <c r="B32" s="223" t="s">
        <v>5</v>
      </c>
      <c r="C32" s="223" t="s">
        <v>822</v>
      </c>
      <c r="D32" s="223" t="s">
        <v>726</v>
      </c>
      <c r="E32" s="223" t="s">
        <v>762</v>
      </c>
      <c r="F32" s="223" t="s">
        <v>727</v>
      </c>
      <c r="H32" s="223" t="s">
        <v>5</v>
      </c>
      <c r="I32" s="223" t="s">
        <v>824</v>
      </c>
    </row>
    <row r="33" spans="1:9" ht="13.5">
      <c r="A33" s="223" t="s">
        <v>80</v>
      </c>
      <c r="B33" s="223" t="s">
        <v>5</v>
      </c>
      <c r="C33" s="223" t="s">
        <v>825</v>
      </c>
      <c r="D33" s="223" t="s">
        <v>826</v>
      </c>
      <c r="E33" s="223" t="s">
        <v>759</v>
      </c>
      <c r="F33" s="223" t="s">
        <v>760</v>
      </c>
      <c r="H33" s="223" t="s">
        <v>5</v>
      </c>
      <c r="I33" s="223" t="s">
        <v>827</v>
      </c>
    </row>
    <row r="34" spans="1:9" ht="13.5">
      <c r="A34" s="223" t="s">
        <v>80</v>
      </c>
      <c r="B34" s="223" t="s">
        <v>5</v>
      </c>
      <c r="C34" s="223" t="s">
        <v>825</v>
      </c>
      <c r="D34" s="223" t="s">
        <v>826</v>
      </c>
      <c r="E34" s="223" t="s">
        <v>762</v>
      </c>
      <c r="F34" s="223" t="s">
        <v>828</v>
      </c>
      <c r="H34" s="223" t="s">
        <v>5</v>
      </c>
      <c r="I34" s="223" t="s">
        <v>829</v>
      </c>
    </row>
    <row r="35" spans="1:9" ht="13.5">
      <c r="A35" s="223" t="s">
        <v>80</v>
      </c>
      <c r="B35" s="223" t="s">
        <v>5</v>
      </c>
      <c r="C35" s="223" t="s">
        <v>830</v>
      </c>
      <c r="D35" s="223" t="s">
        <v>831</v>
      </c>
      <c r="E35" s="223" t="s">
        <v>759</v>
      </c>
      <c r="F35" s="223" t="s">
        <v>760</v>
      </c>
      <c r="H35" s="223" t="s">
        <v>5</v>
      </c>
      <c r="I35" s="223" t="s">
        <v>832</v>
      </c>
    </row>
    <row r="36" spans="1:9" ht="13.5">
      <c r="A36" s="223" t="s">
        <v>80</v>
      </c>
      <c r="B36" s="223" t="s">
        <v>5</v>
      </c>
      <c r="C36" s="223" t="s">
        <v>830</v>
      </c>
      <c r="D36" s="223" t="s">
        <v>831</v>
      </c>
      <c r="E36" s="223" t="s">
        <v>762</v>
      </c>
      <c r="F36" s="223" t="s">
        <v>833</v>
      </c>
      <c r="H36" s="223" t="s">
        <v>5</v>
      </c>
      <c r="I36" s="223" t="s">
        <v>834</v>
      </c>
    </row>
    <row r="37" spans="1:9" ht="13.5">
      <c r="A37" s="223" t="s">
        <v>80</v>
      </c>
      <c r="B37" s="223" t="s">
        <v>5</v>
      </c>
      <c r="C37" s="223" t="s">
        <v>835</v>
      </c>
      <c r="D37" s="223" t="s">
        <v>836</v>
      </c>
      <c r="E37" s="223" t="s">
        <v>759</v>
      </c>
      <c r="F37" s="223" t="s">
        <v>760</v>
      </c>
      <c r="H37" s="223" t="s">
        <v>5</v>
      </c>
      <c r="I37" s="223" t="s">
        <v>837</v>
      </c>
    </row>
    <row r="38" spans="1:9" ht="13.5">
      <c r="A38" s="223" t="s">
        <v>80</v>
      </c>
      <c r="B38" s="223" t="s">
        <v>5</v>
      </c>
      <c r="C38" s="223" t="s">
        <v>835</v>
      </c>
      <c r="D38" s="223" t="s">
        <v>836</v>
      </c>
      <c r="E38" s="223" t="s">
        <v>762</v>
      </c>
      <c r="F38" s="223" t="s">
        <v>838</v>
      </c>
      <c r="H38" s="223" t="s">
        <v>5</v>
      </c>
      <c r="I38" s="223" t="s">
        <v>839</v>
      </c>
    </row>
    <row r="39" spans="1:9" ht="13.5">
      <c r="A39" s="223" t="s">
        <v>80</v>
      </c>
      <c r="B39" s="223" t="s">
        <v>5</v>
      </c>
      <c r="C39" s="223" t="s">
        <v>840</v>
      </c>
      <c r="D39" s="223" t="s">
        <v>841</v>
      </c>
      <c r="E39" s="223" t="s">
        <v>759</v>
      </c>
      <c r="F39" s="223" t="s">
        <v>760</v>
      </c>
      <c r="H39" s="223" t="s">
        <v>5</v>
      </c>
      <c r="I39" s="223" t="s">
        <v>842</v>
      </c>
    </row>
    <row r="40" spans="1:9" ht="13.5">
      <c r="A40" s="223" t="s">
        <v>80</v>
      </c>
      <c r="B40" s="223" t="s">
        <v>5</v>
      </c>
      <c r="C40" s="223" t="s">
        <v>840</v>
      </c>
      <c r="D40" s="223" t="s">
        <v>841</v>
      </c>
      <c r="E40" s="223" t="s">
        <v>762</v>
      </c>
      <c r="F40" s="223" t="s">
        <v>843</v>
      </c>
      <c r="H40" s="223" t="s">
        <v>5</v>
      </c>
      <c r="I40" s="223" t="s">
        <v>844</v>
      </c>
    </row>
    <row r="41" spans="1:9" ht="13.5">
      <c r="A41" s="223" t="s">
        <v>80</v>
      </c>
      <c r="B41" s="223" t="s">
        <v>5</v>
      </c>
      <c r="C41" s="223" t="s">
        <v>845</v>
      </c>
      <c r="D41" s="223" t="s">
        <v>846</v>
      </c>
      <c r="E41" s="223" t="s">
        <v>759</v>
      </c>
      <c r="F41" s="223" t="s">
        <v>760</v>
      </c>
      <c r="H41" s="223" t="s">
        <v>5</v>
      </c>
      <c r="I41" s="223" t="s">
        <v>847</v>
      </c>
    </row>
    <row r="42" spans="1:9" ht="13.5">
      <c r="A42" s="223" t="s">
        <v>80</v>
      </c>
      <c r="B42" s="223" t="s">
        <v>5</v>
      </c>
      <c r="C42" s="223" t="s">
        <v>845</v>
      </c>
      <c r="D42" s="223" t="s">
        <v>846</v>
      </c>
      <c r="E42" s="223" t="s">
        <v>762</v>
      </c>
      <c r="F42" s="223" t="s">
        <v>848</v>
      </c>
      <c r="H42" s="223" t="s">
        <v>5</v>
      </c>
      <c r="I42" s="223" t="s">
        <v>849</v>
      </c>
    </row>
    <row r="43" spans="1:9" ht="13.5">
      <c r="A43" s="223" t="s">
        <v>80</v>
      </c>
      <c r="B43" s="223" t="s">
        <v>5</v>
      </c>
      <c r="C43" s="223" t="s">
        <v>850</v>
      </c>
      <c r="D43" s="223" t="s">
        <v>851</v>
      </c>
      <c r="E43" s="223" t="s">
        <v>759</v>
      </c>
      <c r="F43" s="223" t="s">
        <v>760</v>
      </c>
      <c r="H43" s="223" t="s">
        <v>5</v>
      </c>
      <c r="I43" s="223" t="s">
        <v>852</v>
      </c>
    </row>
    <row r="44" spans="1:9" ht="13.5">
      <c r="A44" s="223" t="s">
        <v>80</v>
      </c>
      <c r="B44" s="223" t="s">
        <v>5</v>
      </c>
      <c r="C44" s="223" t="s">
        <v>850</v>
      </c>
      <c r="D44" s="223" t="s">
        <v>851</v>
      </c>
      <c r="E44" s="223" t="s">
        <v>762</v>
      </c>
      <c r="F44" s="223" t="s">
        <v>853</v>
      </c>
      <c r="H44" s="223" t="s">
        <v>5</v>
      </c>
      <c r="I44" s="223" t="s">
        <v>854</v>
      </c>
    </row>
    <row r="45" spans="1:9" ht="13.5">
      <c r="A45" s="223" t="s">
        <v>80</v>
      </c>
      <c r="B45" s="223" t="s">
        <v>5</v>
      </c>
      <c r="C45" s="223" t="s">
        <v>855</v>
      </c>
      <c r="D45" s="223" t="s">
        <v>856</v>
      </c>
      <c r="E45" s="223" t="s">
        <v>759</v>
      </c>
      <c r="F45" s="223" t="s">
        <v>856</v>
      </c>
      <c r="H45" s="223" t="s">
        <v>5</v>
      </c>
      <c r="I45" s="223" t="s">
        <v>857</v>
      </c>
    </row>
    <row r="46" spans="1:9" ht="13.5">
      <c r="A46" s="223" t="s">
        <v>80</v>
      </c>
      <c r="B46" s="223" t="s">
        <v>5</v>
      </c>
      <c r="C46" s="223" t="s">
        <v>858</v>
      </c>
      <c r="D46" s="223" t="s">
        <v>723</v>
      </c>
      <c r="E46" s="223" t="s">
        <v>759</v>
      </c>
      <c r="F46" s="223" t="s">
        <v>760</v>
      </c>
      <c r="H46" s="223" t="s">
        <v>5</v>
      </c>
      <c r="I46" s="223" t="s">
        <v>859</v>
      </c>
    </row>
    <row r="47" spans="1:9" ht="13.5">
      <c r="A47" s="223" t="s">
        <v>80</v>
      </c>
      <c r="B47" s="223" t="s">
        <v>5</v>
      </c>
      <c r="C47" s="223" t="s">
        <v>858</v>
      </c>
      <c r="D47" s="223" t="s">
        <v>723</v>
      </c>
      <c r="E47" s="223" t="s">
        <v>762</v>
      </c>
      <c r="F47" s="223" t="s">
        <v>860</v>
      </c>
      <c r="H47" s="223" t="s">
        <v>5</v>
      </c>
      <c r="I47" s="223" t="s">
        <v>861</v>
      </c>
    </row>
    <row r="48" spans="1:9" ht="13.5">
      <c r="A48" s="223" t="s">
        <v>80</v>
      </c>
      <c r="B48" s="223" t="s">
        <v>5</v>
      </c>
      <c r="C48" s="223" t="s">
        <v>858</v>
      </c>
      <c r="D48" s="223" t="s">
        <v>723</v>
      </c>
      <c r="E48" s="223" t="s">
        <v>764</v>
      </c>
      <c r="F48" s="223" t="s">
        <v>862</v>
      </c>
      <c r="H48" s="223" t="s">
        <v>5</v>
      </c>
      <c r="I48" s="223" t="s">
        <v>863</v>
      </c>
    </row>
    <row r="49" spans="1:9" ht="13.5">
      <c r="A49" s="223" t="s">
        <v>80</v>
      </c>
      <c r="B49" s="223" t="s">
        <v>5</v>
      </c>
      <c r="C49" s="223" t="s">
        <v>858</v>
      </c>
      <c r="D49" s="223" t="s">
        <v>723</v>
      </c>
      <c r="E49" s="223" t="s">
        <v>766</v>
      </c>
      <c r="F49" s="223" t="s">
        <v>856</v>
      </c>
      <c r="H49" s="223" t="s">
        <v>5</v>
      </c>
      <c r="I49" s="223" t="s">
        <v>864</v>
      </c>
    </row>
    <row r="50" spans="1:9" ht="13.5">
      <c r="A50" s="223" t="s">
        <v>80</v>
      </c>
      <c r="B50" s="223" t="s">
        <v>5</v>
      </c>
      <c r="C50" s="223" t="s">
        <v>858</v>
      </c>
      <c r="D50" s="223" t="s">
        <v>723</v>
      </c>
      <c r="E50" s="223" t="s">
        <v>768</v>
      </c>
      <c r="F50" s="223" t="s">
        <v>865</v>
      </c>
      <c r="H50" s="223" t="s">
        <v>5</v>
      </c>
      <c r="I50" s="223" t="s">
        <v>866</v>
      </c>
    </row>
    <row r="51" spans="1:9" ht="13.5">
      <c r="A51" s="223" t="s">
        <v>80</v>
      </c>
      <c r="B51" s="223" t="s">
        <v>5</v>
      </c>
      <c r="C51" s="223" t="s">
        <v>858</v>
      </c>
      <c r="D51" s="223" t="s">
        <v>723</v>
      </c>
      <c r="E51" s="223" t="s">
        <v>771</v>
      </c>
      <c r="F51" s="223" t="s">
        <v>867</v>
      </c>
      <c r="H51" s="223" t="s">
        <v>5</v>
      </c>
      <c r="I51" s="223" t="s">
        <v>868</v>
      </c>
    </row>
    <row r="52" spans="1:9" ht="13.5">
      <c r="A52" s="223" t="s">
        <v>80</v>
      </c>
      <c r="B52" s="223" t="s">
        <v>5</v>
      </c>
      <c r="C52" s="223" t="s">
        <v>858</v>
      </c>
      <c r="D52" s="223" t="s">
        <v>723</v>
      </c>
      <c r="E52" s="223" t="s">
        <v>773</v>
      </c>
      <c r="F52" s="223" t="s">
        <v>869</v>
      </c>
      <c r="H52" s="223" t="s">
        <v>5</v>
      </c>
      <c r="I52" s="223" t="s">
        <v>870</v>
      </c>
    </row>
    <row r="53" spans="1:9" ht="13.5">
      <c r="A53" s="223" t="s">
        <v>80</v>
      </c>
      <c r="B53" s="223" t="s">
        <v>5</v>
      </c>
      <c r="C53" s="223" t="s">
        <v>871</v>
      </c>
      <c r="D53" s="223" t="s">
        <v>872</v>
      </c>
      <c r="E53" s="223" t="s">
        <v>759</v>
      </c>
      <c r="F53" s="223" t="s">
        <v>873</v>
      </c>
      <c r="H53" s="223" t="s">
        <v>5</v>
      </c>
      <c r="I53" s="223" t="s">
        <v>874</v>
      </c>
    </row>
    <row r="54" spans="1:9" ht="13.5">
      <c r="A54" s="223" t="s">
        <v>80</v>
      </c>
      <c r="B54" s="223" t="s">
        <v>5</v>
      </c>
      <c r="C54" s="223" t="s">
        <v>871</v>
      </c>
      <c r="D54" s="223" t="s">
        <v>872</v>
      </c>
      <c r="E54" s="223" t="s">
        <v>762</v>
      </c>
      <c r="F54" s="223" t="s">
        <v>875</v>
      </c>
      <c r="H54" s="223" t="s">
        <v>5</v>
      </c>
      <c r="I54" s="223" t="s">
        <v>876</v>
      </c>
    </row>
    <row r="55" spans="1:9" ht="13.5">
      <c r="A55" s="223" t="s">
        <v>80</v>
      </c>
      <c r="B55" s="223" t="s">
        <v>5</v>
      </c>
      <c r="C55" s="223" t="s">
        <v>877</v>
      </c>
      <c r="D55" s="223" t="s">
        <v>878</v>
      </c>
      <c r="E55" s="223" t="s">
        <v>759</v>
      </c>
      <c r="F55" s="223" t="s">
        <v>878</v>
      </c>
      <c r="H55" s="223" t="s">
        <v>5</v>
      </c>
      <c r="I55" s="223" t="s">
        <v>879</v>
      </c>
    </row>
    <row r="56" spans="1:9" ht="13.5">
      <c r="A56" s="223" t="s">
        <v>80</v>
      </c>
      <c r="B56" s="223" t="s">
        <v>5</v>
      </c>
      <c r="C56" s="223" t="s">
        <v>880</v>
      </c>
      <c r="D56" s="223" t="s">
        <v>881</v>
      </c>
      <c r="E56" s="223" t="s">
        <v>759</v>
      </c>
      <c r="F56" s="223" t="s">
        <v>881</v>
      </c>
      <c r="H56" s="223" t="s">
        <v>5</v>
      </c>
      <c r="I56" s="223" t="s">
        <v>882</v>
      </c>
    </row>
    <row r="57" spans="1:9" ht="13.5">
      <c r="A57" s="223" t="s">
        <v>80</v>
      </c>
      <c r="B57" s="223" t="s">
        <v>5</v>
      </c>
      <c r="C57" s="223" t="s">
        <v>883</v>
      </c>
      <c r="D57" s="223" t="s">
        <v>884</v>
      </c>
      <c r="E57" s="223" t="s">
        <v>759</v>
      </c>
      <c r="F57" s="223" t="s">
        <v>885</v>
      </c>
      <c r="H57" s="223" t="s">
        <v>5</v>
      </c>
      <c r="I57" s="223" t="s">
        <v>886</v>
      </c>
    </row>
    <row r="58" spans="1:9" ht="13.5">
      <c r="A58" s="223" t="s">
        <v>80</v>
      </c>
      <c r="B58" s="223" t="s">
        <v>5</v>
      </c>
      <c r="C58" s="223" t="s">
        <v>883</v>
      </c>
      <c r="D58" s="223" t="s">
        <v>884</v>
      </c>
      <c r="E58" s="223" t="s">
        <v>762</v>
      </c>
      <c r="F58" s="223" t="s">
        <v>887</v>
      </c>
      <c r="H58" s="223" t="s">
        <v>5</v>
      </c>
      <c r="I58" s="223" t="s">
        <v>888</v>
      </c>
    </row>
    <row r="59" spans="1:9" ht="13.5">
      <c r="A59" s="223" t="s">
        <v>80</v>
      </c>
      <c r="B59" s="223" t="s">
        <v>5</v>
      </c>
      <c r="C59" s="223" t="s">
        <v>883</v>
      </c>
      <c r="D59" s="223" t="s">
        <v>884</v>
      </c>
      <c r="E59" s="223" t="s">
        <v>764</v>
      </c>
      <c r="F59" s="223" t="s">
        <v>889</v>
      </c>
      <c r="H59" s="223" t="s">
        <v>5</v>
      </c>
      <c r="I59" s="223" t="s">
        <v>890</v>
      </c>
    </row>
    <row r="60" spans="1:9" ht="13.5">
      <c r="A60" s="223" t="s">
        <v>80</v>
      </c>
      <c r="B60" s="223" t="s">
        <v>5</v>
      </c>
      <c r="C60" s="223" t="s">
        <v>883</v>
      </c>
      <c r="D60" s="223" t="s">
        <v>884</v>
      </c>
      <c r="E60" s="223" t="s">
        <v>766</v>
      </c>
      <c r="F60" s="223" t="s">
        <v>891</v>
      </c>
      <c r="H60" s="223" t="s">
        <v>5</v>
      </c>
      <c r="I60" s="223" t="s">
        <v>892</v>
      </c>
    </row>
    <row r="61" spans="1:9" ht="13.5">
      <c r="A61" s="223" t="s">
        <v>80</v>
      </c>
      <c r="B61" s="223" t="s">
        <v>5</v>
      </c>
      <c r="C61" s="223" t="s">
        <v>893</v>
      </c>
      <c r="D61" s="223" t="s">
        <v>894</v>
      </c>
      <c r="E61" s="223" t="s">
        <v>759</v>
      </c>
      <c r="F61" s="223" t="s">
        <v>894</v>
      </c>
      <c r="H61" s="223" t="s">
        <v>5</v>
      </c>
      <c r="I61" s="223" t="s">
        <v>895</v>
      </c>
    </row>
    <row r="62" spans="1:9" ht="13.5">
      <c r="A62" s="223" t="s">
        <v>80</v>
      </c>
      <c r="B62" s="223" t="s">
        <v>5</v>
      </c>
      <c r="C62" s="223" t="s">
        <v>893</v>
      </c>
      <c r="D62" s="223" t="s">
        <v>894</v>
      </c>
      <c r="E62" s="223" t="s">
        <v>762</v>
      </c>
      <c r="F62" s="223" t="s">
        <v>896</v>
      </c>
      <c r="H62" s="223" t="s">
        <v>5</v>
      </c>
      <c r="I62" s="223" t="s">
        <v>897</v>
      </c>
    </row>
    <row r="63" spans="1:9" ht="13.5">
      <c r="A63" s="223" t="s">
        <v>80</v>
      </c>
      <c r="B63" s="223" t="s">
        <v>5</v>
      </c>
      <c r="C63" s="223" t="s">
        <v>893</v>
      </c>
      <c r="D63" s="223" t="s">
        <v>894</v>
      </c>
      <c r="E63" s="223" t="s">
        <v>764</v>
      </c>
      <c r="F63" s="223" t="s">
        <v>898</v>
      </c>
      <c r="H63" s="223" t="s">
        <v>5</v>
      </c>
      <c r="I63" s="223" t="s">
        <v>899</v>
      </c>
    </row>
    <row r="64" spans="1:9" ht="13.5">
      <c r="A64" s="223" t="s">
        <v>80</v>
      </c>
      <c r="B64" s="223" t="s">
        <v>5</v>
      </c>
      <c r="C64" s="223" t="s">
        <v>893</v>
      </c>
      <c r="D64" s="223" t="s">
        <v>894</v>
      </c>
      <c r="E64" s="223" t="s">
        <v>766</v>
      </c>
      <c r="F64" s="223" t="s">
        <v>900</v>
      </c>
      <c r="H64" s="223" t="s">
        <v>5</v>
      </c>
      <c r="I64" s="223" t="s">
        <v>901</v>
      </c>
    </row>
    <row r="65" spans="1:9" ht="13.5">
      <c r="A65" s="223" t="s">
        <v>80</v>
      </c>
      <c r="B65" s="223" t="s">
        <v>5</v>
      </c>
      <c r="C65" s="223" t="s">
        <v>893</v>
      </c>
      <c r="D65" s="223" t="s">
        <v>894</v>
      </c>
      <c r="E65" s="223" t="s">
        <v>768</v>
      </c>
      <c r="F65" s="223" t="s">
        <v>902</v>
      </c>
      <c r="H65" s="223" t="s">
        <v>5</v>
      </c>
      <c r="I65" s="223" t="s">
        <v>903</v>
      </c>
    </row>
    <row r="66" spans="1:9" ht="13.5">
      <c r="A66" s="223" t="s">
        <v>80</v>
      </c>
      <c r="B66" s="223" t="s">
        <v>5</v>
      </c>
      <c r="C66" s="223" t="s">
        <v>904</v>
      </c>
      <c r="D66" s="223" t="s">
        <v>905</v>
      </c>
      <c r="E66" s="223" t="s">
        <v>759</v>
      </c>
      <c r="F66" s="223" t="s">
        <v>905</v>
      </c>
      <c r="H66" s="223" t="s">
        <v>5</v>
      </c>
      <c r="I66" s="223" t="s">
        <v>906</v>
      </c>
    </row>
    <row r="67" spans="1:9" ht="13.5">
      <c r="A67" s="223" t="s">
        <v>80</v>
      </c>
      <c r="B67" s="223" t="s">
        <v>5</v>
      </c>
      <c r="C67" s="223" t="s">
        <v>907</v>
      </c>
      <c r="D67" s="223" t="s">
        <v>908</v>
      </c>
      <c r="E67" s="223" t="s">
        <v>759</v>
      </c>
      <c r="F67" s="223" t="s">
        <v>908</v>
      </c>
      <c r="H67" s="223" t="s">
        <v>5</v>
      </c>
      <c r="I67" s="223" t="s">
        <v>909</v>
      </c>
    </row>
    <row r="68" spans="1:9" ht="13.5">
      <c r="A68" s="223" t="s">
        <v>80</v>
      </c>
      <c r="B68" s="223" t="s">
        <v>5</v>
      </c>
      <c r="C68" s="223" t="s">
        <v>910</v>
      </c>
      <c r="D68" s="223" t="s">
        <v>911</v>
      </c>
      <c r="E68" s="223" t="s">
        <v>759</v>
      </c>
      <c r="F68" s="223" t="s">
        <v>911</v>
      </c>
      <c r="H68" s="223" t="s">
        <v>5</v>
      </c>
      <c r="I68" s="223" t="s">
        <v>912</v>
      </c>
    </row>
    <row r="69" spans="1:9" ht="13.5">
      <c r="A69" s="223" t="s">
        <v>80</v>
      </c>
      <c r="B69" s="223" t="s">
        <v>5</v>
      </c>
      <c r="C69" s="223" t="s">
        <v>913</v>
      </c>
      <c r="D69" s="223" t="s">
        <v>914</v>
      </c>
      <c r="E69" s="223" t="s">
        <v>759</v>
      </c>
      <c r="F69" s="223" t="s">
        <v>914</v>
      </c>
      <c r="H69" s="223" t="s">
        <v>5</v>
      </c>
      <c r="I69" s="223" t="s">
        <v>915</v>
      </c>
    </row>
    <row r="70" spans="1:9" ht="13.5">
      <c r="A70" s="223" t="s">
        <v>80</v>
      </c>
      <c r="B70" s="223" t="s">
        <v>5</v>
      </c>
      <c r="C70" s="223" t="s">
        <v>916</v>
      </c>
      <c r="D70" s="223" t="s">
        <v>917</v>
      </c>
      <c r="E70" s="223" t="s">
        <v>759</v>
      </c>
      <c r="F70" s="223" t="s">
        <v>917</v>
      </c>
      <c r="H70" s="223" t="s">
        <v>5</v>
      </c>
      <c r="I70" s="223" t="s">
        <v>918</v>
      </c>
    </row>
    <row r="71" spans="1:9" ht="13.5">
      <c r="A71" s="223" t="s">
        <v>80</v>
      </c>
      <c r="B71" s="223" t="s">
        <v>5</v>
      </c>
      <c r="C71" s="223" t="s">
        <v>919</v>
      </c>
      <c r="D71" s="223" t="s">
        <v>920</v>
      </c>
      <c r="E71" s="223" t="s">
        <v>759</v>
      </c>
      <c r="F71" s="223" t="s">
        <v>760</v>
      </c>
      <c r="H71" s="223" t="s">
        <v>5</v>
      </c>
      <c r="I71" s="223" t="s">
        <v>921</v>
      </c>
    </row>
    <row r="72" spans="1:9" ht="13.5">
      <c r="A72" s="223" t="s">
        <v>80</v>
      </c>
      <c r="B72" s="223" t="s">
        <v>5</v>
      </c>
      <c r="C72" s="223" t="s">
        <v>919</v>
      </c>
      <c r="D72" s="223" t="s">
        <v>920</v>
      </c>
      <c r="E72" s="223" t="s">
        <v>762</v>
      </c>
      <c r="F72" s="223" t="s">
        <v>922</v>
      </c>
      <c r="H72" s="223" t="s">
        <v>5</v>
      </c>
      <c r="I72" s="223" t="s">
        <v>923</v>
      </c>
    </row>
    <row r="73" spans="1:9" ht="13.5">
      <c r="A73" s="223" t="s">
        <v>80</v>
      </c>
      <c r="B73" s="223" t="s">
        <v>5</v>
      </c>
      <c r="C73" s="223" t="s">
        <v>924</v>
      </c>
      <c r="D73" s="223" t="s">
        <v>925</v>
      </c>
      <c r="E73" s="223" t="s">
        <v>759</v>
      </c>
      <c r="F73" s="223" t="s">
        <v>925</v>
      </c>
      <c r="H73" s="223" t="s">
        <v>5</v>
      </c>
      <c r="I73" s="223" t="s">
        <v>926</v>
      </c>
    </row>
    <row r="74" spans="1:9" ht="13.5">
      <c r="A74" s="223" t="s">
        <v>80</v>
      </c>
      <c r="B74" s="223" t="s">
        <v>5</v>
      </c>
      <c r="C74" s="223" t="s">
        <v>927</v>
      </c>
      <c r="D74" s="223" t="s">
        <v>928</v>
      </c>
      <c r="E74" s="223" t="s">
        <v>759</v>
      </c>
      <c r="F74" s="223" t="s">
        <v>928</v>
      </c>
      <c r="H74" s="223" t="s">
        <v>5</v>
      </c>
      <c r="I74" s="223" t="s">
        <v>929</v>
      </c>
    </row>
    <row r="75" spans="1:9" ht="13.5">
      <c r="A75" s="223" t="s">
        <v>80</v>
      </c>
      <c r="B75" s="223" t="s">
        <v>5</v>
      </c>
      <c r="C75" s="223" t="s">
        <v>930</v>
      </c>
      <c r="D75" s="223" t="s">
        <v>931</v>
      </c>
      <c r="E75" s="223" t="s">
        <v>759</v>
      </c>
      <c r="F75" s="223" t="s">
        <v>931</v>
      </c>
      <c r="H75" s="223" t="s">
        <v>5</v>
      </c>
      <c r="I75" s="223" t="s">
        <v>932</v>
      </c>
    </row>
    <row r="76" spans="1:9" ht="13.5">
      <c r="A76" s="223" t="s">
        <v>80</v>
      </c>
      <c r="B76" s="223" t="s">
        <v>5</v>
      </c>
      <c r="C76" s="223" t="s">
        <v>933</v>
      </c>
      <c r="D76" s="223" t="s">
        <v>934</v>
      </c>
      <c r="E76" s="223" t="s">
        <v>935</v>
      </c>
      <c r="F76" s="223" t="s">
        <v>934</v>
      </c>
      <c r="H76" s="223" t="s">
        <v>5</v>
      </c>
      <c r="I76" s="223" t="s">
        <v>936</v>
      </c>
    </row>
    <row r="77" spans="1:9" ht="13.5">
      <c r="A77" s="223"/>
      <c r="B77" s="223" t="s">
        <v>79</v>
      </c>
      <c r="C77" s="223"/>
      <c r="D77" s="223"/>
      <c r="E77" s="223"/>
      <c r="F77" s="223" t="s">
        <v>756</v>
      </c>
      <c r="H77" s="223" t="s">
        <v>5</v>
      </c>
      <c r="I77" s="223" t="s">
        <v>937</v>
      </c>
    </row>
    <row r="78" spans="1:9" ht="13.5">
      <c r="A78" s="223" t="s">
        <v>79</v>
      </c>
      <c r="B78" s="223" t="s">
        <v>79</v>
      </c>
      <c r="C78" s="223" t="s">
        <v>757</v>
      </c>
      <c r="D78" s="223" t="s">
        <v>853</v>
      </c>
      <c r="E78" s="223" t="s">
        <v>759</v>
      </c>
      <c r="F78" s="223" t="s">
        <v>1991</v>
      </c>
      <c r="H78" s="223" t="s">
        <v>5</v>
      </c>
      <c r="I78" s="223" t="s">
        <v>938</v>
      </c>
    </row>
    <row r="79" spans="1:9" ht="13.5">
      <c r="A79" s="223" t="s">
        <v>79</v>
      </c>
      <c r="B79" s="223" t="s">
        <v>79</v>
      </c>
      <c r="C79" s="223" t="s">
        <v>784</v>
      </c>
      <c r="D79" s="223" t="s">
        <v>856</v>
      </c>
      <c r="E79" s="223" t="s">
        <v>759</v>
      </c>
      <c r="F79" s="223" t="s">
        <v>856</v>
      </c>
      <c r="H79" s="223" t="s">
        <v>5</v>
      </c>
      <c r="I79" s="223" t="s">
        <v>939</v>
      </c>
    </row>
    <row r="80" spans="1:9" ht="13.5">
      <c r="A80" s="223" t="s">
        <v>79</v>
      </c>
      <c r="B80" s="223" t="s">
        <v>79</v>
      </c>
      <c r="C80" s="223" t="s">
        <v>791</v>
      </c>
      <c r="D80" s="223" t="s">
        <v>940</v>
      </c>
      <c r="E80" s="223" t="s">
        <v>759</v>
      </c>
      <c r="F80" s="223" t="s">
        <v>760</v>
      </c>
      <c r="H80" s="223" t="s">
        <v>5</v>
      </c>
      <c r="I80" s="223" t="s">
        <v>941</v>
      </c>
    </row>
    <row r="81" spans="1:9" ht="13.5">
      <c r="A81" s="223" t="s">
        <v>79</v>
      </c>
      <c r="B81" s="223" t="s">
        <v>79</v>
      </c>
      <c r="C81" s="223" t="s">
        <v>791</v>
      </c>
      <c r="D81" s="223" t="s">
        <v>940</v>
      </c>
      <c r="E81" s="223" t="s">
        <v>762</v>
      </c>
      <c r="F81" s="223" t="s">
        <v>942</v>
      </c>
      <c r="H81" s="223" t="s">
        <v>5</v>
      </c>
      <c r="I81" s="223" t="s">
        <v>943</v>
      </c>
    </row>
    <row r="82" spans="1:9" ht="13.5">
      <c r="A82" s="223" t="s">
        <v>79</v>
      </c>
      <c r="B82" s="223" t="s">
        <v>79</v>
      </c>
      <c r="C82" s="223" t="s">
        <v>798</v>
      </c>
      <c r="D82" s="223" t="s">
        <v>925</v>
      </c>
      <c r="E82" s="223" t="s">
        <v>759</v>
      </c>
      <c r="F82" s="223" t="s">
        <v>760</v>
      </c>
      <c r="H82" s="223" t="s">
        <v>5</v>
      </c>
      <c r="I82" s="223" t="s">
        <v>944</v>
      </c>
    </row>
    <row r="83" spans="1:9" ht="13.5">
      <c r="A83" s="223" t="s">
        <v>79</v>
      </c>
      <c r="B83" s="223" t="s">
        <v>79</v>
      </c>
      <c r="C83" s="223" t="s">
        <v>798</v>
      </c>
      <c r="D83" s="223" t="s">
        <v>925</v>
      </c>
      <c r="E83" s="223" t="s">
        <v>762</v>
      </c>
      <c r="F83" s="223" t="s">
        <v>945</v>
      </c>
      <c r="H83" s="223" t="s">
        <v>5</v>
      </c>
      <c r="I83" s="223" t="s">
        <v>946</v>
      </c>
    </row>
    <row r="84" spans="1:9" ht="13.5">
      <c r="A84" s="223" t="s">
        <v>79</v>
      </c>
      <c r="B84" s="223" t="s">
        <v>79</v>
      </c>
      <c r="C84" s="223" t="s">
        <v>805</v>
      </c>
      <c r="D84" s="223" t="s">
        <v>947</v>
      </c>
      <c r="E84" s="223" t="s">
        <v>759</v>
      </c>
      <c r="F84" s="223" t="s">
        <v>760</v>
      </c>
      <c r="H84" s="223" t="s">
        <v>5</v>
      </c>
      <c r="I84" s="223" t="s">
        <v>948</v>
      </c>
    </row>
    <row r="85" spans="1:9" ht="13.5">
      <c r="A85" s="223" t="s">
        <v>79</v>
      </c>
      <c r="B85" s="223" t="s">
        <v>79</v>
      </c>
      <c r="C85" s="223" t="s">
        <v>805</v>
      </c>
      <c r="D85" s="223" t="s">
        <v>947</v>
      </c>
      <c r="E85" s="223" t="s">
        <v>762</v>
      </c>
      <c r="F85" s="223" t="s">
        <v>949</v>
      </c>
      <c r="H85" s="223" t="s">
        <v>5</v>
      </c>
      <c r="I85" s="223" t="s">
        <v>950</v>
      </c>
    </row>
    <row r="86" spans="1:9" ht="13.5">
      <c r="A86" s="223" t="s">
        <v>79</v>
      </c>
      <c r="B86" s="223" t="s">
        <v>79</v>
      </c>
      <c r="C86" s="223" t="s">
        <v>812</v>
      </c>
      <c r="D86" s="223" t="s">
        <v>951</v>
      </c>
      <c r="E86" s="223" t="s">
        <v>759</v>
      </c>
      <c r="F86" s="223" t="s">
        <v>760</v>
      </c>
      <c r="H86" s="223" t="s">
        <v>5</v>
      </c>
      <c r="I86" s="223" t="s">
        <v>952</v>
      </c>
    </row>
    <row r="87" spans="1:9" ht="13.5">
      <c r="A87" s="223" t="s">
        <v>79</v>
      </c>
      <c r="B87" s="223" t="s">
        <v>79</v>
      </c>
      <c r="C87" s="223" t="s">
        <v>812</v>
      </c>
      <c r="D87" s="223" t="s">
        <v>951</v>
      </c>
      <c r="E87" s="223" t="s">
        <v>762</v>
      </c>
      <c r="F87" s="223" t="s">
        <v>953</v>
      </c>
      <c r="H87" s="223" t="s">
        <v>5</v>
      </c>
      <c r="I87" s="223" t="s">
        <v>954</v>
      </c>
    </row>
    <row r="88" spans="1:9" ht="13.5">
      <c r="A88" s="223" t="s">
        <v>79</v>
      </c>
      <c r="B88" s="223" t="s">
        <v>79</v>
      </c>
      <c r="C88" s="223" t="s">
        <v>815</v>
      </c>
      <c r="D88" s="223" t="s">
        <v>955</v>
      </c>
      <c r="E88" s="223" t="s">
        <v>759</v>
      </c>
      <c r="F88" s="223" t="s">
        <v>956</v>
      </c>
      <c r="H88" s="223" t="s">
        <v>5</v>
      </c>
      <c r="I88" s="223" t="s">
        <v>957</v>
      </c>
    </row>
    <row r="89" spans="1:9" ht="13.5">
      <c r="A89" s="223" t="s">
        <v>79</v>
      </c>
      <c r="B89" s="223" t="s">
        <v>79</v>
      </c>
      <c r="C89" s="223" t="s">
        <v>815</v>
      </c>
      <c r="D89" s="223" t="s">
        <v>955</v>
      </c>
      <c r="E89" s="223" t="s">
        <v>762</v>
      </c>
      <c r="F89" s="223" t="s">
        <v>760</v>
      </c>
      <c r="H89" s="223" t="s">
        <v>5</v>
      </c>
      <c r="I89" s="223" t="s">
        <v>958</v>
      </c>
    </row>
    <row r="90" spans="1:9" ht="13.5">
      <c r="A90" s="223" t="s">
        <v>79</v>
      </c>
      <c r="B90" s="223" t="s">
        <v>79</v>
      </c>
      <c r="C90" s="223" t="s">
        <v>815</v>
      </c>
      <c r="D90" s="223" t="s">
        <v>955</v>
      </c>
      <c r="E90" s="223" t="s">
        <v>764</v>
      </c>
      <c r="F90" s="223" t="s">
        <v>959</v>
      </c>
      <c r="H90" s="223" t="s">
        <v>5</v>
      </c>
      <c r="I90" s="223" t="s">
        <v>960</v>
      </c>
    </row>
    <row r="91" spans="1:9" ht="13.5">
      <c r="A91" s="223" t="s">
        <v>79</v>
      </c>
      <c r="B91" s="223" t="s">
        <v>79</v>
      </c>
      <c r="C91" s="223" t="s">
        <v>815</v>
      </c>
      <c r="D91" s="223" t="s">
        <v>955</v>
      </c>
      <c r="E91" s="223" t="s">
        <v>766</v>
      </c>
      <c r="F91" s="223" t="s">
        <v>961</v>
      </c>
      <c r="H91" s="223" t="s">
        <v>5</v>
      </c>
      <c r="I91" s="223" t="s">
        <v>962</v>
      </c>
    </row>
    <row r="92" spans="1:9" ht="13.5">
      <c r="A92" s="223" t="s">
        <v>79</v>
      </c>
      <c r="B92" s="223" t="s">
        <v>79</v>
      </c>
      <c r="C92" s="223" t="s">
        <v>818</v>
      </c>
      <c r="D92" s="223" t="s">
        <v>963</v>
      </c>
      <c r="E92" s="223" t="s">
        <v>759</v>
      </c>
      <c r="F92" s="223" t="s">
        <v>760</v>
      </c>
      <c r="H92" s="223" t="s">
        <v>5</v>
      </c>
      <c r="I92" s="223" t="s">
        <v>964</v>
      </c>
    </row>
    <row r="93" spans="1:9" ht="13.5">
      <c r="A93" s="223" t="s">
        <v>79</v>
      </c>
      <c r="B93" s="223" t="s">
        <v>79</v>
      </c>
      <c r="C93" s="223" t="s">
        <v>818</v>
      </c>
      <c r="D93" s="223" t="s">
        <v>963</v>
      </c>
      <c r="E93" s="223" t="s">
        <v>762</v>
      </c>
      <c r="F93" s="223" t="s">
        <v>965</v>
      </c>
      <c r="H93" s="223" t="s">
        <v>5</v>
      </c>
      <c r="I93" s="223" t="s">
        <v>966</v>
      </c>
    </row>
    <row r="94" spans="1:9" ht="13.5">
      <c r="A94" s="223" t="s">
        <v>79</v>
      </c>
      <c r="B94" s="223" t="s">
        <v>79</v>
      </c>
      <c r="C94" s="223" t="s">
        <v>818</v>
      </c>
      <c r="D94" s="223" t="s">
        <v>963</v>
      </c>
      <c r="E94" s="223" t="s">
        <v>764</v>
      </c>
      <c r="F94" s="223" t="s">
        <v>961</v>
      </c>
      <c r="H94" s="223" t="s">
        <v>5</v>
      </c>
      <c r="I94" s="223" t="s">
        <v>967</v>
      </c>
    </row>
    <row r="95" spans="1:9" ht="13.5">
      <c r="A95" s="223" t="s">
        <v>79</v>
      </c>
      <c r="B95" s="223" t="s">
        <v>79</v>
      </c>
      <c r="C95" s="223" t="s">
        <v>822</v>
      </c>
      <c r="D95" s="223" t="s">
        <v>968</v>
      </c>
      <c r="E95" s="223" t="s">
        <v>759</v>
      </c>
      <c r="F95" s="223" t="s">
        <v>760</v>
      </c>
      <c r="H95" s="223" t="s">
        <v>5</v>
      </c>
      <c r="I95" s="223" t="s">
        <v>969</v>
      </c>
    </row>
    <row r="96" spans="1:9" ht="13.5">
      <c r="A96" s="223" t="s">
        <v>79</v>
      </c>
      <c r="B96" s="223" t="s">
        <v>79</v>
      </c>
      <c r="C96" s="223" t="s">
        <v>822</v>
      </c>
      <c r="D96" s="223" t="s">
        <v>968</v>
      </c>
      <c r="E96" s="223" t="s">
        <v>762</v>
      </c>
      <c r="F96" s="223" t="s">
        <v>970</v>
      </c>
      <c r="H96" s="223" t="s">
        <v>5</v>
      </c>
      <c r="I96" s="223" t="s">
        <v>971</v>
      </c>
    </row>
    <row r="97" spans="1:9" ht="13.5">
      <c r="A97" s="223" t="s">
        <v>79</v>
      </c>
      <c r="B97" s="223" t="s">
        <v>79</v>
      </c>
      <c r="C97" s="223" t="s">
        <v>822</v>
      </c>
      <c r="D97" s="223" t="s">
        <v>968</v>
      </c>
      <c r="E97" s="223" t="s">
        <v>764</v>
      </c>
      <c r="F97" s="223" t="s">
        <v>961</v>
      </c>
      <c r="H97" s="223" t="s">
        <v>5</v>
      </c>
      <c r="I97" s="223" t="s">
        <v>972</v>
      </c>
    </row>
    <row r="98" spans="1:9" ht="13.5">
      <c r="A98" s="223" t="s">
        <v>79</v>
      </c>
      <c r="B98" s="223" t="s">
        <v>79</v>
      </c>
      <c r="C98" s="223" t="s">
        <v>825</v>
      </c>
      <c r="D98" s="223" t="s">
        <v>973</v>
      </c>
      <c r="E98" s="223" t="s">
        <v>759</v>
      </c>
      <c r="F98" s="223" t="s">
        <v>974</v>
      </c>
      <c r="H98" s="223" t="s">
        <v>5</v>
      </c>
      <c r="I98" s="223" t="s">
        <v>975</v>
      </c>
    </row>
    <row r="99" spans="1:9" ht="13.5">
      <c r="A99" s="223" t="s">
        <v>79</v>
      </c>
      <c r="B99" s="223" t="s">
        <v>79</v>
      </c>
      <c r="C99" s="223" t="s">
        <v>825</v>
      </c>
      <c r="D99" s="223" t="s">
        <v>973</v>
      </c>
      <c r="E99" s="223" t="s">
        <v>762</v>
      </c>
      <c r="F99" s="223" t="s">
        <v>976</v>
      </c>
      <c r="H99" s="223" t="s">
        <v>5</v>
      </c>
      <c r="I99" s="223" t="s">
        <v>977</v>
      </c>
    </row>
    <row r="100" spans="1:9" ht="13.5">
      <c r="A100" s="223" t="s">
        <v>79</v>
      </c>
      <c r="B100" s="223" t="s">
        <v>79</v>
      </c>
      <c r="C100" s="223" t="s">
        <v>830</v>
      </c>
      <c r="D100" s="223" t="s">
        <v>905</v>
      </c>
      <c r="E100" s="223" t="s">
        <v>759</v>
      </c>
      <c r="F100" s="223" t="s">
        <v>905</v>
      </c>
      <c r="H100" s="223" t="s">
        <v>5</v>
      </c>
      <c r="I100" s="223" t="s">
        <v>978</v>
      </c>
    </row>
    <row r="101" spans="1:9" ht="13.5">
      <c r="A101" s="223" t="s">
        <v>79</v>
      </c>
      <c r="B101" s="223" t="s">
        <v>79</v>
      </c>
      <c r="C101" s="223" t="s">
        <v>933</v>
      </c>
      <c r="D101" s="223" t="s">
        <v>934</v>
      </c>
      <c r="E101" s="223" t="s">
        <v>935</v>
      </c>
      <c r="F101" s="223" t="s">
        <v>934</v>
      </c>
      <c r="H101" s="223" t="s">
        <v>5</v>
      </c>
      <c r="I101" s="223" t="s">
        <v>979</v>
      </c>
    </row>
    <row r="102" spans="1:9" ht="13.5">
      <c r="A102" s="223"/>
      <c r="B102" s="223" t="s">
        <v>980</v>
      </c>
      <c r="C102" s="223"/>
      <c r="D102" s="223"/>
      <c r="E102" s="223"/>
      <c r="F102" s="223" t="s">
        <v>756</v>
      </c>
      <c r="H102" s="223" t="s">
        <v>5</v>
      </c>
      <c r="I102" s="223" t="s">
        <v>981</v>
      </c>
    </row>
    <row r="103" spans="1:9" ht="13.5">
      <c r="A103" s="223" t="s">
        <v>83</v>
      </c>
      <c r="B103" s="223" t="s">
        <v>980</v>
      </c>
      <c r="C103" s="223" t="s">
        <v>757</v>
      </c>
      <c r="D103" s="223" t="s">
        <v>982</v>
      </c>
      <c r="E103" s="223" t="s">
        <v>759</v>
      </c>
      <c r="F103" s="223" t="s">
        <v>983</v>
      </c>
      <c r="H103" s="223" t="s">
        <v>5</v>
      </c>
      <c r="I103" s="223" t="s">
        <v>725</v>
      </c>
    </row>
    <row r="104" spans="1:9" ht="13.5">
      <c r="A104" s="223" t="s">
        <v>83</v>
      </c>
      <c r="B104" s="223" t="s">
        <v>980</v>
      </c>
      <c r="C104" s="223" t="s">
        <v>757</v>
      </c>
      <c r="D104" s="223" t="s">
        <v>982</v>
      </c>
      <c r="E104" s="223" t="s">
        <v>762</v>
      </c>
      <c r="F104" s="223" t="s">
        <v>984</v>
      </c>
      <c r="H104" s="223" t="s">
        <v>5</v>
      </c>
      <c r="I104" s="223" t="s">
        <v>985</v>
      </c>
    </row>
    <row r="105" spans="1:9" ht="13.5">
      <c r="A105" s="223" t="s">
        <v>83</v>
      </c>
      <c r="B105" s="223" t="s">
        <v>980</v>
      </c>
      <c r="C105" s="223" t="s">
        <v>757</v>
      </c>
      <c r="D105" s="223" t="s">
        <v>982</v>
      </c>
      <c r="E105" s="223" t="s">
        <v>764</v>
      </c>
      <c r="F105" s="223" t="s">
        <v>986</v>
      </c>
      <c r="H105" s="223" t="s">
        <v>5</v>
      </c>
      <c r="I105" s="223" t="s">
        <v>987</v>
      </c>
    </row>
    <row r="106" spans="1:9" ht="13.5">
      <c r="A106" s="223" t="s">
        <v>83</v>
      </c>
      <c r="B106" s="223" t="s">
        <v>980</v>
      </c>
      <c r="C106" s="223" t="s">
        <v>757</v>
      </c>
      <c r="D106" s="223" t="s">
        <v>982</v>
      </c>
      <c r="E106" s="223" t="s">
        <v>766</v>
      </c>
      <c r="F106" s="223" t="s">
        <v>988</v>
      </c>
      <c r="H106" s="223" t="s">
        <v>5</v>
      </c>
      <c r="I106" s="223" t="s">
        <v>989</v>
      </c>
    </row>
    <row r="107" spans="1:9" ht="13.5">
      <c r="A107" s="223" t="s">
        <v>83</v>
      </c>
      <c r="B107" s="223" t="s">
        <v>980</v>
      </c>
      <c r="C107" s="223" t="s">
        <v>757</v>
      </c>
      <c r="D107" s="223" t="s">
        <v>982</v>
      </c>
      <c r="E107" s="223" t="s">
        <v>768</v>
      </c>
      <c r="F107" s="223" t="s">
        <v>990</v>
      </c>
      <c r="H107" s="223" t="s">
        <v>5</v>
      </c>
      <c r="I107" s="223" t="s">
        <v>991</v>
      </c>
    </row>
    <row r="108" spans="1:9" ht="13.5">
      <c r="A108" s="223" t="s">
        <v>83</v>
      </c>
      <c r="B108" s="223" t="s">
        <v>980</v>
      </c>
      <c r="C108" s="223" t="s">
        <v>757</v>
      </c>
      <c r="D108" s="223" t="s">
        <v>982</v>
      </c>
      <c r="E108" s="223" t="s">
        <v>771</v>
      </c>
      <c r="F108" s="223" t="s">
        <v>992</v>
      </c>
      <c r="H108" s="223" t="s">
        <v>5</v>
      </c>
      <c r="I108" s="223" t="s">
        <v>993</v>
      </c>
    </row>
    <row r="109" spans="1:9" ht="13.5">
      <c r="A109" s="223" t="s">
        <v>83</v>
      </c>
      <c r="B109" s="223" t="s">
        <v>980</v>
      </c>
      <c r="C109" s="223" t="s">
        <v>757</v>
      </c>
      <c r="D109" s="223" t="s">
        <v>982</v>
      </c>
      <c r="E109" s="223" t="s">
        <v>773</v>
      </c>
      <c r="F109" s="223" t="s">
        <v>994</v>
      </c>
      <c r="H109" s="223" t="s">
        <v>5</v>
      </c>
      <c r="I109" s="223" t="s">
        <v>995</v>
      </c>
    </row>
    <row r="110" spans="1:9" ht="13.5">
      <c r="A110" s="223" t="s">
        <v>83</v>
      </c>
      <c r="B110" s="223" t="s">
        <v>980</v>
      </c>
      <c r="C110" s="223" t="s">
        <v>757</v>
      </c>
      <c r="D110" s="223" t="s">
        <v>982</v>
      </c>
      <c r="E110" s="223" t="s">
        <v>776</v>
      </c>
      <c r="F110" s="223" t="s">
        <v>996</v>
      </c>
      <c r="H110" s="223" t="s">
        <v>5</v>
      </c>
      <c r="I110" s="223" t="s">
        <v>997</v>
      </c>
    </row>
    <row r="111" spans="1:9" ht="13.5">
      <c r="A111" s="223" t="s">
        <v>83</v>
      </c>
      <c r="B111" s="223" t="s">
        <v>980</v>
      </c>
      <c r="C111" s="223" t="s">
        <v>757</v>
      </c>
      <c r="D111" s="223" t="s">
        <v>982</v>
      </c>
      <c r="E111" s="223" t="s">
        <v>778</v>
      </c>
      <c r="F111" s="223" t="s">
        <v>911</v>
      </c>
      <c r="H111" s="223" t="s">
        <v>5</v>
      </c>
      <c r="I111" s="223" t="s">
        <v>998</v>
      </c>
    </row>
    <row r="112" spans="1:9" ht="13.5">
      <c r="A112" s="223" t="s">
        <v>83</v>
      </c>
      <c r="B112" s="223" t="s">
        <v>980</v>
      </c>
      <c r="C112" s="223" t="s">
        <v>757</v>
      </c>
      <c r="D112" s="223" t="s">
        <v>982</v>
      </c>
      <c r="E112" s="223" t="s">
        <v>781</v>
      </c>
      <c r="F112" s="223" t="s">
        <v>905</v>
      </c>
      <c r="H112" s="223" t="s">
        <v>5</v>
      </c>
      <c r="I112" s="223" t="s">
        <v>999</v>
      </c>
    </row>
    <row r="113" spans="1:9" ht="13.5">
      <c r="A113" s="223" t="s">
        <v>83</v>
      </c>
      <c r="B113" s="223" t="s">
        <v>980</v>
      </c>
      <c r="C113" s="223" t="s">
        <v>757</v>
      </c>
      <c r="D113" s="223" t="s">
        <v>982</v>
      </c>
      <c r="E113" s="223" t="s">
        <v>1000</v>
      </c>
      <c r="F113" s="223" t="s">
        <v>1001</v>
      </c>
      <c r="H113" s="223" t="s">
        <v>5</v>
      </c>
      <c r="I113" s="223" t="s">
        <v>1002</v>
      </c>
    </row>
    <row r="114" spans="1:9" ht="13.5">
      <c r="A114" s="223" t="s">
        <v>83</v>
      </c>
      <c r="B114" s="223" t="s">
        <v>980</v>
      </c>
      <c r="C114" s="223" t="s">
        <v>757</v>
      </c>
      <c r="D114" s="223" t="s">
        <v>982</v>
      </c>
      <c r="E114" s="223" t="s">
        <v>1003</v>
      </c>
      <c r="F114" s="223" t="s">
        <v>1004</v>
      </c>
      <c r="H114" s="223" t="s">
        <v>5</v>
      </c>
      <c r="I114" s="223" t="s">
        <v>1005</v>
      </c>
    </row>
    <row r="115" spans="1:9" ht="13.5">
      <c r="A115" s="223" t="s">
        <v>83</v>
      </c>
      <c r="B115" s="223" t="s">
        <v>980</v>
      </c>
      <c r="C115" s="223" t="s">
        <v>757</v>
      </c>
      <c r="D115" s="223" t="s">
        <v>982</v>
      </c>
      <c r="E115" s="223" t="s">
        <v>1006</v>
      </c>
      <c r="F115" s="223" t="s">
        <v>1007</v>
      </c>
      <c r="H115" s="223" t="s">
        <v>5</v>
      </c>
      <c r="I115" s="223" t="s">
        <v>1008</v>
      </c>
    </row>
    <row r="116" spans="1:9" ht="13.5">
      <c r="A116" s="223" t="s">
        <v>83</v>
      </c>
      <c r="B116" s="223" t="s">
        <v>980</v>
      </c>
      <c r="C116" s="223" t="s">
        <v>757</v>
      </c>
      <c r="D116" s="223" t="s">
        <v>982</v>
      </c>
      <c r="E116" s="223" t="s">
        <v>1009</v>
      </c>
      <c r="F116" s="223" t="s">
        <v>894</v>
      </c>
      <c r="H116" s="223" t="s">
        <v>5</v>
      </c>
      <c r="I116" s="223" t="s">
        <v>1010</v>
      </c>
    </row>
    <row r="117" spans="1:9" ht="13.5">
      <c r="A117" s="223" t="s">
        <v>83</v>
      </c>
      <c r="B117" s="223" t="s">
        <v>980</v>
      </c>
      <c r="C117" s="223" t="s">
        <v>784</v>
      </c>
      <c r="D117" s="223" t="s">
        <v>1011</v>
      </c>
      <c r="E117" s="223" t="s">
        <v>759</v>
      </c>
      <c r="F117" s="223" t="s">
        <v>1012</v>
      </c>
      <c r="H117" s="223" t="s">
        <v>5</v>
      </c>
      <c r="I117" s="223" t="s">
        <v>1013</v>
      </c>
    </row>
    <row r="118" spans="1:9" ht="13.5">
      <c r="A118" s="223" t="s">
        <v>83</v>
      </c>
      <c r="B118" s="223" t="s">
        <v>980</v>
      </c>
      <c r="C118" s="223" t="s">
        <v>784</v>
      </c>
      <c r="D118" s="223" t="s">
        <v>1011</v>
      </c>
      <c r="E118" s="223" t="s">
        <v>762</v>
      </c>
      <c r="F118" s="223" t="s">
        <v>1014</v>
      </c>
      <c r="H118" s="223" t="s">
        <v>5</v>
      </c>
      <c r="I118" s="223" t="s">
        <v>1015</v>
      </c>
    </row>
    <row r="119" spans="1:9" ht="13.5">
      <c r="A119" s="223" t="s">
        <v>83</v>
      </c>
      <c r="B119" s="223" t="s">
        <v>980</v>
      </c>
      <c r="C119" s="223" t="s">
        <v>784</v>
      </c>
      <c r="D119" s="223" t="s">
        <v>1011</v>
      </c>
      <c r="E119" s="223" t="s">
        <v>764</v>
      </c>
      <c r="F119" s="223" t="s">
        <v>1016</v>
      </c>
      <c r="H119" s="223" t="s">
        <v>5</v>
      </c>
      <c r="I119" s="223" t="s">
        <v>1017</v>
      </c>
    </row>
    <row r="120" spans="1:9" ht="13.5">
      <c r="A120" s="223" t="s">
        <v>83</v>
      </c>
      <c r="B120" s="223" t="s">
        <v>980</v>
      </c>
      <c r="C120" s="223" t="s">
        <v>784</v>
      </c>
      <c r="D120" s="223" t="s">
        <v>1011</v>
      </c>
      <c r="E120" s="223" t="s">
        <v>766</v>
      </c>
      <c r="F120" s="223" t="s">
        <v>1018</v>
      </c>
      <c r="H120" s="223" t="s">
        <v>5</v>
      </c>
      <c r="I120" s="223" t="s">
        <v>1019</v>
      </c>
    </row>
    <row r="121" spans="1:9" ht="13.5">
      <c r="A121" s="223" t="s">
        <v>83</v>
      </c>
      <c r="B121" s="223" t="s">
        <v>980</v>
      </c>
      <c r="C121" s="223" t="s">
        <v>791</v>
      </c>
      <c r="D121" s="223" t="s">
        <v>878</v>
      </c>
      <c r="E121" s="223" t="s">
        <v>759</v>
      </c>
      <c r="F121" s="223" t="s">
        <v>878</v>
      </c>
      <c r="H121" s="223" t="s">
        <v>5</v>
      </c>
      <c r="I121" s="223" t="s">
        <v>1020</v>
      </c>
    </row>
    <row r="122" spans="1:9" ht="13.5">
      <c r="A122" s="223" t="s">
        <v>83</v>
      </c>
      <c r="B122" s="223" t="s">
        <v>980</v>
      </c>
      <c r="C122" s="223" t="s">
        <v>933</v>
      </c>
      <c r="D122" s="223" t="s">
        <v>934</v>
      </c>
      <c r="E122" s="223" t="s">
        <v>935</v>
      </c>
      <c r="F122" s="223" t="s">
        <v>934</v>
      </c>
      <c r="H122" s="223" t="s">
        <v>5</v>
      </c>
      <c r="I122" s="223" t="s">
        <v>1021</v>
      </c>
    </row>
    <row r="123" spans="1:9" ht="13.5">
      <c r="H123" s="223" t="s">
        <v>5</v>
      </c>
      <c r="I123" s="223" t="s">
        <v>1022</v>
      </c>
    </row>
    <row r="124" spans="1:9" ht="13.5">
      <c r="H124" s="223" t="s">
        <v>5</v>
      </c>
      <c r="I124" s="223" t="s">
        <v>1023</v>
      </c>
    </row>
    <row r="125" spans="1:9" ht="13.5">
      <c r="H125" s="223" t="s">
        <v>5</v>
      </c>
      <c r="I125" s="223" t="s">
        <v>1024</v>
      </c>
    </row>
    <row r="126" spans="1:9" ht="13.5">
      <c r="H126" s="223" t="s">
        <v>5</v>
      </c>
      <c r="I126" s="223" t="s">
        <v>1025</v>
      </c>
    </row>
    <row r="127" spans="1:9" ht="13.5">
      <c r="H127" s="223" t="s">
        <v>5</v>
      </c>
      <c r="I127" s="223" t="s">
        <v>728</v>
      </c>
    </row>
    <row r="128" spans="1:9" ht="13.5">
      <c r="H128" s="223" t="s">
        <v>5</v>
      </c>
      <c r="I128" s="223" t="s">
        <v>1026</v>
      </c>
    </row>
    <row r="129" spans="8:9" ht="13.5">
      <c r="H129" s="223" t="s">
        <v>5</v>
      </c>
      <c r="I129" s="223" t="s">
        <v>1027</v>
      </c>
    </row>
    <row r="130" spans="8:9" ht="13.5">
      <c r="H130" s="223" t="s">
        <v>5</v>
      </c>
      <c r="I130" s="223" t="s">
        <v>1028</v>
      </c>
    </row>
    <row r="131" spans="8:9" ht="13.5">
      <c r="H131" s="223" t="s">
        <v>5</v>
      </c>
      <c r="I131" s="223" t="s">
        <v>1029</v>
      </c>
    </row>
    <row r="132" spans="8:9" ht="13.5">
      <c r="H132" s="223" t="s">
        <v>5</v>
      </c>
      <c r="I132" s="223" t="s">
        <v>1030</v>
      </c>
    </row>
    <row r="133" spans="8:9" ht="13.5">
      <c r="H133" s="223" t="s">
        <v>5</v>
      </c>
      <c r="I133" s="223" t="s">
        <v>1031</v>
      </c>
    </row>
    <row r="134" spans="8:9" ht="13.5">
      <c r="H134" s="223" t="s">
        <v>5</v>
      </c>
      <c r="I134" s="223" t="s">
        <v>1032</v>
      </c>
    </row>
    <row r="135" spans="8:9" ht="13.5">
      <c r="H135" s="223" t="s">
        <v>5</v>
      </c>
      <c r="I135" s="223" t="s">
        <v>1033</v>
      </c>
    </row>
    <row r="136" spans="8:9" ht="13.5">
      <c r="H136" s="223" t="s">
        <v>5</v>
      </c>
      <c r="I136" s="223" t="s">
        <v>1034</v>
      </c>
    </row>
    <row r="137" spans="8:9" ht="13.5">
      <c r="H137" s="223" t="s">
        <v>5</v>
      </c>
      <c r="I137" s="223" t="s">
        <v>1035</v>
      </c>
    </row>
    <row r="138" spans="8:9" ht="13.5">
      <c r="H138" s="223" t="s">
        <v>5</v>
      </c>
      <c r="I138" s="223" t="s">
        <v>1036</v>
      </c>
    </row>
    <row r="139" spans="8:9" ht="13.5">
      <c r="H139" s="223" t="s">
        <v>5</v>
      </c>
      <c r="I139" s="223" t="s">
        <v>1037</v>
      </c>
    </row>
    <row r="140" spans="8:9" ht="13.5">
      <c r="H140" s="223" t="s">
        <v>5</v>
      </c>
      <c r="I140" s="223" t="s">
        <v>1038</v>
      </c>
    </row>
    <row r="141" spans="8:9" ht="13.5">
      <c r="H141" s="223" t="s">
        <v>5</v>
      </c>
      <c r="I141" s="223" t="s">
        <v>1039</v>
      </c>
    </row>
    <row r="142" spans="8:9" ht="13.5">
      <c r="H142" s="223" t="s">
        <v>5</v>
      </c>
      <c r="I142" s="223" t="s">
        <v>1040</v>
      </c>
    </row>
    <row r="143" spans="8:9" ht="13.5">
      <c r="H143" s="223" t="s">
        <v>5</v>
      </c>
      <c r="I143" s="223" t="s">
        <v>1041</v>
      </c>
    </row>
    <row r="144" spans="8:9" ht="13.5">
      <c r="H144" s="223" t="s">
        <v>5</v>
      </c>
      <c r="I144" s="223" t="s">
        <v>1042</v>
      </c>
    </row>
    <row r="145" spans="8:9" ht="13.5">
      <c r="H145" s="223" t="s">
        <v>5</v>
      </c>
      <c r="I145" s="223" t="s">
        <v>1043</v>
      </c>
    </row>
    <row r="146" spans="8:9" ht="13.5">
      <c r="H146" s="223" t="s">
        <v>5</v>
      </c>
      <c r="I146" s="223" t="s">
        <v>1044</v>
      </c>
    </row>
    <row r="147" spans="8:9" ht="13.5">
      <c r="H147" s="223" t="s">
        <v>5</v>
      </c>
      <c r="I147" s="223" t="s">
        <v>1045</v>
      </c>
    </row>
    <row r="148" spans="8:9" ht="13.5">
      <c r="H148" s="223" t="s">
        <v>5</v>
      </c>
      <c r="I148" s="223" t="s">
        <v>1046</v>
      </c>
    </row>
    <row r="149" spans="8:9" ht="13.5">
      <c r="H149" s="223" t="s">
        <v>5</v>
      </c>
      <c r="I149" s="223" t="s">
        <v>1047</v>
      </c>
    </row>
    <row r="150" spans="8:9" ht="13.5">
      <c r="H150" s="223" t="s">
        <v>5</v>
      </c>
      <c r="I150" s="223" t="s">
        <v>1048</v>
      </c>
    </row>
    <row r="151" spans="8:9" ht="13.5">
      <c r="H151" s="223" t="s">
        <v>5</v>
      </c>
      <c r="I151" s="223" t="s">
        <v>1049</v>
      </c>
    </row>
    <row r="152" spans="8:9" ht="13.5">
      <c r="H152" s="223" t="s">
        <v>5</v>
      </c>
      <c r="I152" s="223" t="s">
        <v>1050</v>
      </c>
    </row>
    <row r="153" spans="8:9" ht="13.5">
      <c r="H153" s="223" t="s">
        <v>5</v>
      </c>
      <c r="I153" s="223" t="s">
        <v>1051</v>
      </c>
    </row>
    <row r="154" spans="8:9" ht="13.5">
      <c r="H154" s="223" t="s">
        <v>5</v>
      </c>
      <c r="I154" s="223" t="s">
        <v>1052</v>
      </c>
    </row>
    <row r="155" spans="8:9" ht="13.5">
      <c r="H155" s="223" t="s">
        <v>5</v>
      </c>
      <c r="I155" s="223" t="s">
        <v>1053</v>
      </c>
    </row>
    <row r="156" spans="8:9" ht="13.5">
      <c r="H156" s="223" t="s">
        <v>5</v>
      </c>
      <c r="I156" s="223" t="s">
        <v>1054</v>
      </c>
    </row>
    <row r="157" spans="8:9" ht="13.5">
      <c r="H157" s="223" t="s">
        <v>5</v>
      </c>
      <c r="I157" s="223" t="s">
        <v>1055</v>
      </c>
    </row>
    <row r="158" spans="8:9" ht="13.5">
      <c r="H158" s="223" t="s">
        <v>5</v>
      </c>
      <c r="I158" s="223" t="s">
        <v>1056</v>
      </c>
    </row>
    <row r="159" spans="8:9" ht="13.5">
      <c r="H159" s="223" t="s">
        <v>5</v>
      </c>
      <c r="I159" s="223" t="s">
        <v>1057</v>
      </c>
    </row>
    <row r="160" spans="8:9" ht="13.5">
      <c r="H160" s="223" t="s">
        <v>5</v>
      </c>
      <c r="I160" s="223" t="s">
        <v>1058</v>
      </c>
    </row>
    <row r="161" spans="8:9" ht="13.5">
      <c r="H161" s="223" t="s">
        <v>5</v>
      </c>
      <c r="I161" s="223" t="s">
        <v>1059</v>
      </c>
    </row>
    <row r="162" spans="8:9" ht="13.5">
      <c r="H162" s="223" t="s">
        <v>5</v>
      </c>
      <c r="I162" s="223" t="s">
        <v>1060</v>
      </c>
    </row>
    <row r="163" spans="8:9" ht="13.5">
      <c r="H163" s="223" t="s">
        <v>5</v>
      </c>
      <c r="I163" s="223" t="s">
        <v>1061</v>
      </c>
    </row>
    <row r="164" spans="8:9" ht="13.5">
      <c r="H164" s="223" t="s">
        <v>5</v>
      </c>
      <c r="I164" s="223" t="s">
        <v>1062</v>
      </c>
    </row>
    <row r="165" spans="8:9" ht="13.5">
      <c r="H165" s="223" t="s">
        <v>5</v>
      </c>
      <c r="I165" s="223" t="s">
        <v>1063</v>
      </c>
    </row>
    <row r="166" spans="8:9" ht="13.5">
      <c r="H166" s="223" t="s">
        <v>5</v>
      </c>
      <c r="I166" s="223" t="s">
        <v>1064</v>
      </c>
    </row>
    <row r="167" spans="8:9" ht="13.5">
      <c r="H167" s="223" t="s">
        <v>5</v>
      </c>
      <c r="I167" s="223" t="s">
        <v>1065</v>
      </c>
    </row>
    <row r="168" spans="8:9" ht="13.5">
      <c r="H168" s="223" t="s">
        <v>5</v>
      </c>
      <c r="I168" s="223" t="s">
        <v>1066</v>
      </c>
    </row>
    <row r="169" spans="8:9" ht="13.5">
      <c r="H169" s="223" t="s">
        <v>5</v>
      </c>
      <c r="I169" s="223" t="s">
        <v>1067</v>
      </c>
    </row>
    <row r="170" spans="8:9" ht="13.5">
      <c r="H170" s="223" t="s">
        <v>5</v>
      </c>
      <c r="I170" s="223" t="s">
        <v>1068</v>
      </c>
    </row>
    <row r="171" spans="8:9" ht="13.5">
      <c r="H171" s="223" t="s">
        <v>5</v>
      </c>
      <c r="I171" s="223" t="s">
        <v>1069</v>
      </c>
    </row>
    <row r="172" spans="8:9" ht="13.5">
      <c r="H172" s="223" t="s">
        <v>5</v>
      </c>
      <c r="I172" s="223" t="s">
        <v>1070</v>
      </c>
    </row>
    <row r="173" spans="8:9" ht="13.5">
      <c r="H173" s="223" t="s">
        <v>5</v>
      </c>
      <c r="I173" s="223" t="s">
        <v>1071</v>
      </c>
    </row>
    <row r="174" spans="8:9" ht="13.5">
      <c r="H174" s="223" t="s">
        <v>5</v>
      </c>
      <c r="I174" s="223" t="s">
        <v>1072</v>
      </c>
    </row>
    <row r="175" spans="8:9" ht="13.5">
      <c r="H175" s="223" t="s">
        <v>5</v>
      </c>
      <c r="I175" s="223" t="s">
        <v>1073</v>
      </c>
    </row>
    <row r="176" spans="8:9" ht="13.5">
      <c r="H176" s="223" t="s">
        <v>5</v>
      </c>
      <c r="I176" s="223" t="s">
        <v>1074</v>
      </c>
    </row>
    <row r="177" spans="8:9" ht="13.5">
      <c r="H177" s="223" t="s">
        <v>5</v>
      </c>
      <c r="I177" s="223" t="s">
        <v>1075</v>
      </c>
    </row>
    <row r="178" spans="8:9" ht="13.5">
      <c r="H178" s="223" t="s">
        <v>5</v>
      </c>
      <c r="I178" s="223" t="s">
        <v>1076</v>
      </c>
    </row>
    <row r="179" spans="8:9" ht="13.5">
      <c r="H179" s="223" t="s">
        <v>5</v>
      </c>
      <c r="I179" s="223" t="s">
        <v>1077</v>
      </c>
    </row>
    <row r="180" spans="8:9" ht="13.5">
      <c r="H180" s="223" t="s">
        <v>5</v>
      </c>
      <c r="I180" s="223" t="s">
        <v>1078</v>
      </c>
    </row>
    <row r="181" spans="8:9" ht="13.5">
      <c r="H181" s="223" t="s">
        <v>5</v>
      </c>
      <c r="I181" s="223" t="s">
        <v>1079</v>
      </c>
    </row>
    <row r="182" spans="8:9" ht="13.5">
      <c r="H182" s="223" t="s">
        <v>5</v>
      </c>
      <c r="I182" s="223" t="s">
        <v>1080</v>
      </c>
    </row>
    <row r="183" spans="8:9" ht="13.5">
      <c r="H183" s="223" t="s">
        <v>5</v>
      </c>
      <c r="I183" s="223" t="s">
        <v>1081</v>
      </c>
    </row>
    <row r="184" spans="8:9" ht="13.5">
      <c r="H184" s="223" t="s">
        <v>5</v>
      </c>
      <c r="I184" s="223" t="s">
        <v>1082</v>
      </c>
    </row>
    <row r="185" spans="8:9" ht="13.5">
      <c r="H185" s="223" t="s">
        <v>5</v>
      </c>
      <c r="I185" s="223" t="s">
        <v>1083</v>
      </c>
    </row>
    <row r="186" spans="8:9" ht="13.5">
      <c r="H186" s="223" t="s">
        <v>5</v>
      </c>
      <c r="I186" s="223" t="s">
        <v>1084</v>
      </c>
    </row>
    <row r="187" spans="8:9" ht="13.5">
      <c r="H187" s="223" t="s">
        <v>5</v>
      </c>
      <c r="I187" s="223" t="s">
        <v>1085</v>
      </c>
    </row>
    <row r="188" spans="8:9" ht="13.5">
      <c r="H188" s="223" t="s">
        <v>5</v>
      </c>
      <c r="I188" s="223" t="s">
        <v>1086</v>
      </c>
    </row>
    <row r="189" spans="8:9" ht="13.5">
      <c r="H189" s="223" t="s">
        <v>5</v>
      </c>
      <c r="I189" s="223" t="s">
        <v>1087</v>
      </c>
    </row>
    <row r="190" spans="8:9" ht="13.5">
      <c r="H190" s="223" t="s">
        <v>5</v>
      </c>
      <c r="I190" s="223" t="s">
        <v>1088</v>
      </c>
    </row>
    <row r="191" spans="8:9" ht="13.5">
      <c r="H191" s="223" t="s">
        <v>5</v>
      </c>
      <c r="I191" s="223" t="s">
        <v>1089</v>
      </c>
    </row>
    <row r="192" spans="8:9" ht="13.5">
      <c r="H192" s="223" t="s">
        <v>5</v>
      </c>
      <c r="I192" s="223" t="s">
        <v>1090</v>
      </c>
    </row>
    <row r="193" spans="8:9" ht="13.5">
      <c r="H193" s="223" t="s">
        <v>5</v>
      </c>
      <c r="I193" s="223" t="s">
        <v>1091</v>
      </c>
    </row>
    <row r="194" spans="8:9" ht="13.5">
      <c r="H194" s="223" t="s">
        <v>5</v>
      </c>
      <c r="I194" s="223" t="s">
        <v>1092</v>
      </c>
    </row>
    <row r="195" spans="8:9" ht="13.5">
      <c r="H195" s="223" t="s">
        <v>5</v>
      </c>
      <c r="I195" s="223" t="s">
        <v>1093</v>
      </c>
    </row>
    <row r="196" spans="8:9" ht="13.5">
      <c r="H196" s="223" t="s">
        <v>5</v>
      </c>
      <c r="I196" s="223" t="s">
        <v>1094</v>
      </c>
    </row>
    <row r="197" spans="8:9" ht="13.5">
      <c r="H197" s="223" t="s">
        <v>5</v>
      </c>
      <c r="I197" s="223" t="s">
        <v>1095</v>
      </c>
    </row>
    <row r="198" spans="8:9" ht="13.5">
      <c r="H198" s="223" t="s">
        <v>5</v>
      </c>
      <c r="I198" s="223" t="s">
        <v>1096</v>
      </c>
    </row>
    <row r="199" spans="8:9" ht="13.5">
      <c r="H199" s="223" t="s">
        <v>5</v>
      </c>
      <c r="I199" s="223" t="s">
        <v>1097</v>
      </c>
    </row>
    <row r="200" spans="8:9" ht="13.5">
      <c r="H200" s="223" t="s">
        <v>5</v>
      </c>
      <c r="I200" s="223" t="s">
        <v>1098</v>
      </c>
    </row>
    <row r="201" spans="8:9" ht="13.5">
      <c r="H201" s="223" t="s">
        <v>5</v>
      </c>
      <c r="I201" s="223" t="s">
        <v>1099</v>
      </c>
    </row>
    <row r="202" spans="8:9" ht="13.5">
      <c r="H202" s="223" t="s">
        <v>5</v>
      </c>
      <c r="I202" s="223" t="s">
        <v>1100</v>
      </c>
    </row>
    <row r="203" spans="8:9" ht="13.5">
      <c r="H203" s="223" t="s">
        <v>5</v>
      </c>
      <c r="I203" s="223" t="s">
        <v>1101</v>
      </c>
    </row>
    <row r="204" spans="8:9" ht="13.5">
      <c r="H204" s="223" t="s">
        <v>5</v>
      </c>
      <c r="I204" s="223" t="s">
        <v>1102</v>
      </c>
    </row>
    <row r="205" spans="8:9" ht="13.5">
      <c r="H205" s="223" t="s">
        <v>5</v>
      </c>
      <c r="I205" s="223" t="s">
        <v>1103</v>
      </c>
    </row>
    <row r="206" spans="8:9" ht="13.5">
      <c r="H206" s="223" t="s">
        <v>5</v>
      </c>
      <c r="I206" s="223" t="s">
        <v>1104</v>
      </c>
    </row>
    <row r="207" spans="8:9" ht="13.5">
      <c r="H207" s="223" t="s">
        <v>5</v>
      </c>
      <c r="I207" s="223" t="s">
        <v>1105</v>
      </c>
    </row>
    <row r="208" spans="8:9" ht="13.5">
      <c r="H208" s="223" t="s">
        <v>5</v>
      </c>
      <c r="I208" s="223" t="s">
        <v>1106</v>
      </c>
    </row>
    <row r="209" spans="8:9" ht="13.5">
      <c r="H209" s="223" t="s">
        <v>5</v>
      </c>
      <c r="I209" s="223" t="s">
        <v>1107</v>
      </c>
    </row>
    <row r="210" spans="8:9" ht="13.5">
      <c r="H210" s="223" t="s">
        <v>5</v>
      </c>
      <c r="I210" s="223" t="s">
        <v>1108</v>
      </c>
    </row>
    <row r="211" spans="8:9" ht="13.5">
      <c r="H211" s="223" t="s">
        <v>5</v>
      </c>
      <c r="I211" s="223" t="s">
        <v>1109</v>
      </c>
    </row>
    <row r="212" spans="8:9" ht="13.5">
      <c r="H212" s="223" t="s">
        <v>5</v>
      </c>
      <c r="I212" s="223" t="s">
        <v>1110</v>
      </c>
    </row>
    <row r="213" spans="8:9" ht="13.5">
      <c r="H213" s="223" t="s">
        <v>5</v>
      </c>
      <c r="I213" s="223" t="s">
        <v>1111</v>
      </c>
    </row>
    <row r="214" spans="8:9" ht="13.5">
      <c r="H214" s="223" t="s">
        <v>5</v>
      </c>
      <c r="I214" s="223" t="s">
        <v>1112</v>
      </c>
    </row>
    <row r="215" spans="8:9" ht="13.5">
      <c r="H215" s="223" t="s">
        <v>5</v>
      </c>
      <c r="I215" s="223" t="s">
        <v>1113</v>
      </c>
    </row>
    <row r="216" spans="8:9" ht="13.5">
      <c r="H216" s="223" t="s">
        <v>5</v>
      </c>
      <c r="I216" s="223" t="s">
        <v>1114</v>
      </c>
    </row>
    <row r="217" spans="8:9" ht="13.5">
      <c r="H217" s="223" t="s">
        <v>5</v>
      </c>
      <c r="I217" s="223" t="s">
        <v>1115</v>
      </c>
    </row>
    <row r="218" spans="8:9" ht="13.5">
      <c r="H218" s="223" t="s">
        <v>5</v>
      </c>
      <c r="I218" s="223" t="s">
        <v>1116</v>
      </c>
    </row>
    <row r="219" spans="8:9" ht="13.5">
      <c r="H219" s="223" t="s">
        <v>5</v>
      </c>
      <c r="I219" s="223" t="s">
        <v>1117</v>
      </c>
    </row>
    <row r="220" spans="8:9" ht="13.5">
      <c r="H220" s="223" t="s">
        <v>5</v>
      </c>
      <c r="I220" s="223" t="s">
        <v>1118</v>
      </c>
    </row>
    <row r="221" spans="8:9" ht="13.5">
      <c r="H221" s="223" t="s">
        <v>5</v>
      </c>
      <c r="I221" s="223" t="s">
        <v>1119</v>
      </c>
    </row>
    <row r="222" spans="8:9" ht="13.5">
      <c r="H222" s="223" t="s">
        <v>5</v>
      </c>
      <c r="I222" s="223" t="s">
        <v>1120</v>
      </c>
    </row>
    <row r="223" spans="8:9" ht="13.5">
      <c r="H223" s="223" t="s">
        <v>5</v>
      </c>
      <c r="I223" s="223" t="s">
        <v>1121</v>
      </c>
    </row>
    <row r="224" spans="8:9" ht="13.5">
      <c r="H224" s="223" t="s">
        <v>5</v>
      </c>
      <c r="I224" s="223" t="s">
        <v>1122</v>
      </c>
    </row>
    <row r="225" spans="8:9" ht="13.5">
      <c r="H225" s="223" t="s">
        <v>5</v>
      </c>
      <c r="I225" s="223" t="s">
        <v>1123</v>
      </c>
    </row>
    <row r="226" spans="8:9" ht="13.5">
      <c r="H226" s="223" t="s">
        <v>5</v>
      </c>
      <c r="I226" s="223" t="s">
        <v>1124</v>
      </c>
    </row>
    <row r="227" spans="8:9" ht="13.5">
      <c r="H227" s="223" t="s">
        <v>5</v>
      </c>
      <c r="I227" s="223" t="s">
        <v>1125</v>
      </c>
    </row>
    <row r="228" spans="8:9" ht="13.5">
      <c r="H228" s="223" t="s">
        <v>5</v>
      </c>
      <c r="I228" s="223" t="s">
        <v>1126</v>
      </c>
    </row>
    <row r="229" spans="8:9" ht="13.5">
      <c r="H229" s="223" t="s">
        <v>5</v>
      </c>
      <c r="I229" s="223" t="s">
        <v>1127</v>
      </c>
    </row>
    <row r="230" spans="8:9" ht="13.5">
      <c r="H230" s="223" t="s">
        <v>5</v>
      </c>
      <c r="I230" s="223" t="s">
        <v>1128</v>
      </c>
    </row>
    <row r="231" spans="8:9" ht="13.5">
      <c r="H231" s="223" t="s">
        <v>5</v>
      </c>
      <c r="I231" s="223" t="s">
        <v>1129</v>
      </c>
    </row>
    <row r="232" spans="8:9" ht="13.5">
      <c r="H232" s="223" t="s">
        <v>5</v>
      </c>
      <c r="I232" s="223" t="s">
        <v>1130</v>
      </c>
    </row>
    <row r="233" spans="8:9" ht="13.5">
      <c r="H233" s="223" t="s">
        <v>5</v>
      </c>
      <c r="I233" s="223" t="s">
        <v>1131</v>
      </c>
    </row>
    <row r="234" spans="8:9" ht="13.5">
      <c r="H234" s="223" t="s">
        <v>5</v>
      </c>
      <c r="I234" s="223" t="s">
        <v>1132</v>
      </c>
    </row>
    <row r="235" spans="8:9" ht="13.5">
      <c r="H235" s="223" t="s">
        <v>5</v>
      </c>
      <c r="I235" s="223" t="s">
        <v>1133</v>
      </c>
    </row>
    <row r="236" spans="8:9" ht="13.5">
      <c r="H236" s="223" t="s">
        <v>5</v>
      </c>
      <c r="I236" s="223" t="s">
        <v>1134</v>
      </c>
    </row>
    <row r="237" spans="8:9" ht="13.5">
      <c r="H237" s="223" t="s">
        <v>5</v>
      </c>
      <c r="I237" s="223" t="s">
        <v>1135</v>
      </c>
    </row>
    <row r="238" spans="8:9" ht="13.5">
      <c r="H238" s="223" t="s">
        <v>5</v>
      </c>
      <c r="I238" s="223" t="s">
        <v>1136</v>
      </c>
    </row>
    <row r="239" spans="8:9" ht="13.5">
      <c r="H239" s="223" t="s">
        <v>5</v>
      </c>
      <c r="I239" s="223" t="s">
        <v>1137</v>
      </c>
    </row>
    <row r="240" spans="8:9" ht="13.5">
      <c r="H240" s="223" t="s">
        <v>5</v>
      </c>
      <c r="I240" s="223" t="s">
        <v>1138</v>
      </c>
    </row>
    <row r="241" spans="8:9" ht="13.5">
      <c r="H241" s="223" t="s">
        <v>5</v>
      </c>
      <c r="I241" s="223" t="s">
        <v>1139</v>
      </c>
    </row>
    <row r="242" spans="8:9" ht="13.5">
      <c r="H242" s="223" t="s">
        <v>5</v>
      </c>
      <c r="I242" s="223" t="s">
        <v>1140</v>
      </c>
    </row>
    <row r="243" spans="8:9" ht="13.5">
      <c r="H243" s="223" t="s">
        <v>5</v>
      </c>
      <c r="I243" s="223" t="s">
        <v>1141</v>
      </c>
    </row>
    <row r="244" spans="8:9" ht="13.5">
      <c r="H244" s="223" t="s">
        <v>5</v>
      </c>
      <c r="I244" s="223" t="s">
        <v>1142</v>
      </c>
    </row>
    <row r="245" spans="8:9" ht="13.5">
      <c r="H245" s="223" t="s">
        <v>5</v>
      </c>
      <c r="I245" s="223" t="s">
        <v>1143</v>
      </c>
    </row>
    <row r="246" spans="8:9" ht="13.5">
      <c r="H246" s="223" t="s">
        <v>5</v>
      </c>
      <c r="I246" s="223" t="s">
        <v>1144</v>
      </c>
    </row>
    <row r="247" spans="8:9" ht="13.5">
      <c r="H247" s="223" t="s">
        <v>5</v>
      </c>
      <c r="I247" s="223" t="s">
        <v>1145</v>
      </c>
    </row>
    <row r="248" spans="8:9" ht="13.5">
      <c r="H248" s="223" t="s">
        <v>5</v>
      </c>
      <c r="I248" s="223" t="s">
        <v>1146</v>
      </c>
    </row>
    <row r="249" spans="8:9" ht="13.5">
      <c r="H249" s="223" t="s">
        <v>5</v>
      </c>
      <c r="I249" s="223" t="s">
        <v>1147</v>
      </c>
    </row>
    <row r="250" spans="8:9" ht="13.5">
      <c r="H250" s="223" t="s">
        <v>5</v>
      </c>
      <c r="I250" s="223" t="s">
        <v>1148</v>
      </c>
    </row>
    <row r="251" spans="8:9" ht="13.5">
      <c r="H251" s="223" t="s">
        <v>5</v>
      </c>
      <c r="I251" s="223" t="s">
        <v>1149</v>
      </c>
    </row>
    <row r="252" spans="8:9" ht="13.5">
      <c r="H252" s="223" t="s">
        <v>5</v>
      </c>
      <c r="I252" s="223" t="s">
        <v>1150</v>
      </c>
    </row>
    <row r="253" spans="8:9" ht="13.5">
      <c r="H253" s="223" t="s">
        <v>5</v>
      </c>
      <c r="I253" s="223" t="s">
        <v>1151</v>
      </c>
    </row>
    <row r="254" spans="8:9" ht="13.5">
      <c r="H254" s="223" t="s">
        <v>5</v>
      </c>
      <c r="I254" s="223" t="s">
        <v>1152</v>
      </c>
    </row>
    <row r="255" spans="8:9" ht="13.5">
      <c r="H255" s="223" t="s">
        <v>5</v>
      </c>
      <c r="I255" s="223" t="s">
        <v>1153</v>
      </c>
    </row>
    <row r="256" spans="8:9" ht="13.5">
      <c r="H256" s="223" t="s">
        <v>5</v>
      </c>
      <c r="I256" s="223" t="s">
        <v>1154</v>
      </c>
    </row>
    <row r="257" spans="8:9" ht="13.5">
      <c r="H257" s="223" t="s">
        <v>5</v>
      </c>
      <c r="I257" s="223" t="s">
        <v>1155</v>
      </c>
    </row>
    <row r="258" spans="8:9" ht="13.5">
      <c r="H258" s="223" t="s">
        <v>5</v>
      </c>
      <c r="I258" s="223" t="s">
        <v>1156</v>
      </c>
    </row>
    <row r="259" spans="8:9" ht="13.5">
      <c r="H259" s="223" t="s">
        <v>5</v>
      </c>
      <c r="I259" s="223" t="s">
        <v>1157</v>
      </c>
    </row>
    <row r="260" spans="8:9" ht="13.5">
      <c r="H260" s="223" t="s">
        <v>5</v>
      </c>
      <c r="I260" s="223" t="s">
        <v>1158</v>
      </c>
    </row>
    <row r="261" spans="8:9" ht="13.5">
      <c r="H261" s="223" t="s">
        <v>5</v>
      </c>
      <c r="I261" s="223" t="s">
        <v>1159</v>
      </c>
    </row>
    <row r="262" spans="8:9" ht="13.5">
      <c r="H262" s="223" t="s">
        <v>5</v>
      </c>
      <c r="I262" s="223" t="s">
        <v>1160</v>
      </c>
    </row>
    <row r="263" spans="8:9" ht="13.5">
      <c r="H263" s="223" t="s">
        <v>5</v>
      </c>
      <c r="I263" s="223" t="s">
        <v>1161</v>
      </c>
    </row>
    <row r="264" spans="8:9" ht="13.5">
      <c r="H264" s="223" t="s">
        <v>5</v>
      </c>
      <c r="I264" s="223" t="s">
        <v>1162</v>
      </c>
    </row>
    <row r="265" spans="8:9" ht="13.5">
      <c r="H265" s="223" t="s">
        <v>5</v>
      </c>
      <c r="I265" s="223" t="s">
        <v>1163</v>
      </c>
    </row>
    <row r="266" spans="8:9" ht="13.5">
      <c r="H266" s="223" t="s">
        <v>5</v>
      </c>
      <c r="I266" s="223" t="s">
        <v>1164</v>
      </c>
    </row>
    <row r="267" spans="8:9" ht="13.5">
      <c r="H267" s="223" t="s">
        <v>5</v>
      </c>
      <c r="I267" s="223" t="s">
        <v>1165</v>
      </c>
    </row>
    <row r="268" spans="8:9" ht="13.5">
      <c r="H268" s="223" t="s">
        <v>5</v>
      </c>
      <c r="I268" s="223" t="s">
        <v>1166</v>
      </c>
    </row>
    <row r="269" spans="8:9" ht="13.5">
      <c r="H269" s="223" t="s">
        <v>5</v>
      </c>
      <c r="I269" s="223" t="s">
        <v>1167</v>
      </c>
    </row>
    <row r="270" spans="8:9" ht="13.5">
      <c r="H270" s="223" t="s">
        <v>5</v>
      </c>
      <c r="I270" s="223" t="s">
        <v>1168</v>
      </c>
    </row>
    <row r="271" spans="8:9" ht="13.5">
      <c r="H271" s="223" t="s">
        <v>5</v>
      </c>
      <c r="I271" s="223" t="s">
        <v>1169</v>
      </c>
    </row>
    <row r="272" spans="8:9" ht="13.5">
      <c r="H272" s="223" t="s">
        <v>5</v>
      </c>
      <c r="I272" s="223" t="s">
        <v>1170</v>
      </c>
    </row>
    <row r="273" spans="8:9" ht="13.5">
      <c r="H273" s="223" t="s">
        <v>5</v>
      </c>
      <c r="I273" s="223" t="s">
        <v>1171</v>
      </c>
    </row>
    <row r="274" spans="8:9" ht="13.5">
      <c r="H274" s="223" t="s">
        <v>5</v>
      </c>
      <c r="I274" s="223" t="s">
        <v>1172</v>
      </c>
    </row>
    <row r="275" spans="8:9" ht="13.5">
      <c r="H275" s="223" t="s">
        <v>5</v>
      </c>
      <c r="I275" s="223" t="s">
        <v>1173</v>
      </c>
    </row>
    <row r="276" spans="8:9" ht="13.5">
      <c r="H276" s="223" t="s">
        <v>5</v>
      </c>
      <c r="I276" s="223" t="s">
        <v>1174</v>
      </c>
    </row>
    <row r="277" spans="8:9" ht="13.5">
      <c r="H277" s="223" t="s">
        <v>5</v>
      </c>
      <c r="I277" s="223" t="s">
        <v>731</v>
      </c>
    </row>
    <row r="278" spans="8:9" ht="13.5">
      <c r="H278" s="223" t="s">
        <v>5</v>
      </c>
      <c r="I278" s="223" t="s">
        <v>1175</v>
      </c>
    </row>
    <row r="279" spans="8:9" ht="13.5">
      <c r="H279" s="223" t="s">
        <v>5</v>
      </c>
      <c r="I279" s="223" t="s">
        <v>1176</v>
      </c>
    </row>
    <row r="280" spans="8:9" ht="13.5">
      <c r="H280" s="223" t="s">
        <v>5</v>
      </c>
      <c r="I280" s="223" t="s">
        <v>1177</v>
      </c>
    </row>
    <row r="281" spans="8:9" ht="13.5">
      <c r="H281" s="223" t="s">
        <v>5</v>
      </c>
      <c r="I281" s="223" t="s">
        <v>1178</v>
      </c>
    </row>
    <row r="282" spans="8:9" ht="13.5">
      <c r="H282" s="223" t="s">
        <v>5</v>
      </c>
      <c r="I282" s="223" t="s">
        <v>1179</v>
      </c>
    </row>
    <row r="283" spans="8:9" ht="13.5">
      <c r="H283" s="223" t="s">
        <v>5</v>
      </c>
      <c r="I283" s="223" t="s">
        <v>1180</v>
      </c>
    </row>
    <row r="284" spans="8:9" ht="13.5">
      <c r="H284" s="223" t="s">
        <v>5</v>
      </c>
      <c r="I284" s="223" t="s">
        <v>1181</v>
      </c>
    </row>
    <row r="285" spans="8:9" ht="13.5">
      <c r="H285" s="223" t="s">
        <v>5</v>
      </c>
      <c r="I285" s="223" t="s">
        <v>1182</v>
      </c>
    </row>
    <row r="286" spans="8:9" ht="13.5">
      <c r="H286" s="223" t="s">
        <v>5</v>
      </c>
      <c r="I286" s="223" t="s">
        <v>1183</v>
      </c>
    </row>
    <row r="287" spans="8:9" ht="13.5">
      <c r="H287" s="223" t="s">
        <v>5</v>
      </c>
      <c r="I287" s="223" t="s">
        <v>1184</v>
      </c>
    </row>
    <row r="288" spans="8:9" ht="13.5">
      <c r="H288" s="223" t="s">
        <v>5</v>
      </c>
      <c r="I288" s="223" t="s">
        <v>1185</v>
      </c>
    </row>
    <row r="289" spans="8:9" ht="13.5">
      <c r="H289" s="223" t="s">
        <v>5</v>
      </c>
      <c r="I289" s="223" t="s">
        <v>1186</v>
      </c>
    </row>
    <row r="290" spans="8:9" ht="13.5">
      <c r="H290" s="223" t="s">
        <v>5</v>
      </c>
      <c r="I290" s="223" t="s">
        <v>1187</v>
      </c>
    </row>
    <row r="291" spans="8:9" ht="13.5">
      <c r="H291" s="223" t="s">
        <v>5</v>
      </c>
      <c r="I291" s="223" t="s">
        <v>1188</v>
      </c>
    </row>
    <row r="292" spans="8:9" ht="13.5">
      <c r="H292" s="223" t="s">
        <v>5</v>
      </c>
      <c r="I292" s="223" t="s">
        <v>1189</v>
      </c>
    </row>
    <row r="293" spans="8:9" ht="13.5">
      <c r="H293" s="223" t="s">
        <v>5</v>
      </c>
      <c r="I293" s="223" t="s">
        <v>1190</v>
      </c>
    </row>
    <row r="294" spans="8:9" ht="13.5">
      <c r="H294" s="223" t="s">
        <v>5</v>
      </c>
      <c r="I294" s="223" t="s">
        <v>1191</v>
      </c>
    </row>
    <row r="295" spans="8:9" ht="13.5">
      <c r="H295" s="223" t="s">
        <v>5</v>
      </c>
      <c r="I295" s="223" t="s">
        <v>1192</v>
      </c>
    </row>
    <row r="296" spans="8:9" ht="13.5">
      <c r="H296" s="223" t="s">
        <v>5</v>
      </c>
      <c r="I296" s="223" t="s">
        <v>1193</v>
      </c>
    </row>
    <row r="297" spans="8:9" ht="13.5">
      <c r="H297" s="223" t="s">
        <v>5</v>
      </c>
      <c r="I297" s="223" t="s">
        <v>1194</v>
      </c>
    </row>
    <row r="298" spans="8:9" ht="13.5">
      <c r="H298" s="223" t="s">
        <v>5</v>
      </c>
      <c r="I298" s="223" t="s">
        <v>1195</v>
      </c>
    </row>
    <row r="299" spans="8:9" ht="13.5">
      <c r="H299" s="223" t="s">
        <v>5</v>
      </c>
      <c r="I299" s="223" t="s">
        <v>1196</v>
      </c>
    </row>
    <row r="300" spans="8:9" ht="13.5">
      <c r="H300" s="223" t="s">
        <v>5</v>
      </c>
      <c r="I300" s="223" t="s">
        <v>1197</v>
      </c>
    </row>
    <row r="301" spans="8:9" ht="13.5">
      <c r="H301" s="223" t="s">
        <v>5</v>
      </c>
      <c r="I301" s="223" t="s">
        <v>1198</v>
      </c>
    </row>
    <row r="302" spans="8:9" ht="13.5">
      <c r="H302" s="223" t="s">
        <v>5</v>
      </c>
      <c r="I302" s="223" t="s">
        <v>1199</v>
      </c>
    </row>
    <row r="303" spans="8:9" ht="13.5">
      <c r="H303" s="223" t="s">
        <v>5</v>
      </c>
      <c r="I303" s="223" t="s">
        <v>1200</v>
      </c>
    </row>
    <row r="304" spans="8:9" ht="13.5">
      <c r="H304" s="223" t="s">
        <v>5</v>
      </c>
      <c r="I304" s="223" t="s">
        <v>1201</v>
      </c>
    </row>
    <row r="305" spans="8:9" ht="13.5">
      <c r="H305" s="223" t="s">
        <v>5</v>
      </c>
      <c r="I305" s="223" t="s">
        <v>1202</v>
      </c>
    </row>
    <row r="306" spans="8:9" ht="13.5">
      <c r="H306" s="223" t="s">
        <v>5</v>
      </c>
      <c r="I306" s="223" t="s">
        <v>1203</v>
      </c>
    </row>
    <row r="307" spans="8:9" ht="13.5">
      <c r="H307" s="223" t="s">
        <v>5</v>
      </c>
      <c r="I307" s="223" t="s">
        <v>1204</v>
      </c>
    </row>
    <row r="308" spans="8:9" ht="13.5">
      <c r="H308" s="223" t="s">
        <v>5</v>
      </c>
      <c r="I308" s="223" t="s">
        <v>1205</v>
      </c>
    </row>
    <row r="309" spans="8:9" ht="13.5">
      <c r="H309" s="223" t="s">
        <v>5</v>
      </c>
      <c r="I309" s="223" t="s">
        <v>1206</v>
      </c>
    </row>
    <row r="310" spans="8:9" ht="13.5">
      <c r="H310" s="223" t="s">
        <v>5</v>
      </c>
      <c r="I310" s="223" t="s">
        <v>1207</v>
      </c>
    </row>
    <row r="311" spans="8:9" ht="13.5">
      <c r="H311" s="223" t="s">
        <v>5</v>
      </c>
      <c r="I311" s="223" t="s">
        <v>1208</v>
      </c>
    </row>
    <row r="312" spans="8:9" ht="13.5">
      <c r="H312" s="223" t="s">
        <v>5</v>
      </c>
      <c r="I312" s="223" t="s">
        <v>1209</v>
      </c>
    </row>
    <row r="313" spans="8:9" ht="13.5">
      <c r="H313" s="223" t="s">
        <v>5</v>
      </c>
      <c r="I313" s="223" t="s">
        <v>1210</v>
      </c>
    </row>
    <row r="314" spans="8:9" ht="13.5">
      <c r="H314" s="223" t="s">
        <v>5</v>
      </c>
      <c r="I314" s="223" t="s">
        <v>1211</v>
      </c>
    </row>
    <row r="315" spans="8:9" ht="13.5">
      <c r="H315" s="223" t="s">
        <v>5</v>
      </c>
      <c r="I315" s="223" t="s">
        <v>1212</v>
      </c>
    </row>
    <row r="316" spans="8:9" ht="13.5">
      <c r="H316" s="223" t="s">
        <v>5</v>
      </c>
      <c r="I316" s="223" t="s">
        <v>1213</v>
      </c>
    </row>
    <row r="317" spans="8:9" ht="13.5">
      <c r="H317" s="223" t="s">
        <v>5</v>
      </c>
      <c r="I317" s="223" t="s">
        <v>1214</v>
      </c>
    </row>
    <row r="318" spans="8:9" ht="13.5">
      <c r="H318" s="223" t="s">
        <v>5</v>
      </c>
      <c r="I318" s="223" t="s">
        <v>1215</v>
      </c>
    </row>
    <row r="319" spans="8:9" ht="13.5">
      <c r="H319" s="223" t="s">
        <v>5</v>
      </c>
      <c r="I319" s="223" t="s">
        <v>1216</v>
      </c>
    </row>
    <row r="320" spans="8:9" ht="13.5">
      <c r="H320" s="223" t="s">
        <v>5</v>
      </c>
      <c r="I320" s="223" t="s">
        <v>1217</v>
      </c>
    </row>
    <row r="321" spans="8:9" ht="13.5">
      <c r="H321" s="223" t="s">
        <v>5</v>
      </c>
      <c r="I321" s="223" t="s">
        <v>1218</v>
      </c>
    </row>
    <row r="322" spans="8:9" ht="13.5">
      <c r="H322" s="223" t="s">
        <v>5</v>
      </c>
      <c r="I322" s="223" t="s">
        <v>1219</v>
      </c>
    </row>
    <row r="323" spans="8:9" ht="13.5">
      <c r="H323" s="223" t="s">
        <v>5</v>
      </c>
      <c r="I323" s="223" t="s">
        <v>1220</v>
      </c>
    </row>
    <row r="324" spans="8:9" ht="13.5">
      <c r="H324" s="223" t="s">
        <v>5</v>
      </c>
      <c r="I324" s="223" t="s">
        <v>1221</v>
      </c>
    </row>
    <row r="325" spans="8:9" ht="13.5">
      <c r="H325" s="223" t="s">
        <v>5</v>
      </c>
      <c r="I325" s="223" t="s">
        <v>1222</v>
      </c>
    </row>
    <row r="326" spans="8:9" ht="13.5">
      <c r="H326" s="223" t="s">
        <v>5</v>
      </c>
      <c r="I326" s="223" t="s">
        <v>1223</v>
      </c>
    </row>
    <row r="327" spans="8:9" ht="13.5">
      <c r="H327" s="223" t="s">
        <v>5</v>
      </c>
      <c r="I327" s="223" t="s">
        <v>1224</v>
      </c>
    </row>
    <row r="328" spans="8:9" ht="13.5">
      <c r="H328" s="223" t="s">
        <v>5</v>
      </c>
      <c r="I328" s="223" t="s">
        <v>1225</v>
      </c>
    </row>
    <row r="329" spans="8:9" ht="13.5">
      <c r="H329" s="223" t="s">
        <v>5</v>
      </c>
      <c r="I329" s="223" t="s">
        <v>1226</v>
      </c>
    </row>
    <row r="330" spans="8:9" ht="13.5">
      <c r="H330" s="223" t="s">
        <v>5</v>
      </c>
      <c r="I330" s="223" t="s">
        <v>1227</v>
      </c>
    </row>
    <row r="331" spans="8:9" ht="13.5">
      <c r="H331" s="223" t="s">
        <v>5</v>
      </c>
      <c r="I331" s="223" t="s">
        <v>1228</v>
      </c>
    </row>
    <row r="332" spans="8:9" ht="13.5">
      <c r="H332" s="223" t="s">
        <v>5</v>
      </c>
      <c r="I332" s="223" t="s">
        <v>1229</v>
      </c>
    </row>
    <row r="333" spans="8:9" ht="13.5">
      <c r="H333" s="223" t="s">
        <v>5</v>
      </c>
      <c r="I333" s="223" t="s">
        <v>1230</v>
      </c>
    </row>
    <row r="334" spans="8:9" ht="13.5">
      <c r="H334" s="223" t="s">
        <v>5</v>
      </c>
      <c r="I334" s="223" t="s">
        <v>1231</v>
      </c>
    </row>
    <row r="335" spans="8:9" ht="13.5">
      <c r="H335" s="223" t="s">
        <v>5</v>
      </c>
      <c r="I335" s="223" t="s">
        <v>1232</v>
      </c>
    </row>
    <row r="336" spans="8:9" ht="13.5">
      <c r="H336" s="223" t="s">
        <v>5</v>
      </c>
      <c r="I336" s="223" t="s">
        <v>1233</v>
      </c>
    </row>
    <row r="337" spans="8:9" ht="13.5">
      <c r="H337" s="223" t="s">
        <v>5</v>
      </c>
      <c r="I337" s="223" t="s">
        <v>1234</v>
      </c>
    </row>
    <row r="338" spans="8:9" ht="13.5">
      <c r="H338" s="223" t="s">
        <v>5</v>
      </c>
      <c r="I338" s="223" t="s">
        <v>1235</v>
      </c>
    </row>
    <row r="339" spans="8:9" ht="13.5">
      <c r="H339" s="223" t="s">
        <v>5</v>
      </c>
      <c r="I339" s="223" t="s">
        <v>1236</v>
      </c>
    </row>
    <row r="340" spans="8:9" ht="13.5">
      <c r="H340" s="223" t="s">
        <v>5</v>
      </c>
      <c r="I340" s="223" t="s">
        <v>1237</v>
      </c>
    </row>
    <row r="341" spans="8:9" ht="13.5">
      <c r="H341" s="223" t="s">
        <v>5</v>
      </c>
      <c r="I341" s="223" t="s">
        <v>1238</v>
      </c>
    </row>
    <row r="342" spans="8:9" ht="13.5">
      <c r="H342" s="223" t="s">
        <v>5</v>
      </c>
      <c r="I342" s="223" t="s">
        <v>1239</v>
      </c>
    </row>
    <row r="343" spans="8:9" ht="13.5">
      <c r="H343" s="223" t="s">
        <v>5</v>
      </c>
      <c r="I343" s="223" t="s">
        <v>1240</v>
      </c>
    </row>
    <row r="344" spans="8:9" ht="13.5">
      <c r="H344" s="223" t="s">
        <v>5</v>
      </c>
      <c r="I344" s="223" t="s">
        <v>1241</v>
      </c>
    </row>
    <row r="345" spans="8:9" ht="13.5">
      <c r="H345" s="223" t="s">
        <v>5</v>
      </c>
      <c r="I345" s="223" t="s">
        <v>1242</v>
      </c>
    </row>
    <row r="346" spans="8:9" ht="13.5">
      <c r="H346" s="223" t="s">
        <v>5</v>
      </c>
      <c r="I346" s="223" t="s">
        <v>1243</v>
      </c>
    </row>
    <row r="347" spans="8:9" ht="13.5">
      <c r="H347" s="223" t="s">
        <v>5</v>
      </c>
      <c r="I347" s="223" t="s">
        <v>1244</v>
      </c>
    </row>
    <row r="348" spans="8:9" ht="13.5">
      <c r="H348" s="223" t="s">
        <v>5</v>
      </c>
      <c r="I348" s="223" t="s">
        <v>1245</v>
      </c>
    </row>
    <row r="349" spans="8:9" ht="13.5">
      <c r="H349" s="223" t="s">
        <v>5</v>
      </c>
      <c r="I349" s="223" t="s">
        <v>1246</v>
      </c>
    </row>
    <row r="350" spans="8:9" ht="13.5">
      <c r="H350" s="223" t="s">
        <v>5</v>
      </c>
      <c r="I350" s="223" t="s">
        <v>1247</v>
      </c>
    </row>
    <row r="351" spans="8:9" ht="13.5">
      <c r="H351" s="223" t="s">
        <v>5</v>
      </c>
      <c r="I351" s="223" t="s">
        <v>1248</v>
      </c>
    </row>
    <row r="352" spans="8:9" ht="13.5">
      <c r="H352" s="223" t="s">
        <v>5</v>
      </c>
      <c r="I352" s="223" t="s">
        <v>1249</v>
      </c>
    </row>
    <row r="353" spans="8:9" ht="13.5">
      <c r="H353" s="223" t="s">
        <v>5</v>
      </c>
      <c r="I353" s="223" t="s">
        <v>1250</v>
      </c>
    </row>
    <row r="354" spans="8:9" ht="13.5">
      <c r="H354" s="223" t="s">
        <v>5</v>
      </c>
      <c r="I354" s="223" t="s">
        <v>1251</v>
      </c>
    </row>
    <row r="355" spans="8:9" ht="13.5">
      <c r="H355" s="223" t="s">
        <v>5</v>
      </c>
      <c r="I355" s="223" t="s">
        <v>1252</v>
      </c>
    </row>
    <row r="356" spans="8:9" ht="13.5">
      <c r="H356" s="223" t="s">
        <v>5</v>
      </c>
      <c r="I356" s="223" t="s">
        <v>1253</v>
      </c>
    </row>
    <row r="357" spans="8:9" ht="13.5">
      <c r="H357" s="223" t="s">
        <v>5</v>
      </c>
      <c r="I357" s="223" t="s">
        <v>1254</v>
      </c>
    </row>
    <row r="358" spans="8:9" ht="13.5">
      <c r="H358" s="223" t="s">
        <v>5</v>
      </c>
      <c r="I358" s="223" t="s">
        <v>1255</v>
      </c>
    </row>
    <row r="359" spans="8:9" ht="13.5">
      <c r="H359" s="223" t="s">
        <v>5</v>
      </c>
      <c r="I359" s="223" t="s">
        <v>1256</v>
      </c>
    </row>
    <row r="360" spans="8:9" ht="13.5">
      <c r="H360" s="223" t="s">
        <v>5</v>
      </c>
      <c r="I360" s="223" t="s">
        <v>1257</v>
      </c>
    </row>
    <row r="361" spans="8:9" ht="13.5">
      <c r="H361" s="223" t="s">
        <v>5</v>
      </c>
      <c r="I361" s="223" t="s">
        <v>1258</v>
      </c>
    </row>
    <row r="362" spans="8:9" ht="13.5">
      <c r="H362" s="223" t="s">
        <v>5</v>
      </c>
      <c r="I362" s="223" t="s">
        <v>1259</v>
      </c>
    </row>
    <row r="363" spans="8:9" ht="13.5">
      <c r="H363" s="223" t="s">
        <v>5</v>
      </c>
      <c r="I363" s="223" t="s">
        <v>1260</v>
      </c>
    </row>
    <row r="364" spans="8:9" ht="13.5">
      <c r="H364" s="223" t="s">
        <v>5</v>
      </c>
      <c r="I364" s="223" t="s">
        <v>1261</v>
      </c>
    </row>
    <row r="365" spans="8:9" ht="13.5">
      <c r="H365" s="223" t="s">
        <v>5</v>
      </c>
      <c r="I365" s="223" t="s">
        <v>1262</v>
      </c>
    </row>
    <row r="366" spans="8:9" ht="13.5">
      <c r="H366" s="223" t="s">
        <v>5</v>
      </c>
      <c r="I366" s="223" t="s">
        <v>1263</v>
      </c>
    </row>
    <row r="367" spans="8:9" ht="13.5">
      <c r="H367" s="223" t="s">
        <v>5</v>
      </c>
      <c r="I367" s="223" t="s">
        <v>1264</v>
      </c>
    </row>
    <row r="368" spans="8:9" ht="13.5">
      <c r="H368" s="223" t="s">
        <v>5</v>
      </c>
      <c r="I368" s="223" t="s">
        <v>1265</v>
      </c>
    </row>
    <row r="369" spans="8:9" ht="13.5">
      <c r="H369" s="223" t="s">
        <v>5</v>
      </c>
      <c r="I369" s="223" t="s">
        <v>1266</v>
      </c>
    </row>
    <row r="370" spans="8:9" ht="13.5">
      <c r="H370" s="223" t="s">
        <v>5</v>
      </c>
      <c r="I370" s="223" t="s">
        <v>1267</v>
      </c>
    </row>
    <row r="371" spans="8:9" ht="13.5">
      <c r="H371" s="223" t="s">
        <v>5</v>
      </c>
      <c r="I371" s="223" t="s">
        <v>1268</v>
      </c>
    </row>
    <row r="372" spans="8:9" ht="13.5">
      <c r="H372" s="223" t="s">
        <v>5</v>
      </c>
      <c r="I372" s="223" t="s">
        <v>1269</v>
      </c>
    </row>
    <row r="373" spans="8:9" ht="13.5">
      <c r="H373" s="223" t="s">
        <v>5</v>
      </c>
      <c r="I373" s="223" t="s">
        <v>1270</v>
      </c>
    </row>
    <row r="374" spans="8:9" ht="13.5">
      <c r="H374" s="223" t="s">
        <v>5</v>
      </c>
      <c r="I374" s="223" t="s">
        <v>1271</v>
      </c>
    </row>
    <row r="375" spans="8:9" ht="13.5">
      <c r="H375" s="223" t="s">
        <v>5</v>
      </c>
      <c r="I375" s="223" t="s">
        <v>1272</v>
      </c>
    </row>
    <row r="376" spans="8:9" ht="13.5">
      <c r="H376" s="223" t="s">
        <v>5</v>
      </c>
      <c r="I376" s="223" t="s">
        <v>1273</v>
      </c>
    </row>
    <row r="377" spans="8:9" ht="13.5">
      <c r="H377" s="223" t="s">
        <v>5</v>
      </c>
      <c r="I377" s="223" t="s">
        <v>1274</v>
      </c>
    </row>
    <row r="378" spans="8:9" ht="13.5">
      <c r="H378" s="223" t="s">
        <v>5</v>
      </c>
      <c r="I378" s="223" t="s">
        <v>1275</v>
      </c>
    </row>
    <row r="379" spans="8:9" ht="13.5">
      <c r="H379" s="223" t="s">
        <v>5</v>
      </c>
      <c r="I379" s="223" t="s">
        <v>1276</v>
      </c>
    </row>
    <row r="380" spans="8:9" ht="13.5">
      <c r="H380" s="223" t="s">
        <v>5</v>
      </c>
      <c r="I380" s="223" t="s">
        <v>1277</v>
      </c>
    </row>
    <row r="381" spans="8:9" ht="13.5">
      <c r="H381" s="223" t="s">
        <v>5</v>
      </c>
      <c r="I381" s="223" t="s">
        <v>1278</v>
      </c>
    </row>
    <row r="382" spans="8:9" ht="13.5">
      <c r="H382" s="223" t="s">
        <v>5</v>
      </c>
      <c r="I382" s="223" t="s">
        <v>1279</v>
      </c>
    </row>
    <row r="383" spans="8:9" ht="13.5">
      <c r="H383" s="223" t="s">
        <v>5</v>
      </c>
      <c r="I383" s="223" t="s">
        <v>1280</v>
      </c>
    </row>
    <row r="384" spans="8:9" ht="13.5">
      <c r="H384" s="223" t="s">
        <v>5</v>
      </c>
      <c r="I384" s="223" t="s">
        <v>1281</v>
      </c>
    </row>
    <row r="385" spans="8:9" ht="13.5">
      <c r="H385" s="223" t="s">
        <v>5</v>
      </c>
      <c r="I385" s="223" t="s">
        <v>1282</v>
      </c>
    </row>
    <row r="386" spans="8:9" ht="13.5">
      <c r="H386" s="223" t="s">
        <v>5</v>
      </c>
      <c r="I386" s="223" t="s">
        <v>1283</v>
      </c>
    </row>
    <row r="387" spans="8:9" ht="13.5">
      <c r="H387" s="223" t="s">
        <v>5</v>
      </c>
      <c r="I387" s="223" t="s">
        <v>1284</v>
      </c>
    </row>
    <row r="388" spans="8:9" ht="13.5">
      <c r="H388" s="223" t="s">
        <v>5</v>
      </c>
      <c r="I388" s="223" t="s">
        <v>1285</v>
      </c>
    </row>
    <row r="389" spans="8:9" ht="13.5">
      <c r="H389" s="223" t="s">
        <v>5</v>
      </c>
      <c r="I389" s="223" t="s">
        <v>1286</v>
      </c>
    </row>
    <row r="390" spans="8:9" ht="13.5">
      <c r="H390" s="223" t="s">
        <v>5</v>
      </c>
      <c r="I390" s="223" t="s">
        <v>1287</v>
      </c>
    </row>
    <row r="391" spans="8:9" ht="13.5">
      <c r="H391" s="223" t="s">
        <v>5</v>
      </c>
      <c r="I391" s="223" t="s">
        <v>1288</v>
      </c>
    </row>
    <row r="392" spans="8:9" ht="13.5">
      <c r="H392" s="223" t="s">
        <v>5</v>
      </c>
      <c r="I392" s="223" t="s">
        <v>1289</v>
      </c>
    </row>
    <row r="393" spans="8:9" ht="13.5">
      <c r="H393" s="223" t="s">
        <v>5</v>
      </c>
      <c r="I393" s="223" t="s">
        <v>1290</v>
      </c>
    </row>
    <row r="394" spans="8:9" ht="13.5">
      <c r="H394" s="223" t="s">
        <v>5</v>
      </c>
      <c r="I394" s="223" t="s">
        <v>1291</v>
      </c>
    </row>
    <row r="395" spans="8:9" ht="13.5">
      <c r="H395" s="223" t="s">
        <v>5</v>
      </c>
      <c r="I395" s="223" t="s">
        <v>1292</v>
      </c>
    </row>
    <row r="396" spans="8:9" ht="13.5">
      <c r="H396" s="223" t="s">
        <v>5</v>
      </c>
      <c r="I396" s="223" t="s">
        <v>1293</v>
      </c>
    </row>
    <row r="397" spans="8:9" ht="13.5">
      <c r="H397" s="223" t="s">
        <v>5</v>
      </c>
      <c r="I397" s="223" t="s">
        <v>1294</v>
      </c>
    </row>
    <row r="398" spans="8:9" ht="13.5">
      <c r="H398" s="223" t="s">
        <v>5</v>
      </c>
      <c r="I398" s="223" t="s">
        <v>1295</v>
      </c>
    </row>
    <row r="399" spans="8:9" ht="13.5">
      <c r="H399" s="223" t="s">
        <v>5</v>
      </c>
      <c r="I399" s="223" t="s">
        <v>1296</v>
      </c>
    </row>
    <row r="400" spans="8:9" ht="13.5">
      <c r="H400" s="223" t="s">
        <v>5</v>
      </c>
      <c r="I400" s="223" t="s">
        <v>1297</v>
      </c>
    </row>
    <row r="401" spans="8:9" ht="13.5">
      <c r="H401" s="223" t="s">
        <v>5</v>
      </c>
      <c r="I401" s="223" t="s">
        <v>1298</v>
      </c>
    </row>
    <row r="402" spans="8:9" ht="13.5">
      <c r="H402" s="223" t="s">
        <v>5</v>
      </c>
      <c r="I402" s="223" t="s">
        <v>1299</v>
      </c>
    </row>
    <row r="403" spans="8:9" ht="13.5">
      <c r="H403" s="223" t="s">
        <v>5</v>
      </c>
      <c r="I403" s="223" t="s">
        <v>1300</v>
      </c>
    </row>
    <row r="404" spans="8:9" ht="13.5">
      <c r="H404" s="223" t="s">
        <v>5</v>
      </c>
      <c r="I404" s="223" t="s">
        <v>1301</v>
      </c>
    </row>
    <row r="405" spans="8:9" ht="13.5">
      <c r="H405" s="223" t="s">
        <v>5</v>
      </c>
      <c r="I405" s="223" t="s">
        <v>1302</v>
      </c>
    </row>
    <row r="406" spans="8:9" ht="13.5">
      <c r="H406" s="223" t="s">
        <v>5</v>
      </c>
      <c r="I406" s="223" t="s">
        <v>1303</v>
      </c>
    </row>
    <row r="407" spans="8:9" ht="13.5">
      <c r="H407" s="223" t="s">
        <v>5</v>
      </c>
      <c r="I407" s="223" t="s">
        <v>1304</v>
      </c>
    </row>
    <row r="408" spans="8:9" ht="13.5">
      <c r="H408" s="223" t="s">
        <v>5</v>
      </c>
      <c r="I408" s="223" t="s">
        <v>1305</v>
      </c>
    </row>
    <row r="409" spans="8:9" ht="13.5">
      <c r="H409" s="223" t="s">
        <v>5</v>
      </c>
      <c r="I409" s="223" t="s">
        <v>1306</v>
      </c>
    </row>
    <row r="410" spans="8:9" ht="13.5">
      <c r="H410" s="223" t="s">
        <v>5</v>
      </c>
      <c r="I410" s="223" t="s">
        <v>1307</v>
      </c>
    </row>
    <row r="411" spans="8:9" ht="13.5">
      <c r="H411" s="223" t="s">
        <v>5</v>
      </c>
      <c r="I411" s="223" t="s">
        <v>1308</v>
      </c>
    </row>
    <row r="412" spans="8:9" ht="13.5">
      <c r="H412" s="223" t="s">
        <v>5</v>
      </c>
      <c r="I412" s="223" t="s">
        <v>1309</v>
      </c>
    </row>
    <row r="413" spans="8:9" ht="13.5">
      <c r="H413" s="223" t="s">
        <v>5</v>
      </c>
      <c r="I413" s="223" t="s">
        <v>1310</v>
      </c>
    </row>
    <row r="414" spans="8:9" ht="13.5">
      <c r="H414" s="223" t="s">
        <v>5</v>
      </c>
      <c r="I414" s="223" t="s">
        <v>1311</v>
      </c>
    </row>
    <row r="415" spans="8:9" ht="13.5">
      <c r="H415" s="223" t="s">
        <v>5</v>
      </c>
      <c r="I415" s="223" t="s">
        <v>1312</v>
      </c>
    </row>
    <row r="416" spans="8:9" ht="13.5">
      <c r="H416" s="223" t="s">
        <v>5</v>
      </c>
      <c r="I416" s="223" t="s">
        <v>1313</v>
      </c>
    </row>
    <row r="417" spans="8:9" ht="13.5">
      <c r="H417" s="223" t="s">
        <v>5</v>
      </c>
      <c r="I417" s="223" t="s">
        <v>1314</v>
      </c>
    </row>
    <row r="418" spans="8:9" ht="13.5">
      <c r="H418" s="223" t="s">
        <v>5</v>
      </c>
      <c r="I418" s="223" t="s">
        <v>1315</v>
      </c>
    </row>
    <row r="419" spans="8:9" ht="13.5">
      <c r="H419" s="223" t="s">
        <v>5</v>
      </c>
      <c r="I419" s="223" t="s">
        <v>1316</v>
      </c>
    </row>
    <row r="420" spans="8:9" ht="13.5">
      <c r="H420" s="223" t="s">
        <v>5</v>
      </c>
      <c r="I420" s="223" t="s">
        <v>1317</v>
      </c>
    </row>
    <row r="421" spans="8:9" ht="13.5">
      <c r="H421" s="223" t="s">
        <v>5</v>
      </c>
      <c r="I421" s="223" t="s">
        <v>1318</v>
      </c>
    </row>
    <row r="422" spans="8:9" ht="13.5">
      <c r="H422" s="223" t="s">
        <v>5</v>
      </c>
      <c r="I422" s="223" t="s">
        <v>1319</v>
      </c>
    </row>
    <row r="423" spans="8:9" ht="13.5">
      <c r="H423" s="223" t="s">
        <v>5</v>
      </c>
      <c r="I423" s="223" t="s">
        <v>1320</v>
      </c>
    </row>
    <row r="424" spans="8:9" ht="13.5">
      <c r="H424" s="223" t="s">
        <v>5</v>
      </c>
      <c r="I424" s="223" t="s">
        <v>1321</v>
      </c>
    </row>
    <row r="425" spans="8:9" ht="13.5">
      <c r="H425" s="223" t="s">
        <v>5</v>
      </c>
      <c r="I425" s="223" t="s">
        <v>1322</v>
      </c>
    </row>
    <row r="426" spans="8:9" ht="13.5">
      <c r="H426" s="223" t="s">
        <v>5</v>
      </c>
      <c r="I426" s="223" t="s">
        <v>1323</v>
      </c>
    </row>
    <row r="427" spans="8:9" ht="13.5">
      <c r="H427" s="223" t="s">
        <v>5</v>
      </c>
      <c r="I427" s="223" t="s">
        <v>1324</v>
      </c>
    </row>
    <row r="428" spans="8:9" ht="13.5">
      <c r="H428" s="223" t="s">
        <v>5</v>
      </c>
      <c r="I428" s="223" t="s">
        <v>1325</v>
      </c>
    </row>
    <row r="429" spans="8:9" ht="13.5">
      <c r="H429" s="223" t="s">
        <v>5</v>
      </c>
      <c r="I429" s="223" t="s">
        <v>1326</v>
      </c>
    </row>
    <row r="430" spans="8:9" ht="13.5">
      <c r="H430" s="223" t="s">
        <v>5</v>
      </c>
      <c r="I430" s="223" t="s">
        <v>1327</v>
      </c>
    </row>
    <row r="431" spans="8:9" ht="13.5">
      <c r="H431" s="223" t="s">
        <v>5</v>
      </c>
      <c r="I431" s="223" t="s">
        <v>1328</v>
      </c>
    </row>
    <row r="432" spans="8:9" ht="13.5">
      <c r="H432" s="223" t="s">
        <v>5</v>
      </c>
      <c r="I432" s="223" t="s">
        <v>1329</v>
      </c>
    </row>
    <row r="433" spans="8:9" ht="13.5">
      <c r="H433" s="223" t="s">
        <v>5</v>
      </c>
      <c r="I433" s="223" t="s">
        <v>1330</v>
      </c>
    </row>
    <row r="434" spans="8:9" ht="13.5">
      <c r="H434" s="223" t="s">
        <v>5</v>
      </c>
      <c r="I434" s="223" t="s">
        <v>1331</v>
      </c>
    </row>
    <row r="435" spans="8:9" ht="13.5">
      <c r="H435" s="223" t="s">
        <v>5</v>
      </c>
      <c r="I435" s="223" t="s">
        <v>1332</v>
      </c>
    </row>
    <row r="436" spans="8:9" ht="13.5">
      <c r="H436" s="223" t="s">
        <v>5</v>
      </c>
      <c r="I436" s="223" t="s">
        <v>1333</v>
      </c>
    </row>
    <row r="437" spans="8:9" ht="13.5">
      <c r="H437" s="223" t="s">
        <v>5</v>
      </c>
      <c r="I437" s="223" t="s">
        <v>1334</v>
      </c>
    </row>
    <row r="438" spans="8:9" ht="13.5">
      <c r="H438" s="223" t="s">
        <v>5</v>
      </c>
      <c r="I438" s="223" t="s">
        <v>1335</v>
      </c>
    </row>
    <row r="439" spans="8:9" ht="13.5">
      <c r="H439" s="223" t="s">
        <v>5</v>
      </c>
      <c r="I439" s="223" t="s">
        <v>1336</v>
      </c>
    </row>
    <row r="440" spans="8:9" ht="13.5">
      <c r="H440" s="223" t="s">
        <v>5</v>
      </c>
      <c r="I440" s="223" t="s">
        <v>1337</v>
      </c>
    </row>
    <row r="441" spans="8:9" ht="13.5">
      <c r="H441" s="223" t="s">
        <v>5</v>
      </c>
      <c r="I441" s="223" t="s">
        <v>1338</v>
      </c>
    </row>
    <row r="442" spans="8:9" ht="13.5">
      <c r="H442" s="223" t="s">
        <v>5</v>
      </c>
      <c r="I442" s="223" t="s">
        <v>1339</v>
      </c>
    </row>
    <row r="443" spans="8:9" ht="13.5">
      <c r="H443" s="223" t="s">
        <v>5</v>
      </c>
      <c r="I443" s="223" t="s">
        <v>1340</v>
      </c>
    </row>
    <row r="444" spans="8:9" ht="13.5">
      <c r="H444" s="223" t="s">
        <v>5</v>
      </c>
      <c r="I444" s="223" t="s">
        <v>1341</v>
      </c>
    </row>
    <row r="445" spans="8:9" ht="13.5">
      <c r="H445" s="223" t="s">
        <v>5</v>
      </c>
      <c r="I445" s="223" t="s">
        <v>1342</v>
      </c>
    </row>
    <row r="446" spans="8:9" ht="13.5">
      <c r="H446" s="223" t="s">
        <v>5</v>
      </c>
      <c r="I446" s="223" t="s">
        <v>1343</v>
      </c>
    </row>
    <row r="447" spans="8:9" ht="13.5">
      <c r="H447" s="223" t="s">
        <v>5</v>
      </c>
      <c r="I447" s="223" t="s">
        <v>1344</v>
      </c>
    </row>
    <row r="448" spans="8:9" ht="13.5">
      <c r="H448" s="223" t="s">
        <v>5</v>
      </c>
      <c r="I448" s="223" t="s">
        <v>1345</v>
      </c>
    </row>
    <row r="449" spans="8:9" ht="13.5">
      <c r="H449" s="223" t="s">
        <v>5</v>
      </c>
      <c r="I449" s="223" t="s">
        <v>1346</v>
      </c>
    </row>
    <row r="450" spans="8:9" ht="13.5">
      <c r="H450" s="223" t="s">
        <v>5</v>
      </c>
      <c r="I450" s="223" t="s">
        <v>1347</v>
      </c>
    </row>
    <row r="451" spans="8:9" ht="13.5">
      <c r="H451" s="223" t="s">
        <v>5</v>
      </c>
      <c r="I451" s="223" t="s">
        <v>1348</v>
      </c>
    </row>
    <row r="452" spans="8:9" ht="13.5">
      <c r="H452" s="223" t="s">
        <v>5</v>
      </c>
      <c r="I452" s="223" t="s">
        <v>1349</v>
      </c>
    </row>
    <row r="453" spans="8:9" ht="13.5">
      <c r="H453" s="223" t="s">
        <v>5</v>
      </c>
      <c r="I453" s="223" t="s">
        <v>1350</v>
      </c>
    </row>
    <row r="454" spans="8:9" ht="13.5">
      <c r="H454" s="223" t="s">
        <v>5</v>
      </c>
      <c r="I454" s="223" t="s">
        <v>1351</v>
      </c>
    </row>
    <row r="455" spans="8:9" ht="13.5">
      <c r="H455" s="223" t="s">
        <v>5</v>
      </c>
      <c r="I455" s="223" t="s">
        <v>1352</v>
      </c>
    </row>
    <row r="456" spans="8:9" ht="13.5">
      <c r="H456" s="223" t="s">
        <v>5</v>
      </c>
      <c r="I456" s="223" t="s">
        <v>1353</v>
      </c>
    </row>
    <row r="457" spans="8:9" ht="13.5">
      <c r="H457" s="223" t="s">
        <v>5</v>
      </c>
      <c r="I457" s="223" t="s">
        <v>1354</v>
      </c>
    </row>
    <row r="458" spans="8:9" ht="13.5">
      <c r="H458" s="223" t="s">
        <v>5</v>
      </c>
      <c r="I458" s="223" t="s">
        <v>1355</v>
      </c>
    </row>
    <row r="459" spans="8:9" ht="13.5">
      <c r="H459" s="223" t="s">
        <v>5</v>
      </c>
      <c r="I459" s="223" t="s">
        <v>1356</v>
      </c>
    </row>
    <row r="460" spans="8:9" ht="13.5">
      <c r="H460" s="223" t="s">
        <v>5</v>
      </c>
      <c r="I460" s="223" t="s">
        <v>1357</v>
      </c>
    </row>
    <row r="461" spans="8:9" ht="13.5">
      <c r="H461" s="223" t="s">
        <v>5</v>
      </c>
      <c r="I461" s="223" t="s">
        <v>1358</v>
      </c>
    </row>
    <row r="462" spans="8:9" ht="13.5">
      <c r="H462" s="223" t="s">
        <v>5</v>
      </c>
      <c r="I462" s="223" t="s">
        <v>1359</v>
      </c>
    </row>
    <row r="463" spans="8:9" ht="13.5">
      <c r="H463" s="223" t="s">
        <v>5</v>
      </c>
      <c r="I463" s="223" t="s">
        <v>1360</v>
      </c>
    </row>
    <row r="464" spans="8:9" ht="13.5">
      <c r="H464" s="223" t="s">
        <v>5</v>
      </c>
      <c r="I464" s="223" t="s">
        <v>1361</v>
      </c>
    </row>
    <row r="465" spans="8:9" ht="13.5">
      <c r="H465" s="223" t="s">
        <v>5</v>
      </c>
      <c r="I465" s="223" t="s">
        <v>1362</v>
      </c>
    </row>
    <row r="466" spans="8:9" ht="13.5">
      <c r="H466" s="223" t="s">
        <v>5</v>
      </c>
      <c r="I466" s="223" t="s">
        <v>1363</v>
      </c>
    </row>
    <row r="467" spans="8:9" ht="13.5">
      <c r="H467" s="223" t="s">
        <v>5</v>
      </c>
      <c r="I467" s="223" t="s">
        <v>1364</v>
      </c>
    </row>
    <row r="468" spans="8:9" ht="13.5">
      <c r="H468" s="223" t="s">
        <v>5</v>
      </c>
      <c r="I468" s="223" t="s">
        <v>1365</v>
      </c>
    </row>
    <row r="469" spans="8:9" ht="13.5">
      <c r="H469" s="223" t="s">
        <v>5</v>
      </c>
      <c r="I469" s="223" t="s">
        <v>1366</v>
      </c>
    </row>
    <row r="470" spans="8:9" ht="13.5">
      <c r="H470" s="223" t="s">
        <v>5</v>
      </c>
      <c r="I470" s="223" t="s">
        <v>1367</v>
      </c>
    </row>
    <row r="471" spans="8:9" ht="13.5">
      <c r="H471" s="223" t="s">
        <v>5</v>
      </c>
      <c r="I471" s="223" t="s">
        <v>1368</v>
      </c>
    </row>
    <row r="472" spans="8:9" ht="13.5">
      <c r="H472" s="223" t="s">
        <v>5</v>
      </c>
      <c r="I472" s="223" t="s">
        <v>1369</v>
      </c>
    </row>
    <row r="473" spans="8:9" ht="13.5">
      <c r="H473" s="223" t="s">
        <v>5</v>
      </c>
      <c r="I473" s="223" t="s">
        <v>1370</v>
      </c>
    </row>
    <row r="474" spans="8:9" ht="13.5">
      <c r="H474" s="223" t="s">
        <v>5</v>
      </c>
      <c r="I474" s="223" t="s">
        <v>1371</v>
      </c>
    </row>
    <row r="475" spans="8:9" ht="13.5">
      <c r="H475" s="223" t="s">
        <v>5</v>
      </c>
      <c r="I475" s="223" t="s">
        <v>1372</v>
      </c>
    </row>
    <row r="476" spans="8:9" ht="13.5">
      <c r="H476" s="223" t="s">
        <v>5</v>
      </c>
      <c r="I476" s="223" t="s">
        <v>1373</v>
      </c>
    </row>
    <row r="477" spans="8:9" ht="13.5">
      <c r="H477" s="223" t="s">
        <v>5</v>
      </c>
      <c r="I477" s="223" t="s">
        <v>1374</v>
      </c>
    </row>
    <row r="478" spans="8:9" ht="13.5">
      <c r="H478" s="223" t="s">
        <v>5</v>
      </c>
      <c r="I478" s="223" t="s">
        <v>1375</v>
      </c>
    </row>
    <row r="479" spans="8:9" ht="13.5">
      <c r="H479" s="223" t="s">
        <v>5</v>
      </c>
      <c r="I479" s="223" t="s">
        <v>1376</v>
      </c>
    </row>
    <row r="480" spans="8:9" ht="13.5">
      <c r="H480" s="223" t="s">
        <v>5</v>
      </c>
      <c r="I480" s="223" t="s">
        <v>1377</v>
      </c>
    </row>
    <row r="481" spans="8:9" ht="13.5">
      <c r="H481" s="223" t="s">
        <v>5</v>
      </c>
      <c r="I481" s="223" t="s">
        <v>1378</v>
      </c>
    </row>
    <row r="482" spans="8:9" ht="13.5">
      <c r="H482" s="223" t="s">
        <v>5</v>
      </c>
      <c r="I482" s="223" t="s">
        <v>1379</v>
      </c>
    </row>
    <row r="483" spans="8:9" ht="13.5">
      <c r="H483" s="223" t="s">
        <v>5</v>
      </c>
      <c r="I483" s="223" t="s">
        <v>1380</v>
      </c>
    </row>
    <row r="484" spans="8:9" ht="13.5">
      <c r="H484" s="223" t="s">
        <v>5</v>
      </c>
      <c r="I484" s="223" t="s">
        <v>1381</v>
      </c>
    </row>
    <row r="485" spans="8:9" ht="13.5">
      <c r="H485" s="223" t="s">
        <v>5</v>
      </c>
      <c r="I485" s="223" t="s">
        <v>1382</v>
      </c>
    </row>
    <row r="486" spans="8:9" ht="13.5">
      <c r="H486" s="223" t="s">
        <v>5</v>
      </c>
      <c r="I486" s="223" t="s">
        <v>1383</v>
      </c>
    </row>
    <row r="487" spans="8:9" ht="13.5">
      <c r="H487" s="223" t="s">
        <v>5</v>
      </c>
      <c r="I487" s="223" t="s">
        <v>1384</v>
      </c>
    </row>
    <row r="488" spans="8:9" ht="13.5">
      <c r="H488" s="223" t="s">
        <v>5</v>
      </c>
      <c r="I488" s="223" t="s">
        <v>1385</v>
      </c>
    </row>
    <row r="489" spans="8:9" ht="13.5">
      <c r="H489" s="223" t="s">
        <v>5</v>
      </c>
      <c r="I489" s="223" t="s">
        <v>1386</v>
      </c>
    </row>
    <row r="490" spans="8:9" ht="13.5">
      <c r="H490" s="223" t="s">
        <v>5</v>
      </c>
      <c r="I490" s="223" t="s">
        <v>1387</v>
      </c>
    </row>
    <row r="491" spans="8:9" ht="13.5">
      <c r="H491" s="223" t="s">
        <v>5</v>
      </c>
      <c r="I491" s="223" t="s">
        <v>1388</v>
      </c>
    </row>
    <row r="492" spans="8:9" ht="13.5">
      <c r="H492" s="223" t="s">
        <v>5</v>
      </c>
      <c r="I492" s="223" t="s">
        <v>1389</v>
      </c>
    </row>
    <row r="493" spans="8:9" ht="13.5">
      <c r="H493" s="223" t="s">
        <v>5</v>
      </c>
      <c r="I493" s="223" t="s">
        <v>1390</v>
      </c>
    </row>
    <row r="494" spans="8:9" ht="13.5">
      <c r="H494" s="223" t="s">
        <v>5</v>
      </c>
      <c r="I494" s="223" t="s">
        <v>1391</v>
      </c>
    </row>
    <row r="495" spans="8:9" ht="13.5">
      <c r="H495" s="223" t="s">
        <v>5</v>
      </c>
      <c r="I495" s="223" t="s">
        <v>1392</v>
      </c>
    </row>
    <row r="496" spans="8:9" ht="13.5">
      <c r="H496" s="223" t="s">
        <v>5</v>
      </c>
      <c r="I496" s="223" t="s">
        <v>1393</v>
      </c>
    </row>
    <row r="497" spans="8:9" ht="13.5">
      <c r="H497" s="223" t="s">
        <v>5</v>
      </c>
      <c r="I497" s="223" t="s">
        <v>1394</v>
      </c>
    </row>
    <row r="498" spans="8:9" ht="13.5">
      <c r="H498" s="223" t="s">
        <v>5</v>
      </c>
      <c r="I498" s="223" t="s">
        <v>1395</v>
      </c>
    </row>
    <row r="499" spans="8:9" ht="13.5">
      <c r="H499" s="223" t="s">
        <v>5</v>
      </c>
      <c r="I499" s="223" t="s">
        <v>1396</v>
      </c>
    </row>
    <row r="500" spans="8:9" ht="13.5">
      <c r="H500" s="223" t="s">
        <v>5</v>
      </c>
      <c r="I500" s="223" t="s">
        <v>1397</v>
      </c>
    </row>
    <row r="501" spans="8:9" ht="13.5">
      <c r="H501" s="223" t="s">
        <v>5</v>
      </c>
      <c r="I501" s="223" t="s">
        <v>1398</v>
      </c>
    </row>
    <row r="502" spans="8:9" ht="13.5">
      <c r="H502" s="223" t="s">
        <v>5</v>
      </c>
      <c r="I502" s="223" t="s">
        <v>1399</v>
      </c>
    </row>
    <row r="503" spans="8:9" ht="13.5">
      <c r="H503" s="223" t="s">
        <v>5</v>
      </c>
      <c r="I503" s="223" t="s">
        <v>1400</v>
      </c>
    </row>
    <row r="504" spans="8:9" ht="13.5">
      <c r="H504" s="223" t="s">
        <v>5</v>
      </c>
      <c r="I504" s="223" t="s">
        <v>1401</v>
      </c>
    </row>
    <row r="505" spans="8:9" ht="13.5">
      <c r="H505" s="223" t="s">
        <v>5</v>
      </c>
      <c r="I505" s="223" t="s">
        <v>1402</v>
      </c>
    </row>
    <row r="506" spans="8:9" ht="13.5">
      <c r="H506" s="223" t="s">
        <v>5</v>
      </c>
      <c r="I506" s="223" t="s">
        <v>1403</v>
      </c>
    </row>
    <row r="507" spans="8:9" ht="13.5">
      <c r="H507" s="223" t="s">
        <v>5</v>
      </c>
      <c r="I507" s="223" t="s">
        <v>1404</v>
      </c>
    </row>
    <row r="508" spans="8:9" ht="13.5">
      <c r="H508" s="223" t="s">
        <v>5</v>
      </c>
      <c r="I508" s="223" t="s">
        <v>1405</v>
      </c>
    </row>
    <row r="509" spans="8:9" ht="13.5">
      <c r="H509" s="223" t="s">
        <v>5</v>
      </c>
      <c r="I509" s="223" t="s">
        <v>1406</v>
      </c>
    </row>
    <row r="510" spans="8:9" ht="13.5">
      <c r="H510" s="223" t="s">
        <v>5</v>
      </c>
      <c r="I510" s="223" t="s">
        <v>1407</v>
      </c>
    </row>
    <row r="511" spans="8:9" ht="13.5">
      <c r="H511" s="223" t="s">
        <v>5</v>
      </c>
      <c r="I511" s="223" t="s">
        <v>1408</v>
      </c>
    </row>
    <row r="512" spans="8:9" ht="13.5">
      <c r="H512" s="223" t="s">
        <v>5</v>
      </c>
      <c r="I512" s="223" t="s">
        <v>1409</v>
      </c>
    </row>
    <row r="513" spans="8:9" ht="13.5">
      <c r="H513" s="223" t="s">
        <v>5</v>
      </c>
      <c r="I513" s="223" t="s">
        <v>1410</v>
      </c>
    </row>
    <row r="514" spans="8:9" ht="13.5">
      <c r="H514" s="223" t="s">
        <v>5</v>
      </c>
      <c r="I514" s="223" t="s">
        <v>1411</v>
      </c>
    </row>
    <row r="515" spans="8:9" ht="13.5">
      <c r="H515" s="223" t="s">
        <v>5</v>
      </c>
      <c r="I515" s="223" t="s">
        <v>1412</v>
      </c>
    </row>
    <row r="516" spans="8:9" ht="13.5">
      <c r="H516" s="223" t="s">
        <v>5</v>
      </c>
      <c r="I516" s="223" t="s">
        <v>1413</v>
      </c>
    </row>
    <row r="517" spans="8:9" ht="13.5">
      <c r="H517" s="223" t="s">
        <v>5</v>
      </c>
      <c r="I517" s="223" t="s">
        <v>1414</v>
      </c>
    </row>
    <row r="518" spans="8:9" ht="13.5">
      <c r="H518" s="223" t="s">
        <v>5</v>
      </c>
      <c r="I518" s="223" t="s">
        <v>1415</v>
      </c>
    </row>
    <row r="519" spans="8:9" ht="13.5">
      <c r="H519" s="223" t="s">
        <v>5</v>
      </c>
      <c r="I519" s="223" t="s">
        <v>1416</v>
      </c>
    </row>
    <row r="520" spans="8:9" ht="13.5">
      <c r="H520" s="223" t="s">
        <v>5</v>
      </c>
      <c r="I520" s="223" t="s">
        <v>1417</v>
      </c>
    </row>
    <row r="521" spans="8:9" ht="13.5">
      <c r="H521" s="223" t="s">
        <v>5</v>
      </c>
      <c r="I521" s="223" t="s">
        <v>1418</v>
      </c>
    </row>
    <row r="522" spans="8:9" ht="13.5">
      <c r="H522" s="223" t="s">
        <v>5</v>
      </c>
      <c r="I522" s="223" t="s">
        <v>1419</v>
      </c>
    </row>
    <row r="523" spans="8:9" ht="13.5">
      <c r="H523" s="223" t="s">
        <v>5</v>
      </c>
      <c r="I523" s="223" t="s">
        <v>1420</v>
      </c>
    </row>
    <row r="524" spans="8:9" ht="13.5">
      <c r="H524" s="223" t="s">
        <v>5</v>
      </c>
      <c r="I524" s="223" t="s">
        <v>1421</v>
      </c>
    </row>
    <row r="525" spans="8:9" ht="13.5">
      <c r="H525" s="223" t="s">
        <v>5</v>
      </c>
      <c r="I525" s="223" t="s">
        <v>1422</v>
      </c>
    </row>
    <row r="526" spans="8:9" ht="13.5">
      <c r="H526" s="223" t="s">
        <v>5</v>
      </c>
      <c r="I526" s="223" t="s">
        <v>1423</v>
      </c>
    </row>
    <row r="527" spans="8:9" ht="13.5">
      <c r="H527" s="223" t="s">
        <v>5</v>
      </c>
      <c r="I527" s="223" t="s">
        <v>1424</v>
      </c>
    </row>
    <row r="528" spans="8:9" ht="13.5">
      <c r="H528" s="223" t="s">
        <v>5</v>
      </c>
      <c r="I528" s="223" t="s">
        <v>1425</v>
      </c>
    </row>
    <row r="529" spans="8:9" ht="13.5">
      <c r="H529" s="223" t="s">
        <v>5</v>
      </c>
      <c r="I529" s="223" t="s">
        <v>1426</v>
      </c>
    </row>
    <row r="530" spans="8:9" ht="13.5">
      <c r="H530" s="223" t="s">
        <v>5</v>
      </c>
      <c r="I530" s="223" t="s">
        <v>1427</v>
      </c>
    </row>
    <row r="531" spans="8:9" ht="13.5">
      <c r="H531" s="223" t="s">
        <v>5</v>
      </c>
      <c r="I531" s="223" t="s">
        <v>1428</v>
      </c>
    </row>
    <row r="532" spans="8:9" ht="13.5">
      <c r="H532" s="223" t="s">
        <v>5</v>
      </c>
      <c r="I532" s="223" t="s">
        <v>1429</v>
      </c>
    </row>
    <row r="533" spans="8:9" ht="13.5">
      <c r="H533" s="223" t="s">
        <v>5</v>
      </c>
      <c r="I533" s="223" t="s">
        <v>1430</v>
      </c>
    </row>
    <row r="534" spans="8:9" ht="13.5">
      <c r="H534" s="223" t="s">
        <v>5</v>
      </c>
      <c r="I534" s="223" t="s">
        <v>1431</v>
      </c>
    </row>
    <row r="535" spans="8:9" ht="13.5">
      <c r="H535" s="223" t="s">
        <v>5</v>
      </c>
      <c r="I535" s="223" t="s">
        <v>1432</v>
      </c>
    </row>
    <row r="536" spans="8:9" ht="13.5">
      <c r="H536" s="223" t="s">
        <v>5</v>
      </c>
      <c r="I536" s="223" t="s">
        <v>1433</v>
      </c>
    </row>
    <row r="537" spans="8:9" ht="13.5">
      <c r="H537" s="223" t="s">
        <v>5</v>
      </c>
      <c r="I537" s="223" t="s">
        <v>1434</v>
      </c>
    </row>
    <row r="538" spans="8:9" ht="13.5">
      <c r="H538" s="223" t="s">
        <v>5</v>
      </c>
      <c r="I538" s="223" t="s">
        <v>1435</v>
      </c>
    </row>
    <row r="539" spans="8:9" ht="13.5">
      <c r="H539" s="223" t="s">
        <v>5</v>
      </c>
      <c r="I539" s="223" t="s">
        <v>1436</v>
      </c>
    </row>
    <row r="540" spans="8:9" ht="13.5">
      <c r="H540" s="223" t="s">
        <v>5</v>
      </c>
      <c r="I540" s="223" t="s">
        <v>1437</v>
      </c>
    </row>
    <row r="541" spans="8:9" ht="13.5">
      <c r="H541" s="223" t="s">
        <v>5</v>
      </c>
      <c r="I541" s="223" t="s">
        <v>1438</v>
      </c>
    </row>
    <row r="542" spans="8:9" ht="13.5">
      <c r="H542" s="223" t="s">
        <v>5</v>
      </c>
      <c r="I542" s="223" t="s">
        <v>1439</v>
      </c>
    </row>
    <row r="543" spans="8:9" ht="13.5">
      <c r="H543" s="223" t="s">
        <v>5</v>
      </c>
      <c r="I543" s="223" t="s">
        <v>1440</v>
      </c>
    </row>
    <row r="544" spans="8:9" ht="13.5">
      <c r="H544" s="223" t="s">
        <v>5</v>
      </c>
      <c r="I544" s="223" t="s">
        <v>1441</v>
      </c>
    </row>
    <row r="545" spans="8:9" ht="13.5">
      <c r="H545" s="223" t="s">
        <v>5</v>
      </c>
      <c r="I545" s="223" t="s">
        <v>1442</v>
      </c>
    </row>
    <row r="546" spans="8:9" ht="13.5">
      <c r="H546" s="223" t="s">
        <v>5</v>
      </c>
      <c r="I546" s="223" t="s">
        <v>1443</v>
      </c>
    </row>
    <row r="547" spans="8:9" ht="13.5">
      <c r="H547" s="223" t="s">
        <v>5</v>
      </c>
      <c r="I547" s="223" t="s">
        <v>1444</v>
      </c>
    </row>
    <row r="548" spans="8:9" ht="13.5">
      <c r="H548" s="223" t="s">
        <v>5</v>
      </c>
      <c r="I548" s="223" t="s">
        <v>1445</v>
      </c>
    </row>
    <row r="549" spans="8:9" ht="13.5">
      <c r="H549" s="223" t="s">
        <v>5</v>
      </c>
      <c r="I549" s="223" t="s">
        <v>1446</v>
      </c>
    </row>
    <row r="550" spans="8:9" ht="13.5">
      <c r="H550" s="223" t="s">
        <v>5</v>
      </c>
      <c r="I550" s="223" t="s">
        <v>1447</v>
      </c>
    </row>
    <row r="551" spans="8:9" ht="13.5">
      <c r="H551" s="223" t="s">
        <v>5</v>
      </c>
      <c r="I551" s="223" t="s">
        <v>1448</v>
      </c>
    </row>
    <row r="552" spans="8:9" ht="13.5">
      <c r="H552" s="223" t="s">
        <v>5</v>
      </c>
      <c r="I552" s="223" t="s">
        <v>1449</v>
      </c>
    </row>
    <row r="553" spans="8:9" ht="13.5">
      <c r="H553" s="223" t="s">
        <v>5</v>
      </c>
      <c r="I553" s="223" t="s">
        <v>1450</v>
      </c>
    </row>
    <row r="554" spans="8:9" ht="13.5">
      <c r="H554" s="223" t="s">
        <v>5</v>
      </c>
      <c r="I554" s="223" t="s">
        <v>1451</v>
      </c>
    </row>
    <row r="555" spans="8:9" ht="13.5">
      <c r="H555" s="223" t="s">
        <v>5</v>
      </c>
      <c r="I555" s="223" t="s">
        <v>1452</v>
      </c>
    </row>
    <row r="556" spans="8:9" ht="13.5">
      <c r="H556" s="223" t="s">
        <v>5</v>
      </c>
      <c r="I556" s="223" t="s">
        <v>1453</v>
      </c>
    </row>
    <row r="557" spans="8:9" ht="13.5">
      <c r="H557" s="223" t="s">
        <v>5</v>
      </c>
      <c r="I557" s="223" t="s">
        <v>1454</v>
      </c>
    </row>
    <row r="558" spans="8:9" ht="13.5">
      <c r="H558" s="223" t="s">
        <v>5</v>
      </c>
      <c r="I558" s="223" t="s">
        <v>1455</v>
      </c>
    </row>
    <row r="559" spans="8:9" ht="13.5">
      <c r="H559" s="223" t="s">
        <v>5</v>
      </c>
      <c r="I559" s="223" t="s">
        <v>1456</v>
      </c>
    </row>
    <row r="560" spans="8:9" ht="13.5">
      <c r="H560" s="223" t="s">
        <v>5</v>
      </c>
      <c r="I560" s="223" t="s">
        <v>1457</v>
      </c>
    </row>
    <row r="561" spans="8:9" ht="13.5">
      <c r="H561" s="223" t="s">
        <v>5</v>
      </c>
      <c r="I561" s="223" t="s">
        <v>1458</v>
      </c>
    </row>
    <row r="562" spans="8:9" ht="13.5">
      <c r="H562" s="223" t="s">
        <v>5</v>
      </c>
      <c r="I562" s="223" t="s">
        <v>1459</v>
      </c>
    </row>
    <row r="563" spans="8:9" ht="13.5">
      <c r="H563" s="223" t="s">
        <v>5</v>
      </c>
      <c r="I563" s="223" t="s">
        <v>1460</v>
      </c>
    </row>
    <row r="564" spans="8:9" ht="13.5">
      <c r="H564" s="223" t="s">
        <v>5</v>
      </c>
      <c r="I564" s="223" t="s">
        <v>1461</v>
      </c>
    </row>
    <row r="565" spans="8:9" ht="13.5">
      <c r="H565" s="223" t="s">
        <v>5</v>
      </c>
      <c r="I565" s="223" t="s">
        <v>1462</v>
      </c>
    </row>
    <row r="566" spans="8:9" ht="13.5">
      <c r="H566" s="223" t="s">
        <v>5</v>
      </c>
      <c r="I566" s="223" t="s">
        <v>1463</v>
      </c>
    </row>
    <row r="567" spans="8:9" ht="13.5">
      <c r="H567" s="223" t="s">
        <v>5</v>
      </c>
      <c r="I567" s="223" t="s">
        <v>1464</v>
      </c>
    </row>
    <row r="568" spans="8:9" ht="13.5">
      <c r="H568" s="223" t="s">
        <v>5</v>
      </c>
      <c r="I568" s="223" t="s">
        <v>1465</v>
      </c>
    </row>
    <row r="569" spans="8:9" ht="13.5">
      <c r="H569" s="223" t="s">
        <v>5</v>
      </c>
      <c r="I569" s="223" t="s">
        <v>1466</v>
      </c>
    </row>
    <row r="570" spans="8:9" ht="13.5">
      <c r="H570" s="223" t="s">
        <v>5</v>
      </c>
      <c r="I570" s="223" t="s">
        <v>1467</v>
      </c>
    </row>
    <row r="571" spans="8:9" ht="13.5">
      <c r="H571" s="223" t="s">
        <v>5</v>
      </c>
      <c r="I571" s="223" t="s">
        <v>1468</v>
      </c>
    </row>
    <row r="572" spans="8:9" ht="13.5">
      <c r="H572" s="223" t="s">
        <v>5</v>
      </c>
      <c r="I572" s="223" t="s">
        <v>1469</v>
      </c>
    </row>
    <row r="573" spans="8:9" ht="13.5">
      <c r="H573" s="223" t="s">
        <v>5</v>
      </c>
      <c r="I573" s="223" t="s">
        <v>1470</v>
      </c>
    </row>
    <row r="574" spans="8:9" ht="13.5">
      <c r="H574" s="223" t="s">
        <v>5</v>
      </c>
      <c r="I574" s="223" t="s">
        <v>1471</v>
      </c>
    </row>
    <row r="575" spans="8:9" ht="13.5">
      <c r="H575" s="223" t="s">
        <v>5</v>
      </c>
      <c r="I575" s="223" t="s">
        <v>1472</v>
      </c>
    </row>
    <row r="576" spans="8:9" ht="13.5">
      <c r="H576" s="223" t="s">
        <v>5</v>
      </c>
      <c r="I576" s="223" t="s">
        <v>1473</v>
      </c>
    </row>
    <row r="577" spans="8:9" ht="13.5">
      <c r="H577" s="223" t="s">
        <v>5</v>
      </c>
      <c r="I577" s="223" t="s">
        <v>1474</v>
      </c>
    </row>
    <row r="578" spans="8:9" ht="13.5">
      <c r="H578" s="223" t="s">
        <v>5</v>
      </c>
      <c r="I578" s="223" t="s">
        <v>1475</v>
      </c>
    </row>
    <row r="579" spans="8:9" ht="13.5">
      <c r="H579" s="223" t="s">
        <v>5</v>
      </c>
      <c r="I579" s="223" t="s">
        <v>1476</v>
      </c>
    </row>
    <row r="580" spans="8:9" ht="13.5">
      <c r="H580" s="223" t="s">
        <v>5</v>
      </c>
      <c r="I580" s="223" t="s">
        <v>1477</v>
      </c>
    </row>
    <row r="581" spans="8:9" ht="13.5">
      <c r="H581" s="223" t="s">
        <v>5</v>
      </c>
      <c r="I581" s="223" t="s">
        <v>1478</v>
      </c>
    </row>
    <row r="582" spans="8:9" ht="13.5">
      <c r="H582" s="223" t="s">
        <v>5</v>
      </c>
      <c r="I582" s="223" t="s">
        <v>1479</v>
      </c>
    </row>
    <row r="583" spans="8:9" ht="13.5">
      <c r="H583" s="223" t="s">
        <v>5</v>
      </c>
      <c r="I583" s="223" t="s">
        <v>1480</v>
      </c>
    </row>
    <row r="584" spans="8:9" ht="13.5">
      <c r="H584" s="223" t="s">
        <v>5</v>
      </c>
      <c r="I584" s="223" t="s">
        <v>1481</v>
      </c>
    </row>
    <row r="585" spans="8:9" ht="13.5">
      <c r="H585" s="223" t="s">
        <v>5</v>
      </c>
      <c r="I585" s="223" t="s">
        <v>1482</v>
      </c>
    </row>
    <row r="586" spans="8:9" ht="13.5">
      <c r="H586" s="223" t="s">
        <v>5</v>
      </c>
      <c r="I586" s="223" t="s">
        <v>1483</v>
      </c>
    </row>
    <row r="587" spans="8:9" ht="13.5">
      <c r="H587" s="223" t="s">
        <v>5</v>
      </c>
      <c r="I587" s="223" t="s">
        <v>1484</v>
      </c>
    </row>
    <row r="588" spans="8:9" ht="13.5">
      <c r="H588" s="223" t="s">
        <v>5</v>
      </c>
      <c r="I588" s="223" t="s">
        <v>1485</v>
      </c>
    </row>
    <row r="589" spans="8:9" ht="13.5">
      <c r="H589" s="223" t="s">
        <v>5</v>
      </c>
      <c r="I589" s="223" t="s">
        <v>1486</v>
      </c>
    </row>
    <row r="590" spans="8:9" ht="13.5">
      <c r="H590" s="223" t="s">
        <v>5</v>
      </c>
      <c r="I590" s="223" t="s">
        <v>1487</v>
      </c>
    </row>
    <row r="591" spans="8:9" ht="13.5">
      <c r="H591" s="223" t="s">
        <v>5</v>
      </c>
      <c r="I591" s="223" t="s">
        <v>1488</v>
      </c>
    </row>
    <row r="592" spans="8:9" ht="13.5">
      <c r="H592" s="223" t="s">
        <v>5</v>
      </c>
      <c r="I592" s="223" t="s">
        <v>1489</v>
      </c>
    </row>
    <row r="593" spans="8:9" ht="13.5">
      <c r="H593" s="223" t="s">
        <v>5</v>
      </c>
      <c r="I593" s="223" t="s">
        <v>1490</v>
      </c>
    </row>
    <row r="594" spans="8:9" ht="13.5">
      <c r="H594" s="223" t="s">
        <v>5</v>
      </c>
      <c r="I594" s="223" t="s">
        <v>1491</v>
      </c>
    </row>
    <row r="595" spans="8:9" ht="13.5">
      <c r="H595" s="223" t="s">
        <v>5</v>
      </c>
      <c r="I595" s="223" t="s">
        <v>1492</v>
      </c>
    </row>
    <row r="596" spans="8:9" ht="13.5">
      <c r="H596" s="223" t="s">
        <v>5</v>
      </c>
      <c r="I596" s="223" t="s">
        <v>1493</v>
      </c>
    </row>
    <row r="597" spans="8:9" ht="13.5">
      <c r="H597" s="223" t="s">
        <v>5</v>
      </c>
      <c r="I597" s="223" t="s">
        <v>1494</v>
      </c>
    </row>
    <row r="598" spans="8:9" ht="13.5">
      <c r="H598" s="223" t="s">
        <v>5</v>
      </c>
      <c r="I598" s="223" t="s">
        <v>1495</v>
      </c>
    </row>
    <row r="599" spans="8:9" ht="13.5">
      <c r="H599" s="223" t="s">
        <v>5</v>
      </c>
      <c r="I599" s="223" t="s">
        <v>1496</v>
      </c>
    </row>
    <row r="600" spans="8:9" ht="13.5">
      <c r="H600" s="223" t="s">
        <v>5</v>
      </c>
      <c r="I600" s="223" t="s">
        <v>1497</v>
      </c>
    </row>
    <row r="601" spans="8:9" ht="13.5">
      <c r="H601" s="223" t="s">
        <v>5</v>
      </c>
      <c r="I601" s="223" t="s">
        <v>1498</v>
      </c>
    </row>
    <row r="602" spans="8:9" ht="13.5">
      <c r="H602" s="223" t="s">
        <v>5</v>
      </c>
      <c r="I602" s="223" t="s">
        <v>1499</v>
      </c>
    </row>
    <row r="603" spans="8:9" ht="13.5">
      <c r="H603" s="223" t="s">
        <v>5</v>
      </c>
      <c r="I603" s="223" t="s">
        <v>1500</v>
      </c>
    </row>
    <row r="604" spans="8:9" ht="13.5">
      <c r="H604" s="223" t="s">
        <v>5</v>
      </c>
      <c r="I604" s="223" t="s">
        <v>1501</v>
      </c>
    </row>
    <row r="605" spans="8:9" ht="13.5">
      <c r="H605" s="223" t="s">
        <v>5</v>
      </c>
      <c r="I605" s="223" t="s">
        <v>1502</v>
      </c>
    </row>
    <row r="606" spans="8:9" ht="13.5">
      <c r="H606" s="223" t="s">
        <v>5</v>
      </c>
      <c r="I606" s="223" t="s">
        <v>1503</v>
      </c>
    </row>
    <row r="607" spans="8:9" ht="13.5">
      <c r="H607" s="223" t="s">
        <v>5</v>
      </c>
      <c r="I607" s="223" t="s">
        <v>1504</v>
      </c>
    </row>
    <row r="608" spans="8:9" ht="13.5">
      <c r="H608" s="223" t="s">
        <v>5</v>
      </c>
      <c r="I608" s="223" t="s">
        <v>1505</v>
      </c>
    </row>
    <row r="609" spans="8:9" ht="13.5">
      <c r="H609" s="223" t="s">
        <v>5</v>
      </c>
      <c r="I609" s="223" t="s">
        <v>1506</v>
      </c>
    </row>
    <row r="610" spans="8:9" ht="13.5">
      <c r="H610" s="223" t="s">
        <v>5</v>
      </c>
      <c r="I610" s="223" t="s">
        <v>1507</v>
      </c>
    </row>
    <row r="611" spans="8:9" ht="13.5">
      <c r="H611" s="223" t="s">
        <v>5</v>
      </c>
      <c r="I611" s="223" t="s">
        <v>1508</v>
      </c>
    </row>
    <row r="612" spans="8:9" ht="13.5">
      <c r="H612" s="223" t="s">
        <v>5</v>
      </c>
      <c r="I612" s="223" t="s">
        <v>1509</v>
      </c>
    </row>
    <row r="613" spans="8:9" ht="13.5">
      <c r="H613" s="223" t="s">
        <v>5</v>
      </c>
      <c r="I613" s="223" t="s">
        <v>1510</v>
      </c>
    </row>
    <row r="614" spans="8:9" ht="13.5">
      <c r="H614" s="223" t="s">
        <v>5</v>
      </c>
      <c r="I614" s="223" t="s">
        <v>1511</v>
      </c>
    </row>
    <row r="615" spans="8:9" ht="13.5">
      <c r="H615" s="223" t="s">
        <v>5</v>
      </c>
      <c r="I615" s="223" t="s">
        <v>1512</v>
      </c>
    </row>
    <row r="616" spans="8:9" ht="13.5">
      <c r="H616" s="223" t="s">
        <v>5</v>
      </c>
      <c r="I616" s="223" t="s">
        <v>1513</v>
      </c>
    </row>
    <row r="617" spans="8:9" ht="13.5">
      <c r="H617" s="223" t="s">
        <v>5</v>
      </c>
      <c r="I617" s="223" t="s">
        <v>1514</v>
      </c>
    </row>
    <row r="618" spans="8:9" ht="13.5">
      <c r="H618" s="223" t="s">
        <v>5</v>
      </c>
      <c r="I618" s="223" t="s">
        <v>1515</v>
      </c>
    </row>
    <row r="619" spans="8:9" ht="13.5">
      <c r="H619" s="223" t="s">
        <v>5</v>
      </c>
      <c r="I619" s="223" t="s">
        <v>1516</v>
      </c>
    </row>
    <row r="620" spans="8:9" ht="13.5">
      <c r="H620" s="223" t="s">
        <v>5</v>
      </c>
      <c r="I620" s="223" t="s">
        <v>1517</v>
      </c>
    </row>
    <row r="621" spans="8:9" ht="13.5">
      <c r="H621" s="223" t="s">
        <v>5</v>
      </c>
      <c r="I621" s="223" t="s">
        <v>1518</v>
      </c>
    </row>
    <row r="622" spans="8:9" ht="13.5">
      <c r="H622" s="223" t="s">
        <v>5</v>
      </c>
      <c r="I622" s="223" t="s">
        <v>1519</v>
      </c>
    </row>
    <row r="623" spans="8:9" ht="13.5">
      <c r="H623" s="223" t="s">
        <v>5</v>
      </c>
      <c r="I623" s="223" t="s">
        <v>1520</v>
      </c>
    </row>
    <row r="624" spans="8:9" ht="13.5">
      <c r="H624" s="223" t="s">
        <v>5</v>
      </c>
      <c r="I624" s="223" t="s">
        <v>1521</v>
      </c>
    </row>
    <row r="625" spans="8:9" ht="13.5">
      <c r="H625" s="223" t="s">
        <v>5</v>
      </c>
      <c r="I625" s="223" t="s">
        <v>1522</v>
      </c>
    </row>
    <row r="626" spans="8:9" ht="13.5">
      <c r="H626" s="223" t="s">
        <v>5</v>
      </c>
      <c r="I626" s="223" t="s">
        <v>1523</v>
      </c>
    </row>
    <row r="627" spans="8:9" ht="13.5">
      <c r="H627" s="223" t="s">
        <v>5</v>
      </c>
      <c r="I627" s="223" t="s">
        <v>1524</v>
      </c>
    </row>
    <row r="628" spans="8:9" ht="13.5">
      <c r="H628" s="223" t="s">
        <v>5</v>
      </c>
      <c r="I628" s="223" t="s">
        <v>1525</v>
      </c>
    </row>
    <row r="629" spans="8:9" ht="13.5">
      <c r="H629" s="223" t="s">
        <v>5</v>
      </c>
      <c r="I629" s="223" t="s">
        <v>1526</v>
      </c>
    </row>
    <row r="630" spans="8:9" ht="13.5">
      <c r="H630" s="223" t="s">
        <v>5</v>
      </c>
      <c r="I630" s="223" t="s">
        <v>1527</v>
      </c>
    </row>
    <row r="631" spans="8:9" ht="13.5">
      <c r="H631" s="223" t="s">
        <v>5</v>
      </c>
      <c r="I631" s="223" t="s">
        <v>1528</v>
      </c>
    </row>
    <row r="632" spans="8:9" ht="13.5">
      <c r="H632" s="223" t="s">
        <v>5</v>
      </c>
      <c r="I632" s="223" t="s">
        <v>1529</v>
      </c>
    </row>
    <row r="633" spans="8:9" ht="13.5">
      <c r="H633" s="223" t="s">
        <v>5</v>
      </c>
      <c r="I633" s="223" t="s">
        <v>1530</v>
      </c>
    </row>
    <row r="634" spans="8:9" ht="13.5">
      <c r="H634" s="223" t="s">
        <v>5</v>
      </c>
      <c r="I634" s="223" t="s">
        <v>1531</v>
      </c>
    </row>
    <row r="635" spans="8:9" ht="13.5">
      <c r="H635" s="223" t="s">
        <v>5</v>
      </c>
      <c r="I635" s="223" t="s">
        <v>1532</v>
      </c>
    </row>
    <row r="636" spans="8:9" ht="13.5">
      <c r="H636" s="223" t="s">
        <v>5</v>
      </c>
      <c r="I636" s="223" t="s">
        <v>1533</v>
      </c>
    </row>
    <row r="637" spans="8:9" ht="13.5">
      <c r="H637" s="223" t="s">
        <v>5</v>
      </c>
      <c r="I637" s="223" t="s">
        <v>1534</v>
      </c>
    </row>
    <row r="638" spans="8:9" ht="13.5">
      <c r="H638" s="223" t="s">
        <v>5</v>
      </c>
      <c r="I638" s="223" t="s">
        <v>1535</v>
      </c>
    </row>
    <row r="639" spans="8:9" ht="13.5">
      <c r="H639" s="223" t="s">
        <v>5</v>
      </c>
      <c r="I639" s="223" t="s">
        <v>1536</v>
      </c>
    </row>
    <row r="640" spans="8:9" ht="13.5">
      <c r="H640" s="223" t="s">
        <v>5</v>
      </c>
      <c r="I640" s="223" t="s">
        <v>1537</v>
      </c>
    </row>
    <row r="641" spans="8:9" ht="13.5">
      <c r="H641" s="223" t="s">
        <v>5</v>
      </c>
      <c r="I641" s="223" t="s">
        <v>1538</v>
      </c>
    </row>
    <row r="642" spans="8:9" ht="13.5">
      <c r="H642" s="223" t="s">
        <v>5</v>
      </c>
      <c r="I642" s="223" t="s">
        <v>1539</v>
      </c>
    </row>
    <row r="643" spans="8:9" ht="13.5">
      <c r="H643" s="223" t="s">
        <v>5</v>
      </c>
      <c r="I643" s="223" t="s">
        <v>1540</v>
      </c>
    </row>
    <row r="644" spans="8:9" ht="13.5">
      <c r="H644" s="223" t="s">
        <v>5</v>
      </c>
      <c r="I644" s="223" t="s">
        <v>1541</v>
      </c>
    </row>
    <row r="645" spans="8:9" ht="13.5">
      <c r="H645" s="223" t="s">
        <v>5</v>
      </c>
      <c r="I645" s="223" t="s">
        <v>1542</v>
      </c>
    </row>
    <row r="646" spans="8:9" ht="13.5">
      <c r="H646" s="223" t="s">
        <v>5</v>
      </c>
      <c r="I646" s="223" t="s">
        <v>1543</v>
      </c>
    </row>
    <row r="647" spans="8:9" ht="13.5">
      <c r="H647" s="223" t="s">
        <v>5</v>
      </c>
      <c r="I647" s="223" t="s">
        <v>1544</v>
      </c>
    </row>
    <row r="648" spans="8:9" ht="13.5">
      <c r="H648" s="223" t="s">
        <v>5</v>
      </c>
      <c r="I648" s="223" t="s">
        <v>1545</v>
      </c>
    </row>
    <row r="649" spans="8:9" ht="13.5">
      <c r="H649" s="223" t="s">
        <v>5</v>
      </c>
      <c r="I649" s="223" t="s">
        <v>1546</v>
      </c>
    </row>
    <row r="650" spans="8:9" ht="13.5">
      <c r="H650" s="223" t="s">
        <v>5</v>
      </c>
      <c r="I650" s="223" t="s">
        <v>1547</v>
      </c>
    </row>
    <row r="651" spans="8:9" ht="13.5">
      <c r="H651" s="223" t="s">
        <v>5</v>
      </c>
      <c r="I651" s="223" t="s">
        <v>1548</v>
      </c>
    </row>
    <row r="652" spans="8:9" ht="13.5">
      <c r="H652" s="223" t="s">
        <v>5</v>
      </c>
      <c r="I652" s="223" t="s">
        <v>1549</v>
      </c>
    </row>
    <row r="653" spans="8:9" ht="13.5">
      <c r="H653" s="223" t="s">
        <v>5</v>
      </c>
      <c r="I653" s="223" t="s">
        <v>1550</v>
      </c>
    </row>
    <row r="654" spans="8:9" ht="13.5">
      <c r="H654" s="223" t="s">
        <v>5</v>
      </c>
      <c r="I654" s="223" t="s">
        <v>1551</v>
      </c>
    </row>
    <row r="655" spans="8:9" ht="13.5">
      <c r="H655" s="223" t="s">
        <v>5</v>
      </c>
      <c r="I655" s="223" t="s">
        <v>1552</v>
      </c>
    </row>
    <row r="656" spans="8:9" ht="13.5">
      <c r="H656" s="223" t="s">
        <v>5</v>
      </c>
      <c r="I656" s="223" t="s">
        <v>1553</v>
      </c>
    </row>
    <row r="657" spans="8:9" ht="13.5">
      <c r="H657" s="223" t="s">
        <v>5</v>
      </c>
      <c r="I657" s="223" t="s">
        <v>1554</v>
      </c>
    </row>
    <row r="658" spans="8:9" ht="13.5">
      <c r="H658" s="223" t="s">
        <v>5</v>
      </c>
      <c r="I658" s="223" t="s">
        <v>1555</v>
      </c>
    </row>
    <row r="659" spans="8:9" ht="13.5">
      <c r="H659" s="223" t="s">
        <v>5</v>
      </c>
      <c r="I659" s="223" t="s">
        <v>1556</v>
      </c>
    </row>
    <row r="660" spans="8:9" ht="13.5">
      <c r="H660" s="223" t="s">
        <v>5</v>
      </c>
      <c r="I660" s="223" t="s">
        <v>1557</v>
      </c>
    </row>
    <row r="661" spans="8:9" ht="13.5">
      <c r="H661" s="223" t="s">
        <v>5</v>
      </c>
      <c r="I661" s="223" t="s">
        <v>1558</v>
      </c>
    </row>
    <row r="662" spans="8:9" ht="13.5">
      <c r="H662" s="223" t="s">
        <v>5</v>
      </c>
      <c r="I662" s="223" t="s">
        <v>1559</v>
      </c>
    </row>
    <row r="663" spans="8:9" ht="13.5">
      <c r="H663" s="223" t="s">
        <v>5</v>
      </c>
      <c r="I663" s="223" t="s">
        <v>1560</v>
      </c>
    </row>
    <row r="664" spans="8:9" ht="13.5">
      <c r="H664" s="223" t="s">
        <v>5</v>
      </c>
      <c r="I664" s="223" t="s">
        <v>1561</v>
      </c>
    </row>
    <row r="665" spans="8:9" ht="13.5">
      <c r="H665" s="223" t="s">
        <v>5</v>
      </c>
      <c r="I665" s="223" t="s">
        <v>1562</v>
      </c>
    </row>
    <row r="666" spans="8:9" ht="13.5">
      <c r="H666" s="223" t="s">
        <v>5</v>
      </c>
      <c r="I666" s="223" t="s">
        <v>1563</v>
      </c>
    </row>
    <row r="667" spans="8:9" ht="13.5">
      <c r="H667" s="223" t="s">
        <v>5</v>
      </c>
      <c r="I667" s="223" t="s">
        <v>1564</v>
      </c>
    </row>
    <row r="668" spans="8:9" ht="13.5">
      <c r="H668" s="223" t="s">
        <v>5</v>
      </c>
      <c r="I668" s="223" t="s">
        <v>1565</v>
      </c>
    </row>
    <row r="669" spans="8:9" ht="13.5">
      <c r="H669" s="223" t="s">
        <v>5</v>
      </c>
      <c r="I669" s="223" t="s">
        <v>1566</v>
      </c>
    </row>
    <row r="670" spans="8:9" ht="13.5">
      <c r="H670" s="223" t="s">
        <v>5</v>
      </c>
      <c r="I670" s="223" t="s">
        <v>1567</v>
      </c>
    </row>
    <row r="671" spans="8:9" ht="13.5">
      <c r="H671" s="223" t="s">
        <v>5</v>
      </c>
      <c r="I671" s="223" t="s">
        <v>1568</v>
      </c>
    </row>
    <row r="672" spans="8:9" ht="13.5">
      <c r="H672" s="223" t="s">
        <v>5</v>
      </c>
      <c r="I672" s="223" t="s">
        <v>1569</v>
      </c>
    </row>
    <row r="673" spans="8:9" ht="13.5">
      <c r="H673" s="223" t="s">
        <v>5</v>
      </c>
      <c r="I673" s="223" t="s">
        <v>1570</v>
      </c>
    </row>
    <row r="674" spans="8:9" ht="13.5">
      <c r="H674" s="223" t="s">
        <v>5</v>
      </c>
      <c r="I674" s="223" t="s">
        <v>1571</v>
      </c>
    </row>
    <row r="675" spans="8:9" ht="13.5">
      <c r="H675" s="223" t="s">
        <v>5</v>
      </c>
      <c r="I675" s="223" t="s">
        <v>1572</v>
      </c>
    </row>
    <row r="676" spans="8:9" ht="13.5">
      <c r="H676" s="223" t="s">
        <v>5</v>
      </c>
      <c r="I676" s="223" t="s">
        <v>1573</v>
      </c>
    </row>
    <row r="677" spans="8:9" ht="13.5">
      <c r="H677" s="223" t="s">
        <v>5</v>
      </c>
      <c r="I677" s="223" t="s">
        <v>1574</v>
      </c>
    </row>
    <row r="678" spans="8:9" ht="13.5">
      <c r="H678" s="223" t="s">
        <v>5</v>
      </c>
      <c r="I678" s="223" t="s">
        <v>1575</v>
      </c>
    </row>
    <row r="679" spans="8:9" ht="13.5">
      <c r="H679" s="223" t="s">
        <v>5</v>
      </c>
      <c r="I679" s="223" t="s">
        <v>1576</v>
      </c>
    </row>
    <row r="680" spans="8:9" ht="13.5">
      <c r="H680" s="223" t="s">
        <v>5</v>
      </c>
      <c r="I680" s="223" t="s">
        <v>1577</v>
      </c>
    </row>
    <row r="681" spans="8:9" ht="13.5">
      <c r="H681" s="223" t="s">
        <v>5</v>
      </c>
      <c r="I681" s="223" t="s">
        <v>1578</v>
      </c>
    </row>
    <row r="682" spans="8:9" ht="13.5">
      <c r="H682" s="223" t="s">
        <v>5</v>
      </c>
      <c r="I682" s="223" t="s">
        <v>1579</v>
      </c>
    </row>
    <row r="683" spans="8:9" ht="13.5">
      <c r="H683" s="223" t="s">
        <v>5</v>
      </c>
      <c r="I683" s="223" t="s">
        <v>1580</v>
      </c>
    </row>
    <row r="684" spans="8:9" ht="13.5">
      <c r="H684" s="223" t="s">
        <v>5</v>
      </c>
      <c r="I684" s="223" t="s">
        <v>1581</v>
      </c>
    </row>
    <row r="685" spans="8:9" ht="13.5">
      <c r="H685" s="223" t="s">
        <v>5</v>
      </c>
      <c r="I685" s="223" t="s">
        <v>1582</v>
      </c>
    </row>
    <row r="686" spans="8:9" ht="13.5">
      <c r="H686" s="223" t="s">
        <v>5</v>
      </c>
      <c r="I686" s="223" t="s">
        <v>1583</v>
      </c>
    </row>
    <row r="687" spans="8:9" ht="13.5">
      <c r="H687" s="223" t="s">
        <v>5</v>
      </c>
      <c r="I687" s="223" t="s">
        <v>1584</v>
      </c>
    </row>
    <row r="688" spans="8:9" ht="13.5">
      <c r="H688" s="223" t="s">
        <v>5</v>
      </c>
      <c r="I688" s="223" t="s">
        <v>1585</v>
      </c>
    </row>
    <row r="689" spans="8:9" ht="13.5">
      <c r="H689" s="223" t="s">
        <v>5</v>
      </c>
      <c r="I689" s="223" t="s">
        <v>1586</v>
      </c>
    </row>
    <row r="690" spans="8:9" ht="13.5">
      <c r="H690" s="223" t="s">
        <v>5</v>
      </c>
      <c r="I690" s="223" t="s">
        <v>1587</v>
      </c>
    </row>
    <row r="691" spans="8:9" ht="13.5">
      <c r="H691" s="223" t="s">
        <v>5</v>
      </c>
      <c r="I691" s="223" t="s">
        <v>1588</v>
      </c>
    </row>
    <row r="692" spans="8:9" ht="13.5">
      <c r="H692" s="223" t="s">
        <v>5</v>
      </c>
      <c r="I692" s="223" t="s">
        <v>1589</v>
      </c>
    </row>
    <row r="693" spans="8:9" ht="13.5">
      <c r="H693" s="223" t="s">
        <v>5</v>
      </c>
      <c r="I693" s="223" t="s">
        <v>1590</v>
      </c>
    </row>
    <row r="694" spans="8:9" ht="13.5">
      <c r="H694" s="223" t="s">
        <v>5</v>
      </c>
      <c r="I694" s="223" t="s">
        <v>1591</v>
      </c>
    </row>
    <row r="695" spans="8:9" ht="13.5">
      <c r="H695" s="223" t="s">
        <v>5</v>
      </c>
      <c r="I695" s="223" t="s">
        <v>1592</v>
      </c>
    </row>
    <row r="696" spans="8:9" ht="13.5">
      <c r="H696" s="223" t="s">
        <v>5</v>
      </c>
      <c r="I696" s="223" t="s">
        <v>1593</v>
      </c>
    </row>
    <row r="697" spans="8:9" ht="13.5">
      <c r="H697" s="223" t="s">
        <v>5</v>
      </c>
      <c r="I697" s="223" t="s">
        <v>1594</v>
      </c>
    </row>
    <row r="698" spans="8:9" ht="13.5">
      <c r="H698" s="223" t="s">
        <v>5</v>
      </c>
      <c r="I698" s="223" t="s">
        <v>1595</v>
      </c>
    </row>
    <row r="699" spans="8:9" ht="13.5">
      <c r="H699" s="223" t="s">
        <v>5</v>
      </c>
      <c r="I699" s="223" t="s">
        <v>1596</v>
      </c>
    </row>
    <row r="700" spans="8:9" ht="13.5">
      <c r="H700" s="223" t="s">
        <v>5</v>
      </c>
      <c r="I700" s="223" t="s">
        <v>1597</v>
      </c>
    </row>
    <row r="701" spans="8:9" ht="13.5">
      <c r="H701" s="223" t="s">
        <v>5</v>
      </c>
      <c r="I701" s="223" t="s">
        <v>1598</v>
      </c>
    </row>
    <row r="702" spans="8:9" ht="13.5">
      <c r="H702" s="223" t="s">
        <v>5</v>
      </c>
      <c r="I702" s="223" t="s">
        <v>1599</v>
      </c>
    </row>
    <row r="703" spans="8:9" ht="13.5">
      <c r="H703" s="223" t="s">
        <v>5</v>
      </c>
      <c r="I703" s="223" t="s">
        <v>1600</v>
      </c>
    </row>
    <row r="704" spans="8:9" ht="13.5">
      <c r="H704" s="223" t="s">
        <v>5</v>
      </c>
      <c r="I704" s="223" t="s">
        <v>1601</v>
      </c>
    </row>
    <row r="705" spans="8:9" ht="13.5">
      <c r="H705" s="223" t="s">
        <v>5</v>
      </c>
      <c r="I705" s="223" t="s">
        <v>1602</v>
      </c>
    </row>
    <row r="706" spans="8:9" ht="13.5">
      <c r="H706" s="223" t="s">
        <v>5</v>
      </c>
      <c r="I706" s="223" t="s">
        <v>1603</v>
      </c>
    </row>
    <row r="707" spans="8:9" ht="13.5">
      <c r="H707" s="223" t="s">
        <v>5</v>
      </c>
      <c r="I707" s="223" t="s">
        <v>1604</v>
      </c>
    </row>
    <row r="708" spans="8:9" ht="13.5">
      <c r="H708" s="223" t="s">
        <v>5</v>
      </c>
      <c r="I708" s="223" t="s">
        <v>1605</v>
      </c>
    </row>
    <row r="709" spans="8:9" ht="13.5">
      <c r="H709" s="223" t="s">
        <v>5</v>
      </c>
      <c r="I709" s="223" t="s">
        <v>1606</v>
      </c>
    </row>
    <row r="710" spans="8:9" ht="13.5">
      <c r="H710" s="223" t="s">
        <v>5</v>
      </c>
      <c r="I710" s="223" t="s">
        <v>1607</v>
      </c>
    </row>
    <row r="711" spans="8:9" ht="13.5">
      <c r="H711" s="223" t="s">
        <v>5</v>
      </c>
      <c r="I711" s="223" t="s">
        <v>1608</v>
      </c>
    </row>
    <row r="712" spans="8:9" ht="13.5">
      <c r="H712" s="223" t="s">
        <v>5</v>
      </c>
      <c r="I712" s="223" t="s">
        <v>1609</v>
      </c>
    </row>
    <row r="713" spans="8:9" ht="13.5">
      <c r="H713" s="223" t="s">
        <v>5</v>
      </c>
      <c r="I713" s="223" t="s">
        <v>1610</v>
      </c>
    </row>
    <row r="714" spans="8:9" ht="13.5">
      <c r="H714" s="223" t="s">
        <v>5</v>
      </c>
      <c r="I714" s="223" t="s">
        <v>1611</v>
      </c>
    </row>
    <row r="715" spans="8:9" ht="13.5">
      <c r="H715" s="223" t="s">
        <v>5</v>
      </c>
      <c r="I715" s="223" t="s">
        <v>1612</v>
      </c>
    </row>
    <row r="716" spans="8:9" ht="13.5">
      <c r="H716" s="223" t="s">
        <v>5</v>
      </c>
      <c r="I716" s="223" t="s">
        <v>1613</v>
      </c>
    </row>
    <row r="717" spans="8:9" ht="13.5">
      <c r="H717" s="223" t="s">
        <v>5</v>
      </c>
      <c r="I717" s="223" t="s">
        <v>1614</v>
      </c>
    </row>
    <row r="718" spans="8:9" ht="13.5">
      <c r="H718" s="223" t="s">
        <v>5</v>
      </c>
      <c r="I718" s="223" t="s">
        <v>1615</v>
      </c>
    </row>
    <row r="719" spans="8:9" ht="13.5">
      <c r="H719" s="223" t="s">
        <v>5</v>
      </c>
      <c r="I719" s="223" t="s">
        <v>1616</v>
      </c>
    </row>
    <row r="720" spans="8:9" ht="13.5">
      <c r="H720" s="223" t="s">
        <v>5</v>
      </c>
      <c r="I720" s="223" t="s">
        <v>1617</v>
      </c>
    </row>
    <row r="721" spans="8:9" ht="13.5">
      <c r="H721" s="223" t="s">
        <v>5</v>
      </c>
      <c r="I721" s="223" t="s">
        <v>1618</v>
      </c>
    </row>
    <row r="722" spans="8:9" ht="13.5">
      <c r="H722" s="223" t="s">
        <v>5</v>
      </c>
      <c r="I722" s="223" t="s">
        <v>1619</v>
      </c>
    </row>
    <row r="723" spans="8:9" ht="13.5">
      <c r="H723" s="223" t="s">
        <v>5</v>
      </c>
      <c r="I723" s="223" t="s">
        <v>1620</v>
      </c>
    </row>
    <row r="724" spans="8:9" ht="13.5">
      <c r="H724" s="223" t="s">
        <v>5</v>
      </c>
      <c r="I724" s="223" t="s">
        <v>1621</v>
      </c>
    </row>
    <row r="725" spans="8:9" ht="13.5">
      <c r="H725" s="223" t="s">
        <v>5</v>
      </c>
      <c r="I725" s="223" t="s">
        <v>1622</v>
      </c>
    </row>
    <row r="726" spans="8:9" ht="13.5">
      <c r="H726" s="223" t="s">
        <v>5</v>
      </c>
      <c r="I726" s="223" t="s">
        <v>1623</v>
      </c>
    </row>
    <row r="727" spans="8:9" ht="13.5">
      <c r="H727" s="223" t="s">
        <v>5</v>
      </c>
      <c r="I727" s="223" t="s">
        <v>1624</v>
      </c>
    </row>
    <row r="728" spans="8:9" ht="13.5">
      <c r="H728" s="223" t="s">
        <v>5</v>
      </c>
      <c r="I728" s="223" t="s">
        <v>1625</v>
      </c>
    </row>
    <row r="729" spans="8:9" ht="13.5">
      <c r="H729" s="223" t="s">
        <v>5</v>
      </c>
      <c r="I729" s="223" t="s">
        <v>1626</v>
      </c>
    </row>
    <row r="730" spans="8:9" ht="13.5">
      <c r="H730" s="223" t="s">
        <v>5</v>
      </c>
      <c r="I730" s="223" t="s">
        <v>1627</v>
      </c>
    </row>
    <row r="731" spans="8:9" ht="13.5">
      <c r="H731" s="223" t="s">
        <v>5</v>
      </c>
      <c r="I731" s="223" t="s">
        <v>1628</v>
      </c>
    </row>
    <row r="732" spans="8:9" ht="13.5">
      <c r="H732" s="223" t="s">
        <v>5</v>
      </c>
      <c r="I732" s="223" t="s">
        <v>1629</v>
      </c>
    </row>
    <row r="733" spans="8:9" ht="13.5">
      <c r="H733" s="223" t="s">
        <v>5</v>
      </c>
      <c r="I733" s="223" t="s">
        <v>1630</v>
      </c>
    </row>
    <row r="734" spans="8:9" ht="13.5">
      <c r="H734" s="223" t="s">
        <v>5</v>
      </c>
      <c r="I734" s="223" t="s">
        <v>1631</v>
      </c>
    </row>
    <row r="735" spans="8:9" ht="13.5">
      <c r="H735" s="223" t="s">
        <v>5</v>
      </c>
      <c r="I735" s="223" t="s">
        <v>1632</v>
      </c>
    </row>
    <row r="736" spans="8:9" ht="13.5">
      <c r="H736" s="223" t="s">
        <v>5</v>
      </c>
      <c r="I736" s="223" t="s">
        <v>1633</v>
      </c>
    </row>
    <row r="737" spans="8:9" ht="13.5">
      <c r="H737" s="223" t="s">
        <v>5</v>
      </c>
      <c r="I737" s="223" t="s">
        <v>1634</v>
      </c>
    </row>
    <row r="738" spans="8:9" ht="13.5">
      <c r="H738" s="223" t="s">
        <v>5</v>
      </c>
      <c r="I738" s="223" t="s">
        <v>1635</v>
      </c>
    </row>
    <row r="739" spans="8:9" ht="13.5">
      <c r="H739" s="223" t="s">
        <v>5</v>
      </c>
      <c r="I739" s="223" t="s">
        <v>1636</v>
      </c>
    </row>
    <row r="740" spans="8:9" ht="13.5">
      <c r="H740" s="223" t="s">
        <v>5</v>
      </c>
      <c r="I740" s="223" t="s">
        <v>1637</v>
      </c>
    </row>
    <row r="741" spans="8:9" ht="13.5">
      <c r="H741" s="223" t="s">
        <v>5</v>
      </c>
      <c r="I741" s="223" t="s">
        <v>1638</v>
      </c>
    </row>
    <row r="742" spans="8:9" ht="13.5">
      <c r="H742" s="223" t="s">
        <v>5</v>
      </c>
      <c r="I742" s="223" t="s">
        <v>1639</v>
      </c>
    </row>
    <row r="743" spans="8:9" ht="13.5">
      <c r="H743" s="223" t="s">
        <v>5</v>
      </c>
      <c r="I743" s="223" t="s">
        <v>1640</v>
      </c>
    </row>
    <row r="744" spans="8:9" ht="13.5">
      <c r="H744" s="223" t="s">
        <v>5</v>
      </c>
      <c r="I744" s="223" t="s">
        <v>1641</v>
      </c>
    </row>
    <row r="745" spans="8:9" ht="13.5">
      <c r="H745" s="223" t="s">
        <v>5</v>
      </c>
      <c r="I745" s="223" t="s">
        <v>1642</v>
      </c>
    </row>
    <row r="746" spans="8:9" ht="13.5">
      <c r="H746" s="223" t="s">
        <v>5</v>
      </c>
      <c r="I746" s="223" t="s">
        <v>1643</v>
      </c>
    </row>
    <row r="747" spans="8:9" ht="13.5">
      <c r="H747" s="223" t="s">
        <v>5</v>
      </c>
      <c r="I747" s="223" t="s">
        <v>1644</v>
      </c>
    </row>
    <row r="748" spans="8:9" ht="13.5">
      <c r="H748" s="223" t="s">
        <v>5</v>
      </c>
      <c r="I748" s="223" t="s">
        <v>1645</v>
      </c>
    </row>
    <row r="749" spans="8:9" ht="13.5">
      <c r="H749" s="223" t="s">
        <v>5</v>
      </c>
      <c r="I749" s="223" t="s">
        <v>1646</v>
      </c>
    </row>
    <row r="750" spans="8:9" ht="13.5">
      <c r="H750" s="223" t="s">
        <v>5</v>
      </c>
      <c r="I750" s="223" t="s">
        <v>1647</v>
      </c>
    </row>
    <row r="751" spans="8:9" ht="13.5">
      <c r="H751" s="223" t="s">
        <v>5</v>
      </c>
      <c r="I751" s="223" t="s">
        <v>1648</v>
      </c>
    </row>
    <row r="752" spans="8:9" ht="13.5">
      <c r="H752" s="223" t="s">
        <v>5</v>
      </c>
      <c r="I752" s="223" t="s">
        <v>1649</v>
      </c>
    </row>
    <row r="753" spans="8:9" ht="13.5">
      <c r="H753" s="223" t="s">
        <v>5</v>
      </c>
      <c r="I753" s="223" t="s">
        <v>1650</v>
      </c>
    </row>
    <row r="754" spans="8:9" ht="13.5">
      <c r="H754" s="223" t="s">
        <v>5</v>
      </c>
      <c r="I754" s="223" t="s">
        <v>1651</v>
      </c>
    </row>
    <row r="755" spans="8:9" ht="13.5">
      <c r="H755" s="223" t="s">
        <v>5</v>
      </c>
      <c r="I755" s="223" t="s">
        <v>1652</v>
      </c>
    </row>
    <row r="756" spans="8:9" ht="13.5">
      <c r="H756" s="223" t="s">
        <v>5</v>
      </c>
      <c r="I756" s="223" t="s">
        <v>1653</v>
      </c>
    </row>
    <row r="757" spans="8:9" ht="13.5">
      <c r="H757" s="223" t="s">
        <v>5</v>
      </c>
      <c r="I757" s="223" t="s">
        <v>1654</v>
      </c>
    </row>
    <row r="758" spans="8:9" ht="13.5">
      <c r="H758" s="223" t="s">
        <v>5</v>
      </c>
      <c r="I758" s="223" t="s">
        <v>1655</v>
      </c>
    </row>
    <row r="759" spans="8:9" ht="13.5">
      <c r="H759" s="223" t="s">
        <v>5</v>
      </c>
      <c r="I759" s="223" t="s">
        <v>1656</v>
      </c>
    </row>
    <row r="760" spans="8:9" ht="13.5">
      <c r="H760" s="223" t="s">
        <v>5</v>
      </c>
      <c r="I760" s="223" t="s">
        <v>1657</v>
      </c>
    </row>
    <row r="761" spans="8:9" ht="13.5">
      <c r="H761" s="223" t="s">
        <v>5</v>
      </c>
      <c r="I761" s="223" t="s">
        <v>1658</v>
      </c>
    </row>
    <row r="762" spans="8:9" ht="13.5">
      <c r="H762" s="223" t="s">
        <v>5</v>
      </c>
      <c r="I762" s="223" t="s">
        <v>1659</v>
      </c>
    </row>
    <row r="763" spans="8:9" ht="13.5">
      <c r="H763" s="223" t="s">
        <v>5</v>
      </c>
      <c r="I763" s="223" t="s">
        <v>1660</v>
      </c>
    </row>
    <row r="764" spans="8:9" ht="13.5">
      <c r="H764" s="223" t="s">
        <v>5</v>
      </c>
      <c r="I764" s="223" t="s">
        <v>1661</v>
      </c>
    </row>
    <row r="765" spans="8:9" ht="13.5">
      <c r="H765" s="223" t="s">
        <v>5</v>
      </c>
      <c r="I765" s="223" t="s">
        <v>1662</v>
      </c>
    </row>
    <row r="766" spans="8:9" ht="13.5">
      <c r="H766" s="223" t="s">
        <v>5</v>
      </c>
      <c r="I766" s="223" t="s">
        <v>1663</v>
      </c>
    </row>
    <row r="767" spans="8:9" ht="13.5">
      <c r="H767" s="223" t="s">
        <v>5</v>
      </c>
      <c r="I767" s="223" t="s">
        <v>1664</v>
      </c>
    </row>
    <row r="768" spans="8:9" ht="13.5">
      <c r="H768" s="223" t="s">
        <v>5</v>
      </c>
      <c r="I768" s="223" t="s">
        <v>1665</v>
      </c>
    </row>
    <row r="769" spans="8:9" ht="13.5">
      <c r="H769" s="223" t="s">
        <v>5</v>
      </c>
      <c r="I769" s="223" t="s">
        <v>1666</v>
      </c>
    </row>
    <row r="770" spans="8:9" ht="13.5">
      <c r="H770" s="223" t="s">
        <v>5</v>
      </c>
      <c r="I770" s="223" t="s">
        <v>1667</v>
      </c>
    </row>
    <row r="771" spans="8:9" ht="13.5">
      <c r="H771" s="223" t="s">
        <v>5</v>
      </c>
      <c r="I771" s="223" t="s">
        <v>1668</v>
      </c>
    </row>
    <row r="772" spans="8:9" ht="13.5">
      <c r="H772" s="223" t="s">
        <v>5</v>
      </c>
      <c r="I772" s="223" t="s">
        <v>1669</v>
      </c>
    </row>
    <row r="773" spans="8:9" ht="13.5">
      <c r="H773" s="223" t="s">
        <v>5</v>
      </c>
      <c r="I773" s="223" t="s">
        <v>1670</v>
      </c>
    </row>
    <row r="774" spans="8:9" ht="13.5">
      <c r="H774" s="223" t="s">
        <v>5</v>
      </c>
      <c r="I774" s="223" t="s">
        <v>1671</v>
      </c>
    </row>
    <row r="775" spans="8:9" ht="13.5">
      <c r="H775" s="223" t="s">
        <v>5</v>
      </c>
      <c r="I775" s="223" t="s">
        <v>1672</v>
      </c>
    </row>
    <row r="776" spans="8:9" ht="13.5">
      <c r="H776" s="223" t="s">
        <v>5</v>
      </c>
      <c r="I776" s="223" t="s">
        <v>1673</v>
      </c>
    </row>
    <row r="777" spans="8:9" ht="13.5">
      <c r="H777" s="223" t="s">
        <v>5</v>
      </c>
      <c r="I777" s="223" t="s">
        <v>1674</v>
      </c>
    </row>
    <row r="778" spans="8:9" ht="13.5">
      <c r="H778" s="223" t="s">
        <v>5</v>
      </c>
      <c r="I778" s="223" t="s">
        <v>1675</v>
      </c>
    </row>
    <row r="779" spans="8:9" ht="13.5">
      <c r="H779" s="223" t="s">
        <v>5</v>
      </c>
      <c r="I779" s="223" t="s">
        <v>1676</v>
      </c>
    </row>
    <row r="780" spans="8:9" ht="13.5">
      <c r="H780" s="223" t="s">
        <v>5</v>
      </c>
      <c r="I780" s="223" t="s">
        <v>1677</v>
      </c>
    </row>
    <row r="781" spans="8:9" ht="13.5">
      <c r="H781" s="223" t="s">
        <v>5</v>
      </c>
      <c r="I781" s="223" t="s">
        <v>1678</v>
      </c>
    </row>
    <row r="782" spans="8:9" ht="13.5">
      <c r="H782" s="223" t="s">
        <v>5</v>
      </c>
      <c r="I782" s="223" t="s">
        <v>1679</v>
      </c>
    </row>
    <row r="783" spans="8:9" ht="13.5">
      <c r="H783" s="223" t="s">
        <v>5</v>
      </c>
      <c r="I783" s="223" t="s">
        <v>1680</v>
      </c>
    </row>
    <row r="784" spans="8:9" ht="13.5">
      <c r="H784" s="223" t="s">
        <v>5</v>
      </c>
      <c r="I784" s="223" t="s">
        <v>1681</v>
      </c>
    </row>
    <row r="785" spans="8:9" ht="13.5">
      <c r="H785" s="223" t="s">
        <v>5</v>
      </c>
      <c r="I785" s="223" t="s">
        <v>1682</v>
      </c>
    </row>
    <row r="786" spans="8:9" ht="13.5">
      <c r="H786" s="223" t="s">
        <v>5</v>
      </c>
      <c r="I786" s="223" t="s">
        <v>1683</v>
      </c>
    </row>
    <row r="787" spans="8:9" ht="13.5">
      <c r="H787" s="223" t="s">
        <v>5</v>
      </c>
      <c r="I787" s="223" t="s">
        <v>1684</v>
      </c>
    </row>
    <row r="788" spans="8:9" ht="13.5">
      <c r="H788" s="223" t="s">
        <v>5</v>
      </c>
      <c r="I788" s="223" t="s">
        <v>1685</v>
      </c>
    </row>
    <row r="789" spans="8:9" ht="13.5">
      <c r="H789" s="223" t="s">
        <v>5</v>
      </c>
      <c r="I789" s="223" t="s">
        <v>1686</v>
      </c>
    </row>
    <row r="790" spans="8:9" ht="13.5">
      <c r="H790" s="223" t="s">
        <v>5</v>
      </c>
      <c r="I790" s="223" t="s">
        <v>1687</v>
      </c>
    </row>
    <row r="791" spans="8:9" ht="13.5">
      <c r="H791" s="223" t="s">
        <v>5</v>
      </c>
      <c r="I791" s="223" t="s">
        <v>1688</v>
      </c>
    </row>
    <row r="792" spans="8:9" ht="13.5">
      <c r="H792" s="223" t="s">
        <v>5</v>
      </c>
      <c r="I792" s="223" t="s">
        <v>1689</v>
      </c>
    </row>
    <row r="793" spans="8:9" ht="13.5">
      <c r="H793" s="223" t="s">
        <v>5</v>
      </c>
      <c r="I793" s="223" t="s">
        <v>1690</v>
      </c>
    </row>
    <row r="794" spans="8:9" ht="13.5">
      <c r="H794" s="223" t="s">
        <v>5</v>
      </c>
      <c r="I794" s="223" t="s">
        <v>1691</v>
      </c>
    </row>
    <row r="795" spans="8:9" ht="13.5">
      <c r="H795" s="223" t="s">
        <v>5</v>
      </c>
      <c r="I795" s="223" t="s">
        <v>1692</v>
      </c>
    </row>
    <row r="796" spans="8:9" ht="13.5">
      <c r="H796" s="223" t="s">
        <v>5</v>
      </c>
      <c r="I796" s="223" t="s">
        <v>1693</v>
      </c>
    </row>
    <row r="797" spans="8:9" ht="13.5">
      <c r="H797" s="223" t="s">
        <v>5</v>
      </c>
      <c r="I797" s="223" t="s">
        <v>1694</v>
      </c>
    </row>
    <row r="798" spans="8:9" ht="13.5">
      <c r="H798" s="223" t="s">
        <v>5</v>
      </c>
      <c r="I798" s="223" t="s">
        <v>1695</v>
      </c>
    </row>
    <row r="799" spans="8:9" ht="13.5">
      <c r="H799" s="223" t="s">
        <v>5</v>
      </c>
      <c r="I799" s="223" t="s">
        <v>1696</v>
      </c>
    </row>
    <row r="800" spans="8:9" ht="13.5">
      <c r="H800" s="223" t="s">
        <v>5</v>
      </c>
      <c r="I800" s="223" t="s">
        <v>1697</v>
      </c>
    </row>
    <row r="801" spans="8:9" ht="13.5">
      <c r="H801" s="223" t="s">
        <v>5</v>
      </c>
      <c r="I801" s="223" t="s">
        <v>1698</v>
      </c>
    </row>
    <row r="802" spans="8:9" ht="13.5">
      <c r="H802" s="223" t="s">
        <v>5</v>
      </c>
      <c r="I802" s="223" t="s">
        <v>1699</v>
      </c>
    </row>
    <row r="803" spans="8:9" ht="13.5">
      <c r="H803" s="223" t="s">
        <v>5</v>
      </c>
      <c r="I803" s="223" t="s">
        <v>1700</v>
      </c>
    </row>
    <row r="804" spans="8:9" ht="13.5">
      <c r="H804" s="223" t="s">
        <v>5</v>
      </c>
      <c r="I804" s="223" t="s">
        <v>1701</v>
      </c>
    </row>
    <row r="805" spans="8:9" ht="13.5">
      <c r="H805" s="223" t="s">
        <v>5</v>
      </c>
      <c r="I805" s="223" t="s">
        <v>1702</v>
      </c>
    </row>
    <row r="806" spans="8:9" ht="13.5">
      <c r="H806" s="223" t="s">
        <v>5</v>
      </c>
      <c r="I806" s="223" t="s">
        <v>1703</v>
      </c>
    </row>
    <row r="807" spans="8:9" ht="13.5">
      <c r="H807" s="223" t="s">
        <v>5</v>
      </c>
      <c r="I807" s="223" t="s">
        <v>1704</v>
      </c>
    </row>
    <row r="808" spans="8:9" ht="13.5">
      <c r="H808" s="223" t="s">
        <v>5</v>
      </c>
      <c r="I808" s="223" t="s">
        <v>1705</v>
      </c>
    </row>
    <row r="809" spans="8:9" ht="13.5">
      <c r="H809" s="223" t="s">
        <v>5</v>
      </c>
      <c r="I809" s="223" t="s">
        <v>1706</v>
      </c>
    </row>
    <row r="810" spans="8:9" ht="13.5">
      <c r="H810" s="223" t="s">
        <v>5</v>
      </c>
      <c r="I810" s="223" t="s">
        <v>1707</v>
      </c>
    </row>
    <row r="811" spans="8:9" ht="13.5">
      <c r="H811" s="223" t="s">
        <v>5</v>
      </c>
      <c r="I811" s="223" t="s">
        <v>1708</v>
      </c>
    </row>
    <row r="812" spans="8:9" ht="13.5">
      <c r="H812" s="223" t="s">
        <v>5</v>
      </c>
      <c r="I812" s="223" t="s">
        <v>1709</v>
      </c>
    </row>
    <row r="813" spans="8:9" ht="13.5">
      <c r="H813" s="223" t="s">
        <v>5</v>
      </c>
      <c r="I813" s="223" t="s">
        <v>1710</v>
      </c>
    </row>
    <row r="814" spans="8:9" ht="13.5">
      <c r="H814" s="223" t="s">
        <v>5</v>
      </c>
      <c r="I814" s="223" t="s">
        <v>1711</v>
      </c>
    </row>
    <row r="815" spans="8:9" ht="13.5">
      <c r="H815" s="223" t="s">
        <v>5</v>
      </c>
      <c r="I815" s="223" t="s">
        <v>1712</v>
      </c>
    </row>
    <row r="816" spans="8:9" ht="13.5">
      <c r="H816" s="223" t="s">
        <v>5</v>
      </c>
      <c r="I816" s="223" t="s">
        <v>1713</v>
      </c>
    </row>
    <row r="817" spans="8:9" ht="13.5">
      <c r="H817" s="223" t="s">
        <v>5</v>
      </c>
      <c r="I817" s="223" t="s">
        <v>1714</v>
      </c>
    </row>
    <row r="818" spans="8:9" ht="13.5">
      <c r="H818" s="223" t="s">
        <v>5</v>
      </c>
      <c r="I818" s="223" t="s">
        <v>1715</v>
      </c>
    </row>
    <row r="819" spans="8:9" ht="13.5">
      <c r="H819" s="223" t="s">
        <v>5</v>
      </c>
      <c r="I819" s="223" t="s">
        <v>1716</v>
      </c>
    </row>
    <row r="820" spans="8:9" ht="13.5">
      <c r="H820" s="223" t="s">
        <v>5</v>
      </c>
      <c r="I820" s="223" t="s">
        <v>1717</v>
      </c>
    </row>
    <row r="821" spans="8:9" ht="13.5">
      <c r="H821" s="223" t="s">
        <v>5</v>
      </c>
      <c r="I821" s="223" t="s">
        <v>1718</v>
      </c>
    </row>
    <row r="822" spans="8:9" ht="13.5">
      <c r="H822" s="223" t="s">
        <v>5</v>
      </c>
      <c r="I822" s="223" t="s">
        <v>1719</v>
      </c>
    </row>
    <row r="823" spans="8:9" ht="13.5">
      <c r="H823" s="223" t="s">
        <v>5</v>
      </c>
      <c r="I823" s="223" t="s">
        <v>1720</v>
      </c>
    </row>
    <row r="824" spans="8:9" ht="13.5">
      <c r="H824" s="223" t="s">
        <v>5</v>
      </c>
      <c r="I824" s="223" t="s">
        <v>1721</v>
      </c>
    </row>
    <row r="825" spans="8:9" ht="13.5">
      <c r="H825" s="223" t="s">
        <v>5</v>
      </c>
      <c r="I825" s="223" t="s">
        <v>1722</v>
      </c>
    </row>
    <row r="826" spans="8:9" ht="13.5">
      <c r="H826" s="223" t="s">
        <v>5</v>
      </c>
      <c r="I826" s="223" t="s">
        <v>1723</v>
      </c>
    </row>
    <row r="827" spans="8:9" ht="13.5">
      <c r="H827" s="223" t="s">
        <v>5</v>
      </c>
      <c r="I827" s="223" t="s">
        <v>1724</v>
      </c>
    </row>
    <row r="828" spans="8:9" ht="13.5">
      <c r="H828" s="223" t="s">
        <v>5</v>
      </c>
      <c r="I828" s="223" t="s">
        <v>1725</v>
      </c>
    </row>
    <row r="829" spans="8:9" ht="13.5">
      <c r="H829" s="223" t="s">
        <v>5</v>
      </c>
      <c r="I829" s="223" t="s">
        <v>1726</v>
      </c>
    </row>
    <row r="830" spans="8:9" ht="13.5">
      <c r="H830" s="223" t="s">
        <v>5</v>
      </c>
      <c r="I830" s="223" t="s">
        <v>1727</v>
      </c>
    </row>
    <row r="831" spans="8:9" ht="13.5">
      <c r="H831" s="223" t="s">
        <v>5</v>
      </c>
      <c r="I831" s="223" t="s">
        <v>1728</v>
      </c>
    </row>
    <row r="832" spans="8:9" ht="13.5">
      <c r="H832" s="223" t="s">
        <v>5</v>
      </c>
      <c r="I832" s="223" t="s">
        <v>1729</v>
      </c>
    </row>
    <row r="833" spans="8:9" ht="13.5">
      <c r="H833" s="223" t="s">
        <v>5</v>
      </c>
      <c r="I833" s="223" t="s">
        <v>1730</v>
      </c>
    </row>
    <row r="834" spans="8:9" ht="13.5">
      <c r="H834" s="223" t="s">
        <v>5</v>
      </c>
      <c r="I834" s="223" t="s">
        <v>1731</v>
      </c>
    </row>
    <row r="835" spans="8:9" ht="13.5">
      <c r="H835" s="223" t="s">
        <v>5</v>
      </c>
      <c r="I835" s="223" t="s">
        <v>1732</v>
      </c>
    </row>
    <row r="836" spans="8:9" ht="13.5">
      <c r="H836" s="223" t="s">
        <v>5</v>
      </c>
      <c r="I836" s="223" t="s">
        <v>1733</v>
      </c>
    </row>
    <row r="837" spans="8:9" ht="13.5">
      <c r="H837" s="223" t="s">
        <v>5</v>
      </c>
      <c r="I837" s="223" t="s">
        <v>1734</v>
      </c>
    </row>
    <row r="838" spans="8:9" ht="13.5">
      <c r="H838" s="223" t="s">
        <v>5</v>
      </c>
      <c r="I838" s="223" t="s">
        <v>1735</v>
      </c>
    </row>
    <row r="839" spans="8:9" ht="13.5">
      <c r="H839" s="223" t="s">
        <v>5</v>
      </c>
      <c r="I839" s="223" t="s">
        <v>1736</v>
      </c>
    </row>
    <row r="840" spans="8:9" ht="13.5">
      <c r="H840" s="223" t="s">
        <v>5</v>
      </c>
      <c r="I840" s="223" t="s">
        <v>1737</v>
      </c>
    </row>
    <row r="841" spans="8:9" ht="13.5">
      <c r="H841" s="223" t="s">
        <v>5</v>
      </c>
      <c r="I841" s="223" t="s">
        <v>1738</v>
      </c>
    </row>
    <row r="842" spans="8:9" ht="13.5">
      <c r="H842" s="223" t="s">
        <v>5</v>
      </c>
      <c r="I842" s="223" t="s">
        <v>1739</v>
      </c>
    </row>
    <row r="843" spans="8:9" ht="13.5">
      <c r="H843" s="223" t="s">
        <v>5</v>
      </c>
      <c r="I843" s="223" t="s">
        <v>1740</v>
      </c>
    </row>
    <row r="844" spans="8:9" ht="13.5">
      <c r="H844" s="223" t="s">
        <v>5</v>
      </c>
      <c r="I844" s="223" t="s">
        <v>1741</v>
      </c>
    </row>
    <row r="845" spans="8:9" ht="13.5">
      <c r="H845" s="223" t="s">
        <v>5</v>
      </c>
      <c r="I845" s="223" t="s">
        <v>1742</v>
      </c>
    </row>
    <row r="846" spans="8:9" ht="13.5">
      <c r="H846" s="223" t="s">
        <v>22</v>
      </c>
      <c r="I846" s="223" t="s">
        <v>756</v>
      </c>
    </row>
    <row r="847" spans="8:9" ht="13.5">
      <c r="H847" s="223" t="s">
        <v>22</v>
      </c>
      <c r="I847" s="223" t="s">
        <v>1743</v>
      </c>
    </row>
    <row r="848" spans="8:9" ht="13.5">
      <c r="H848" s="223" t="s">
        <v>22</v>
      </c>
      <c r="I848" s="223" t="s">
        <v>1744</v>
      </c>
    </row>
    <row r="849" spans="8:9" ht="13.5">
      <c r="H849" s="223" t="s">
        <v>22</v>
      </c>
      <c r="I849" s="223" t="s">
        <v>1745</v>
      </c>
    </row>
    <row r="850" spans="8:9" ht="13.5">
      <c r="H850" s="223" t="s">
        <v>22</v>
      </c>
      <c r="I850" s="223" t="s">
        <v>1746</v>
      </c>
    </row>
    <row r="851" spans="8:9" ht="13.5">
      <c r="H851" s="223" t="s">
        <v>22</v>
      </c>
      <c r="I851" s="223" t="s">
        <v>1747</v>
      </c>
    </row>
    <row r="852" spans="8:9" ht="13.5">
      <c r="H852" s="223" t="s">
        <v>22</v>
      </c>
      <c r="I852" s="223" t="s">
        <v>1748</v>
      </c>
    </row>
    <row r="853" spans="8:9" ht="13.5">
      <c r="H853" s="223" t="s">
        <v>22</v>
      </c>
      <c r="I853" s="223" t="s">
        <v>1749</v>
      </c>
    </row>
    <row r="854" spans="8:9" ht="13.5">
      <c r="H854" s="223" t="s">
        <v>22</v>
      </c>
      <c r="I854" s="223" t="s">
        <v>1750</v>
      </c>
    </row>
    <row r="855" spans="8:9" ht="13.5">
      <c r="H855" s="223" t="s">
        <v>22</v>
      </c>
      <c r="I855" s="223" t="s">
        <v>1751</v>
      </c>
    </row>
    <row r="856" spans="8:9" ht="13.5">
      <c r="H856" s="223" t="s">
        <v>22</v>
      </c>
      <c r="I856" s="223" t="s">
        <v>1752</v>
      </c>
    </row>
    <row r="857" spans="8:9" ht="13.5">
      <c r="H857" s="223" t="s">
        <v>22</v>
      </c>
      <c r="I857" s="223" t="s">
        <v>1753</v>
      </c>
    </row>
    <row r="858" spans="8:9" ht="13.5">
      <c r="H858" s="223" t="s">
        <v>22</v>
      </c>
      <c r="I858" s="223" t="s">
        <v>1754</v>
      </c>
    </row>
    <row r="859" spans="8:9" ht="13.5">
      <c r="H859" s="223" t="s">
        <v>22</v>
      </c>
      <c r="I859" s="223" t="s">
        <v>1755</v>
      </c>
    </row>
    <row r="860" spans="8:9" ht="13.5">
      <c r="H860" s="223" t="s">
        <v>22</v>
      </c>
      <c r="I860" s="223" t="s">
        <v>1756</v>
      </c>
    </row>
    <row r="861" spans="8:9" ht="13.5">
      <c r="H861" s="223" t="s">
        <v>22</v>
      </c>
      <c r="I861" s="223" t="s">
        <v>1757</v>
      </c>
    </row>
    <row r="862" spans="8:9" ht="13.5">
      <c r="H862" s="223" t="s">
        <v>22</v>
      </c>
      <c r="I862" s="223" t="s">
        <v>1758</v>
      </c>
    </row>
    <row r="863" spans="8:9" ht="13.5">
      <c r="H863" s="223" t="s">
        <v>22</v>
      </c>
      <c r="I863" s="223" t="s">
        <v>1759</v>
      </c>
    </row>
    <row r="864" spans="8:9" ht="13.5">
      <c r="H864" s="223" t="s">
        <v>22</v>
      </c>
      <c r="I864" s="223" t="s">
        <v>1760</v>
      </c>
    </row>
    <row r="865" spans="8:9" ht="13.5">
      <c r="H865" s="223" t="s">
        <v>22</v>
      </c>
      <c r="I865" s="223" t="s">
        <v>1761</v>
      </c>
    </row>
    <row r="866" spans="8:9" ht="13.5">
      <c r="H866" s="223" t="s">
        <v>22</v>
      </c>
      <c r="I866" s="223" t="s">
        <v>1762</v>
      </c>
    </row>
    <row r="867" spans="8:9" ht="13.5">
      <c r="H867" s="223" t="s">
        <v>22</v>
      </c>
      <c r="I867" s="223" t="s">
        <v>1763</v>
      </c>
    </row>
    <row r="868" spans="8:9" ht="13.5">
      <c r="H868" s="223" t="s">
        <v>22</v>
      </c>
      <c r="I868" s="223" t="s">
        <v>1764</v>
      </c>
    </row>
    <row r="869" spans="8:9" ht="13.5">
      <c r="H869" s="223" t="s">
        <v>22</v>
      </c>
      <c r="I869" s="223" t="s">
        <v>1765</v>
      </c>
    </row>
    <row r="870" spans="8:9" ht="13.5">
      <c r="H870" s="223" t="s">
        <v>22</v>
      </c>
      <c r="I870" s="223" t="s">
        <v>1766</v>
      </c>
    </row>
    <row r="871" spans="8:9" ht="13.5">
      <c r="H871" s="223" t="s">
        <v>22</v>
      </c>
      <c r="I871" s="223" t="s">
        <v>1767</v>
      </c>
    </row>
    <row r="872" spans="8:9" ht="13.5">
      <c r="H872" s="223" t="s">
        <v>22</v>
      </c>
      <c r="I872" s="223" t="s">
        <v>1768</v>
      </c>
    </row>
    <row r="873" spans="8:9" ht="13.5">
      <c r="H873" s="223" t="s">
        <v>22</v>
      </c>
      <c r="I873" s="223" t="s">
        <v>1769</v>
      </c>
    </row>
    <row r="874" spans="8:9" ht="13.5">
      <c r="H874" s="223" t="s">
        <v>22</v>
      </c>
      <c r="I874" s="223" t="s">
        <v>1770</v>
      </c>
    </row>
    <row r="875" spans="8:9" ht="13.5">
      <c r="H875" s="223" t="s">
        <v>22</v>
      </c>
      <c r="I875" s="223" t="s">
        <v>1771</v>
      </c>
    </row>
    <row r="876" spans="8:9" ht="13.5">
      <c r="H876" s="223" t="s">
        <v>22</v>
      </c>
      <c r="I876" s="223" t="s">
        <v>1772</v>
      </c>
    </row>
    <row r="877" spans="8:9" ht="13.5">
      <c r="H877" s="223" t="s">
        <v>22</v>
      </c>
      <c r="I877" s="223" t="s">
        <v>1773</v>
      </c>
    </row>
    <row r="878" spans="8:9" ht="13.5">
      <c r="H878" s="223" t="s">
        <v>22</v>
      </c>
      <c r="I878" s="223" t="s">
        <v>1774</v>
      </c>
    </row>
    <row r="879" spans="8:9" ht="13.5">
      <c r="H879" s="223" t="s">
        <v>22</v>
      </c>
      <c r="I879" s="223" t="s">
        <v>1775</v>
      </c>
    </row>
    <row r="880" spans="8:9" ht="13.5">
      <c r="H880" s="223" t="s">
        <v>22</v>
      </c>
      <c r="I880" s="223" t="s">
        <v>1776</v>
      </c>
    </row>
    <row r="881" spans="8:9" ht="13.5">
      <c r="H881" s="223" t="s">
        <v>22</v>
      </c>
      <c r="I881" s="223" t="s">
        <v>1777</v>
      </c>
    </row>
    <row r="882" spans="8:9" ht="13.5">
      <c r="H882" s="223" t="s">
        <v>22</v>
      </c>
      <c r="I882" s="223" t="s">
        <v>1778</v>
      </c>
    </row>
    <row r="883" spans="8:9" ht="13.5">
      <c r="H883" s="223" t="s">
        <v>22</v>
      </c>
      <c r="I883" s="223" t="s">
        <v>1779</v>
      </c>
    </row>
    <row r="884" spans="8:9" ht="13.5">
      <c r="H884" s="223" t="s">
        <v>22</v>
      </c>
      <c r="I884" s="223" t="s">
        <v>1780</v>
      </c>
    </row>
    <row r="885" spans="8:9" ht="13.5">
      <c r="H885" s="223" t="s">
        <v>22</v>
      </c>
      <c r="I885" s="223" t="s">
        <v>1781</v>
      </c>
    </row>
    <row r="886" spans="8:9" ht="13.5">
      <c r="H886" s="223" t="s">
        <v>22</v>
      </c>
      <c r="I886" s="223" t="s">
        <v>1782</v>
      </c>
    </row>
    <row r="887" spans="8:9" ht="13.5">
      <c r="H887" s="223" t="s">
        <v>22</v>
      </c>
      <c r="I887" s="223" t="s">
        <v>1783</v>
      </c>
    </row>
    <row r="888" spans="8:9" ht="13.5">
      <c r="H888" s="223" t="s">
        <v>22</v>
      </c>
      <c r="I888" s="223" t="s">
        <v>1784</v>
      </c>
    </row>
    <row r="889" spans="8:9" ht="13.5">
      <c r="H889" s="223" t="s">
        <v>22</v>
      </c>
      <c r="I889" s="223" t="s">
        <v>1785</v>
      </c>
    </row>
    <row r="890" spans="8:9" ht="13.5">
      <c r="H890" s="223" t="s">
        <v>22</v>
      </c>
      <c r="I890" s="223" t="s">
        <v>1786</v>
      </c>
    </row>
    <row r="891" spans="8:9" ht="13.5">
      <c r="H891" s="223" t="s">
        <v>22</v>
      </c>
      <c r="I891" s="223" t="s">
        <v>1787</v>
      </c>
    </row>
    <row r="892" spans="8:9" ht="13.5">
      <c r="H892" s="223" t="s">
        <v>22</v>
      </c>
      <c r="I892" s="223" t="s">
        <v>1788</v>
      </c>
    </row>
    <row r="893" spans="8:9" ht="13.5">
      <c r="H893" s="223" t="s">
        <v>22</v>
      </c>
      <c r="I893" s="223" t="s">
        <v>1789</v>
      </c>
    </row>
    <row r="894" spans="8:9" ht="13.5">
      <c r="H894" s="223" t="s">
        <v>22</v>
      </c>
      <c r="I894" s="223" t="s">
        <v>1790</v>
      </c>
    </row>
    <row r="895" spans="8:9" ht="13.5">
      <c r="H895" s="223" t="s">
        <v>22</v>
      </c>
      <c r="I895" s="223" t="s">
        <v>1791</v>
      </c>
    </row>
    <row r="896" spans="8:9" ht="13.5">
      <c r="H896" s="223" t="s">
        <v>22</v>
      </c>
      <c r="I896" s="223" t="s">
        <v>1792</v>
      </c>
    </row>
    <row r="897" spans="8:9" ht="13.5">
      <c r="H897" s="223" t="s">
        <v>22</v>
      </c>
      <c r="I897" s="223" t="s">
        <v>1793</v>
      </c>
    </row>
    <row r="898" spans="8:9" ht="13.5">
      <c r="H898" s="223" t="s">
        <v>22</v>
      </c>
      <c r="I898" s="223" t="s">
        <v>1794</v>
      </c>
    </row>
    <row r="899" spans="8:9" ht="13.5">
      <c r="H899" s="223" t="s">
        <v>22</v>
      </c>
      <c r="I899" s="223" t="s">
        <v>1795</v>
      </c>
    </row>
    <row r="900" spans="8:9" ht="13.5">
      <c r="H900" s="223" t="s">
        <v>22</v>
      </c>
      <c r="I900" s="223" t="s">
        <v>1796</v>
      </c>
    </row>
    <row r="901" spans="8:9" ht="13.5">
      <c r="H901" s="223" t="s">
        <v>22</v>
      </c>
      <c r="I901" s="223" t="s">
        <v>1797</v>
      </c>
    </row>
    <row r="902" spans="8:9" ht="13.5">
      <c r="H902" s="223" t="s">
        <v>22</v>
      </c>
      <c r="I902" s="223" t="s">
        <v>1798</v>
      </c>
    </row>
    <row r="903" spans="8:9" ht="13.5">
      <c r="H903" s="223" t="s">
        <v>22</v>
      </c>
      <c r="I903" s="223" t="s">
        <v>1799</v>
      </c>
    </row>
    <row r="904" spans="8:9" ht="13.5">
      <c r="H904" s="223" t="s">
        <v>22</v>
      </c>
      <c r="I904" s="223" t="s">
        <v>1800</v>
      </c>
    </row>
    <row r="905" spans="8:9" ht="13.5">
      <c r="H905" s="223" t="s">
        <v>22</v>
      </c>
      <c r="I905" s="223" t="s">
        <v>1801</v>
      </c>
    </row>
    <row r="906" spans="8:9" ht="13.5">
      <c r="H906" s="223" t="s">
        <v>22</v>
      </c>
      <c r="I906" s="223" t="s">
        <v>1802</v>
      </c>
    </row>
    <row r="907" spans="8:9" ht="13.5">
      <c r="H907" s="223" t="s">
        <v>22</v>
      </c>
      <c r="I907" s="223" t="s">
        <v>1803</v>
      </c>
    </row>
    <row r="908" spans="8:9" ht="13.5">
      <c r="H908" s="223" t="s">
        <v>22</v>
      </c>
      <c r="I908" s="223" t="s">
        <v>1804</v>
      </c>
    </row>
    <row r="909" spans="8:9" ht="13.5">
      <c r="H909" s="223" t="s">
        <v>22</v>
      </c>
      <c r="I909" s="223" t="s">
        <v>1805</v>
      </c>
    </row>
    <row r="910" spans="8:9" ht="13.5">
      <c r="H910" s="223" t="s">
        <v>22</v>
      </c>
      <c r="I910" s="223" t="s">
        <v>1806</v>
      </c>
    </row>
    <row r="911" spans="8:9" ht="13.5">
      <c r="H911" s="223" t="s">
        <v>22</v>
      </c>
      <c r="I911" s="223" t="s">
        <v>1807</v>
      </c>
    </row>
    <row r="912" spans="8:9" ht="13.5">
      <c r="H912" s="223" t="s">
        <v>22</v>
      </c>
      <c r="I912" s="223" t="s">
        <v>1808</v>
      </c>
    </row>
    <row r="913" spans="8:9" ht="13.5">
      <c r="H913" s="223" t="s">
        <v>22</v>
      </c>
      <c r="I913" s="223" t="s">
        <v>1809</v>
      </c>
    </row>
    <row r="914" spans="8:9" ht="13.5">
      <c r="H914" s="223" t="s">
        <v>22</v>
      </c>
      <c r="I914" s="223" t="s">
        <v>1810</v>
      </c>
    </row>
    <row r="915" spans="8:9" ht="13.5">
      <c r="H915" s="223" t="s">
        <v>22</v>
      </c>
      <c r="I915" s="223" t="s">
        <v>1811</v>
      </c>
    </row>
    <row r="916" spans="8:9" ht="13.5">
      <c r="H916" s="223" t="s">
        <v>22</v>
      </c>
      <c r="I916" s="223" t="s">
        <v>1812</v>
      </c>
    </row>
    <row r="917" spans="8:9" ht="13.5">
      <c r="H917" s="223" t="s">
        <v>22</v>
      </c>
      <c r="I917" s="223" t="s">
        <v>1813</v>
      </c>
    </row>
    <row r="918" spans="8:9" ht="13.5">
      <c r="H918" s="223" t="s">
        <v>22</v>
      </c>
      <c r="I918" s="223" t="s">
        <v>1814</v>
      </c>
    </row>
    <row r="919" spans="8:9" ht="13.5">
      <c r="H919" s="223" t="s">
        <v>22</v>
      </c>
      <c r="I919" s="223" t="s">
        <v>1815</v>
      </c>
    </row>
    <row r="920" spans="8:9" ht="13.5">
      <c r="H920" s="223" t="s">
        <v>22</v>
      </c>
      <c r="I920" s="223" t="s">
        <v>1816</v>
      </c>
    </row>
    <row r="921" spans="8:9" ht="13.5">
      <c r="H921" s="223" t="s">
        <v>22</v>
      </c>
      <c r="I921" s="223" t="s">
        <v>1817</v>
      </c>
    </row>
    <row r="922" spans="8:9" ht="13.5">
      <c r="H922" s="223" t="s">
        <v>22</v>
      </c>
      <c r="I922" s="223" t="s">
        <v>1818</v>
      </c>
    </row>
    <row r="923" spans="8:9" ht="13.5">
      <c r="H923" s="223" t="s">
        <v>22</v>
      </c>
      <c r="I923" s="223" t="s">
        <v>1819</v>
      </c>
    </row>
    <row r="924" spans="8:9" ht="13.5">
      <c r="H924" s="223" t="s">
        <v>22</v>
      </c>
      <c r="I924" s="223" t="s">
        <v>1820</v>
      </c>
    </row>
    <row r="925" spans="8:9" ht="13.5">
      <c r="H925" s="223" t="s">
        <v>22</v>
      </c>
      <c r="I925" s="223" t="s">
        <v>1821</v>
      </c>
    </row>
    <row r="926" spans="8:9" ht="13.5">
      <c r="H926" s="223" t="s">
        <v>22</v>
      </c>
      <c r="I926" s="223" t="s">
        <v>1822</v>
      </c>
    </row>
    <row r="927" spans="8:9" ht="13.5">
      <c r="H927" s="223" t="s">
        <v>22</v>
      </c>
      <c r="I927" s="223" t="s">
        <v>1823</v>
      </c>
    </row>
    <row r="928" spans="8:9" ht="13.5">
      <c r="H928" s="223" t="s">
        <v>22</v>
      </c>
      <c r="I928" s="223" t="s">
        <v>1824</v>
      </c>
    </row>
    <row r="929" spans="8:9" ht="13.5">
      <c r="H929" s="223" t="s">
        <v>22</v>
      </c>
      <c r="I929" s="223" t="s">
        <v>1825</v>
      </c>
    </row>
    <row r="930" spans="8:9" ht="13.5">
      <c r="H930" s="223" t="s">
        <v>22</v>
      </c>
      <c r="I930" s="223" t="s">
        <v>1826</v>
      </c>
    </row>
    <row r="931" spans="8:9" ht="13.5">
      <c r="H931" s="223" t="s">
        <v>22</v>
      </c>
      <c r="I931" s="223" t="s">
        <v>1827</v>
      </c>
    </row>
    <row r="932" spans="8:9" ht="13.5">
      <c r="H932" s="223" t="s">
        <v>22</v>
      </c>
      <c r="I932" s="223" t="s">
        <v>1828</v>
      </c>
    </row>
    <row r="933" spans="8:9" ht="13.5">
      <c r="H933" s="223" t="s">
        <v>22</v>
      </c>
      <c r="I933" s="223" t="s">
        <v>1829</v>
      </c>
    </row>
    <row r="934" spans="8:9" ht="13.5">
      <c r="H934" s="223" t="s">
        <v>22</v>
      </c>
      <c r="I934" s="223" t="s">
        <v>1830</v>
      </c>
    </row>
    <row r="935" spans="8:9" ht="13.5">
      <c r="H935" s="223" t="s">
        <v>22</v>
      </c>
      <c r="I935" s="223" t="s">
        <v>1831</v>
      </c>
    </row>
    <row r="936" spans="8:9" ht="13.5">
      <c r="H936" s="223" t="s">
        <v>22</v>
      </c>
      <c r="I936" s="223" t="s">
        <v>1832</v>
      </c>
    </row>
    <row r="937" spans="8:9" ht="13.5">
      <c r="H937" s="223" t="s">
        <v>22</v>
      </c>
      <c r="I937" s="223" t="s">
        <v>1833</v>
      </c>
    </row>
    <row r="938" spans="8:9" ht="13.5">
      <c r="H938" s="223" t="s">
        <v>22</v>
      </c>
      <c r="I938" s="223" t="s">
        <v>1834</v>
      </c>
    </row>
    <row r="939" spans="8:9" ht="13.5">
      <c r="H939" s="223" t="s">
        <v>22</v>
      </c>
      <c r="I939" s="223" t="s">
        <v>1835</v>
      </c>
    </row>
    <row r="940" spans="8:9" ht="13.5">
      <c r="H940" s="223" t="s">
        <v>22</v>
      </c>
      <c r="I940" s="223" t="s">
        <v>1836</v>
      </c>
    </row>
    <row r="941" spans="8:9" ht="13.5">
      <c r="H941" s="223" t="s">
        <v>22</v>
      </c>
      <c r="I941" s="223" t="s">
        <v>1837</v>
      </c>
    </row>
    <row r="942" spans="8:9" ht="13.5">
      <c r="H942" s="223" t="s">
        <v>22</v>
      </c>
      <c r="I942" s="223" t="s">
        <v>1838</v>
      </c>
    </row>
    <row r="943" spans="8:9" ht="13.5">
      <c r="H943" s="223" t="s">
        <v>22</v>
      </c>
      <c r="I943" s="223" t="s">
        <v>1839</v>
      </c>
    </row>
    <row r="944" spans="8:9" ht="13.5">
      <c r="H944" s="223" t="s">
        <v>22</v>
      </c>
      <c r="I944" s="223" t="s">
        <v>1840</v>
      </c>
    </row>
    <row r="945" spans="8:9" ht="13.5">
      <c r="H945" s="223" t="s">
        <v>22</v>
      </c>
      <c r="I945" s="223" t="s">
        <v>1841</v>
      </c>
    </row>
    <row r="946" spans="8:9" ht="13.5">
      <c r="H946" s="223" t="s">
        <v>22</v>
      </c>
      <c r="I946" s="223" t="s">
        <v>1842</v>
      </c>
    </row>
    <row r="947" spans="8:9" ht="13.5">
      <c r="H947" s="223" t="s">
        <v>22</v>
      </c>
      <c r="I947" s="223" t="s">
        <v>1843</v>
      </c>
    </row>
    <row r="948" spans="8:9" ht="13.5">
      <c r="H948" s="223" t="s">
        <v>22</v>
      </c>
      <c r="I948" s="223" t="s">
        <v>1844</v>
      </c>
    </row>
    <row r="949" spans="8:9" ht="13.5">
      <c r="H949" s="223" t="s">
        <v>22</v>
      </c>
      <c r="I949" s="223" t="s">
        <v>1845</v>
      </c>
    </row>
    <row r="950" spans="8:9" ht="13.5">
      <c r="H950" s="223" t="s">
        <v>22</v>
      </c>
      <c r="I950" s="223" t="s">
        <v>1846</v>
      </c>
    </row>
    <row r="951" spans="8:9" ht="13.5">
      <c r="H951" s="223" t="s">
        <v>22</v>
      </c>
      <c r="I951" s="223" t="s">
        <v>1847</v>
      </c>
    </row>
    <row r="952" spans="8:9" ht="13.5">
      <c r="H952" s="223" t="s">
        <v>22</v>
      </c>
      <c r="I952" s="223" t="s">
        <v>1848</v>
      </c>
    </row>
    <row r="953" spans="8:9" ht="13.5">
      <c r="H953" s="223" t="s">
        <v>22</v>
      </c>
      <c r="I953" s="223" t="s">
        <v>1849</v>
      </c>
    </row>
    <row r="954" spans="8:9" ht="13.5">
      <c r="H954" s="223" t="s">
        <v>22</v>
      </c>
      <c r="I954" s="223" t="s">
        <v>1850</v>
      </c>
    </row>
    <row r="955" spans="8:9" ht="13.5">
      <c r="H955" s="223" t="s">
        <v>22</v>
      </c>
      <c r="I955" s="223" t="s">
        <v>1851</v>
      </c>
    </row>
    <row r="956" spans="8:9" ht="13.5">
      <c r="H956" s="223" t="s">
        <v>22</v>
      </c>
      <c r="I956" s="223" t="s">
        <v>1852</v>
      </c>
    </row>
    <row r="957" spans="8:9" ht="13.5">
      <c r="H957" s="223" t="s">
        <v>22</v>
      </c>
      <c r="I957" s="223" t="s">
        <v>1853</v>
      </c>
    </row>
    <row r="958" spans="8:9" ht="13.5">
      <c r="H958" s="223" t="s">
        <v>22</v>
      </c>
      <c r="I958" s="223" t="s">
        <v>1854</v>
      </c>
    </row>
    <row r="959" spans="8:9" ht="13.5">
      <c r="H959" s="223" t="s">
        <v>22</v>
      </c>
      <c r="I959" s="223" t="s">
        <v>1855</v>
      </c>
    </row>
    <row r="960" spans="8:9" ht="13.5">
      <c r="H960" s="223" t="s">
        <v>22</v>
      </c>
      <c r="I960" s="223" t="s">
        <v>1856</v>
      </c>
    </row>
    <row r="961" spans="8:9" ht="13.5">
      <c r="H961" s="223" t="s">
        <v>22</v>
      </c>
      <c r="I961" s="223" t="s">
        <v>1857</v>
      </c>
    </row>
    <row r="962" spans="8:9" ht="13.5">
      <c r="H962" s="223" t="s">
        <v>22</v>
      </c>
      <c r="I962" s="223" t="s">
        <v>1858</v>
      </c>
    </row>
    <row r="963" spans="8:9" ht="13.5">
      <c r="H963" s="223" t="s">
        <v>22</v>
      </c>
      <c r="I963" s="223" t="s">
        <v>1859</v>
      </c>
    </row>
    <row r="964" spans="8:9" ht="13.5">
      <c r="H964" s="223" t="s">
        <v>22</v>
      </c>
      <c r="I964" s="223" t="s">
        <v>1860</v>
      </c>
    </row>
    <row r="965" spans="8:9" ht="13.5">
      <c r="H965" s="223" t="s">
        <v>22</v>
      </c>
      <c r="I965" s="223" t="s">
        <v>1861</v>
      </c>
    </row>
    <row r="966" spans="8:9" ht="13.5">
      <c r="H966" s="223" t="s">
        <v>22</v>
      </c>
      <c r="I966" s="223" t="s">
        <v>1862</v>
      </c>
    </row>
    <row r="967" spans="8:9" ht="13.5">
      <c r="H967" s="223" t="s">
        <v>22</v>
      </c>
      <c r="I967" s="223" t="s">
        <v>1863</v>
      </c>
    </row>
    <row r="968" spans="8:9" ht="13.5">
      <c r="H968" s="223" t="s">
        <v>22</v>
      </c>
      <c r="I968" s="223" t="s">
        <v>1864</v>
      </c>
    </row>
    <row r="969" spans="8:9" ht="13.5">
      <c r="H969" s="223" t="s">
        <v>22</v>
      </c>
      <c r="I969" s="223" t="s">
        <v>1865</v>
      </c>
    </row>
    <row r="970" spans="8:9" ht="13.5">
      <c r="H970" s="223" t="s">
        <v>22</v>
      </c>
      <c r="I970" s="223" t="s">
        <v>1866</v>
      </c>
    </row>
    <row r="971" spans="8:9" ht="13.5">
      <c r="H971" s="223" t="s">
        <v>22</v>
      </c>
      <c r="I971" s="223" t="s">
        <v>1867</v>
      </c>
    </row>
    <row r="972" spans="8:9" ht="13.5">
      <c r="H972" s="223" t="s">
        <v>22</v>
      </c>
      <c r="I972" s="223" t="s">
        <v>1868</v>
      </c>
    </row>
    <row r="973" spans="8:9" ht="13.5">
      <c r="H973" s="223" t="s">
        <v>23</v>
      </c>
      <c r="I973" s="223" t="s">
        <v>756</v>
      </c>
    </row>
    <row r="974" spans="8:9" ht="13.5">
      <c r="H974" s="223" t="s">
        <v>23</v>
      </c>
      <c r="I974" s="223" t="s">
        <v>1869</v>
      </c>
    </row>
    <row r="975" spans="8:9" ht="13.5">
      <c r="H975" s="223" t="s">
        <v>23</v>
      </c>
      <c r="I975" s="223" t="s">
        <v>1870</v>
      </c>
    </row>
    <row r="976" spans="8:9" ht="13.5">
      <c r="H976" s="223" t="s">
        <v>23</v>
      </c>
      <c r="I976" s="223" t="s">
        <v>1871</v>
      </c>
    </row>
    <row r="977" spans="8:9" ht="13.5">
      <c r="H977" s="223" t="s">
        <v>23</v>
      </c>
      <c r="I977" s="223" t="s">
        <v>1872</v>
      </c>
    </row>
    <row r="978" spans="8:9" ht="13.5">
      <c r="H978" s="223" t="s">
        <v>23</v>
      </c>
      <c r="I978" s="223" t="s">
        <v>1873</v>
      </c>
    </row>
    <row r="979" spans="8:9" ht="13.5">
      <c r="H979" s="223" t="s">
        <v>23</v>
      </c>
      <c r="I979" s="223" t="s">
        <v>1874</v>
      </c>
    </row>
    <row r="980" spans="8:9" ht="13.5">
      <c r="H980" s="223" t="s">
        <v>23</v>
      </c>
      <c r="I980" s="223" t="s">
        <v>1875</v>
      </c>
    </row>
    <row r="981" spans="8:9" ht="13.5">
      <c r="H981" s="223" t="s">
        <v>23</v>
      </c>
      <c r="I981" s="223" t="s">
        <v>1876</v>
      </c>
    </row>
    <row r="982" spans="8:9" ht="13.5">
      <c r="H982" s="223" t="s">
        <v>23</v>
      </c>
      <c r="I982" s="223" t="s">
        <v>1877</v>
      </c>
    </row>
    <row r="983" spans="8:9" ht="13.5">
      <c r="H983" s="223" t="s">
        <v>23</v>
      </c>
      <c r="I983" s="223" t="s">
        <v>1878</v>
      </c>
    </row>
    <row r="984" spans="8:9" ht="13.5">
      <c r="H984" s="223" t="s">
        <v>23</v>
      </c>
      <c r="I984" s="223" t="s">
        <v>1879</v>
      </c>
    </row>
    <row r="985" spans="8:9" ht="13.5">
      <c r="H985" s="223" t="s">
        <v>23</v>
      </c>
      <c r="I985" s="223" t="s">
        <v>1880</v>
      </c>
    </row>
    <row r="986" spans="8:9" ht="13.5">
      <c r="H986" s="223" t="s">
        <v>23</v>
      </c>
      <c r="I986" s="223" t="s">
        <v>1881</v>
      </c>
    </row>
    <row r="987" spans="8:9" ht="13.5">
      <c r="H987" s="223" t="s">
        <v>23</v>
      </c>
      <c r="I987" s="223" t="s">
        <v>1882</v>
      </c>
    </row>
    <row r="988" spans="8:9" ht="13.5">
      <c r="H988" s="223" t="s">
        <v>23</v>
      </c>
      <c r="I988" s="223" t="s">
        <v>1883</v>
      </c>
    </row>
    <row r="989" spans="8:9" ht="13.5">
      <c r="H989" s="223" t="s">
        <v>23</v>
      </c>
      <c r="I989" s="223" t="s">
        <v>1884</v>
      </c>
    </row>
    <row r="990" spans="8:9" ht="13.5">
      <c r="H990" s="223" t="s">
        <v>23</v>
      </c>
      <c r="I990" s="223" t="s">
        <v>1885</v>
      </c>
    </row>
    <row r="991" spans="8:9" ht="13.5">
      <c r="H991" s="223" t="s">
        <v>23</v>
      </c>
      <c r="I991" s="223" t="s">
        <v>1886</v>
      </c>
    </row>
    <row r="992" spans="8:9" ht="13.5">
      <c r="H992" s="223" t="s">
        <v>23</v>
      </c>
      <c r="I992" s="223" t="s">
        <v>1887</v>
      </c>
    </row>
    <row r="993" spans="8:9" ht="13.5">
      <c r="H993" s="223" t="s">
        <v>23</v>
      </c>
      <c r="I993" s="223" t="s">
        <v>1888</v>
      </c>
    </row>
    <row r="994" spans="8:9" ht="13.5">
      <c r="H994" s="223" t="s">
        <v>23</v>
      </c>
      <c r="I994" s="223" t="s">
        <v>1889</v>
      </c>
    </row>
    <row r="995" spans="8:9" ht="13.5">
      <c r="H995" s="223" t="s">
        <v>23</v>
      </c>
      <c r="I995" s="223" t="s">
        <v>1890</v>
      </c>
    </row>
    <row r="996" spans="8:9" ht="13.5">
      <c r="H996" s="223" t="s">
        <v>23</v>
      </c>
      <c r="I996" s="223" t="s">
        <v>1891</v>
      </c>
    </row>
    <row r="997" spans="8:9" ht="13.5">
      <c r="H997" s="223" t="s">
        <v>23</v>
      </c>
      <c r="I997" s="223" t="s">
        <v>1892</v>
      </c>
    </row>
    <row r="998" spans="8:9" ht="13.5">
      <c r="H998" s="223" t="s">
        <v>23</v>
      </c>
      <c r="I998" s="223" t="s">
        <v>1893</v>
      </c>
    </row>
    <row r="999" spans="8:9" ht="13.5">
      <c r="H999" s="223" t="s">
        <v>23</v>
      </c>
      <c r="I999" s="223" t="s">
        <v>1894</v>
      </c>
    </row>
    <row r="1000" spans="8:9" ht="13.5">
      <c r="H1000" s="223" t="s">
        <v>23</v>
      </c>
      <c r="I1000" s="223" t="s">
        <v>1895</v>
      </c>
    </row>
    <row r="1001" spans="8:9" ht="13.5">
      <c r="H1001" s="223" t="s">
        <v>23</v>
      </c>
      <c r="I1001" s="223" t="s">
        <v>1896</v>
      </c>
    </row>
    <row r="1002" spans="8:9" ht="13.5">
      <c r="H1002" s="223" t="s">
        <v>23</v>
      </c>
      <c r="I1002" s="223" t="s">
        <v>1897</v>
      </c>
    </row>
    <row r="1003" spans="8:9" ht="13.5">
      <c r="H1003" s="223" t="s">
        <v>23</v>
      </c>
      <c r="I1003" s="223" t="s">
        <v>1898</v>
      </c>
    </row>
    <row r="1004" spans="8:9" ht="13.5">
      <c r="H1004" s="223" t="s">
        <v>23</v>
      </c>
      <c r="I1004" s="223" t="s">
        <v>1899</v>
      </c>
    </row>
    <row r="1005" spans="8:9" ht="13.5">
      <c r="H1005" s="223" t="s">
        <v>23</v>
      </c>
      <c r="I1005" s="223" t="s">
        <v>1900</v>
      </c>
    </row>
    <row r="1006" spans="8:9" ht="13.5">
      <c r="H1006" s="223" t="s">
        <v>23</v>
      </c>
      <c r="I1006" s="223" t="s">
        <v>1901</v>
      </c>
    </row>
    <row r="1007" spans="8:9" ht="13.5">
      <c r="H1007" s="223" t="s">
        <v>23</v>
      </c>
      <c r="I1007" s="223" t="s">
        <v>1902</v>
      </c>
    </row>
    <row r="1008" spans="8:9" ht="13.5">
      <c r="H1008" s="223" t="s">
        <v>23</v>
      </c>
      <c r="I1008" s="223" t="s">
        <v>1903</v>
      </c>
    </row>
    <row r="1009" spans="8:9" ht="13.5">
      <c r="H1009" s="223" t="s">
        <v>23</v>
      </c>
      <c r="I1009" s="223" t="s">
        <v>1904</v>
      </c>
    </row>
    <row r="1010" spans="8:9" ht="13.5">
      <c r="H1010" s="223" t="s">
        <v>23</v>
      </c>
      <c r="I1010" s="223" t="s">
        <v>1905</v>
      </c>
    </row>
    <row r="1011" spans="8:9" ht="13.5">
      <c r="H1011" s="223" t="s">
        <v>23</v>
      </c>
      <c r="I1011" s="223" t="s">
        <v>1906</v>
      </c>
    </row>
    <row r="1012" spans="8:9" ht="13.5">
      <c r="H1012" s="223" t="s">
        <v>23</v>
      </c>
      <c r="I1012" s="223" t="s">
        <v>1907</v>
      </c>
    </row>
    <row r="1013" spans="8:9" ht="13.5">
      <c r="H1013" s="223" t="s">
        <v>23</v>
      </c>
      <c r="I1013" s="223" t="s">
        <v>1908</v>
      </c>
    </row>
    <row r="1014" spans="8:9" ht="13.5">
      <c r="H1014" s="223" t="s">
        <v>23</v>
      </c>
      <c r="I1014" s="223" t="s">
        <v>1909</v>
      </c>
    </row>
    <row r="1015" spans="8:9" ht="13.5">
      <c r="H1015" s="223" t="s">
        <v>23</v>
      </c>
      <c r="I1015" s="223" t="s">
        <v>1910</v>
      </c>
    </row>
    <row r="1016" spans="8:9" ht="13.5">
      <c r="H1016" s="223" t="s">
        <v>23</v>
      </c>
      <c r="I1016" s="223" t="s">
        <v>1911</v>
      </c>
    </row>
    <row r="1017" spans="8:9" ht="13.5">
      <c r="H1017" s="223" t="s">
        <v>23</v>
      </c>
      <c r="I1017" s="223" t="s">
        <v>1912</v>
      </c>
    </row>
    <row r="1018" spans="8:9" ht="13.5">
      <c r="H1018" s="223" t="s">
        <v>23</v>
      </c>
      <c r="I1018" s="223" t="s">
        <v>1913</v>
      </c>
    </row>
    <row r="1019" spans="8:9" ht="13.5">
      <c r="H1019" s="223" t="s">
        <v>23</v>
      </c>
      <c r="I1019" s="223" t="s">
        <v>1914</v>
      </c>
    </row>
    <row r="1020" spans="8:9" ht="13.5">
      <c r="H1020" s="223" t="s">
        <v>23</v>
      </c>
      <c r="I1020" s="223" t="s">
        <v>1915</v>
      </c>
    </row>
    <row r="1021" spans="8:9" ht="13.5">
      <c r="H1021" s="223" t="s">
        <v>23</v>
      </c>
      <c r="I1021" s="223" t="s">
        <v>1916</v>
      </c>
    </row>
    <row r="1022" spans="8:9" ht="13.5">
      <c r="H1022" s="223" t="s">
        <v>23</v>
      </c>
      <c r="I1022" s="223" t="s">
        <v>1917</v>
      </c>
    </row>
    <row r="1023" spans="8:9" ht="13.5">
      <c r="H1023" s="223" t="s">
        <v>23</v>
      </c>
      <c r="I1023" s="223" t="s">
        <v>1918</v>
      </c>
    </row>
    <row r="1024" spans="8:9" ht="13.5">
      <c r="H1024" s="223" t="s">
        <v>23</v>
      </c>
      <c r="I1024" s="223" t="s">
        <v>1919</v>
      </c>
    </row>
    <row r="1025" spans="8:9" ht="13.5">
      <c r="H1025" s="223" t="s">
        <v>23</v>
      </c>
      <c r="I1025" s="223" t="s">
        <v>1920</v>
      </c>
    </row>
    <row r="1026" spans="8:9" ht="13.5">
      <c r="H1026" s="223" t="s">
        <v>23</v>
      </c>
      <c r="I1026" s="223" t="s">
        <v>1921</v>
      </c>
    </row>
    <row r="1027" spans="8:9" ht="13.5">
      <c r="H1027" s="223" t="s">
        <v>23</v>
      </c>
      <c r="I1027" s="223" t="s">
        <v>1922</v>
      </c>
    </row>
    <row r="1028" spans="8:9" ht="13.5">
      <c r="H1028" s="223" t="s">
        <v>23</v>
      </c>
      <c r="I1028" s="223" t="s">
        <v>1923</v>
      </c>
    </row>
    <row r="1029" spans="8:9" ht="13.5">
      <c r="H1029" s="223" t="s">
        <v>23</v>
      </c>
      <c r="I1029" s="223" t="s">
        <v>1924</v>
      </c>
    </row>
    <row r="1030" spans="8:9" ht="13.5">
      <c r="H1030" s="223" t="s">
        <v>23</v>
      </c>
      <c r="I1030" s="223" t="s">
        <v>1925</v>
      </c>
    </row>
    <row r="1031" spans="8:9" ht="13.5">
      <c r="H1031" s="223" t="s">
        <v>23</v>
      </c>
      <c r="I1031" s="223" t="s">
        <v>1926</v>
      </c>
    </row>
    <row r="1032" spans="8:9" ht="13.5">
      <c r="H1032" s="223" t="s">
        <v>23</v>
      </c>
      <c r="I1032" s="223" t="s">
        <v>1927</v>
      </c>
    </row>
    <row r="1033" spans="8:9" ht="13.5">
      <c r="H1033" s="223" t="s">
        <v>23</v>
      </c>
      <c r="I1033" s="223" t="s">
        <v>1928</v>
      </c>
    </row>
    <row r="1034" spans="8:9" ht="13.5">
      <c r="H1034" s="223" t="s">
        <v>23</v>
      </c>
      <c r="I1034" s="223" t="s">
        <v>1929</v>
      </c>
    </row>
    <row r="1035" spans="8:9" ht="13.5">
      <c r="H1035" s="223" t="s">
        <v>23</v>
      </c>
      <c r="I1035" s="282" t="s">
        <v>1930</v>
      </c>
    </row>
    <row r="1036" spans="8:9" ht="13.5">
      <c r="H1036" s="223" t="s">
        <v>23</v>
      </c>
      <c r="I1036" s="282" t="s">
        <v>2032</v>
      </c>
    </row>
    <row r="1037" spans="8:9" ht="13.5">
      <c r="H1037" s="223" t="s">
        <v>23</v>
      </c>
      <c r="I1037" s="282" t="s">
        <v>1932</v>
      </c>
    </row>
    <row r="1038" spans="8:9" ht="13.5">
      <c r="H1038" s="223" t="s">
        <v>23</v>
      </c>
      <c r="I1038" s="282" t="s">
        <v>1933</v>
      </c>
    </row>
    <row r="1039" spans="8:9" ht="13.5">
      <c r="H1039" s="223" t="s">
        <v>23</v>
      </c>
      <c r="I1039" s="223" t="s">
        <v>1934</v>
      </c>
    </row>
    <row r="1040" spans="8:9" ht="13.5">
      <c r="H1040" s="223" t="s">
        <v>23</v>
      </c>
      <c r="I1040" s="223" t="s">
        <v>1935</v>
      </c>
    </row>
    <row r="1041" spans="8:9" ht="13.5">
      <c r="H1041" s="223" t="s">
        <v>23</v>
      </c>
      <c r="I1041" s="223" t="s">
        <v>1936</v>
      </c>
    </row>
    <row r="1042" spans="8:9" ht="13.5">
      <c r="H1042" s="223" t="s">
        <v>23</v>
      </c>
      <c r="I1042" s="223" t="s">
        <v>1937</v>
      </c>
    </row>
    <row r="1043" spans="8:9" ht="13.5">
      <c r="H1043" s="223" t="s">
        <v>23</v>
      </c>
      <c r="I1043" s="223" t="s">
        <v>1938</v>
      </c>
    </row>
    <row r="1044" spans="8:9" ht="13.5">
      <c r="H1044" s="223" t="s">
        <v>23</v>
      </c>
      <c r="I1044" s="223" t="s">
        <v>1939</v>
      </c>
    </row>
    <row r="1045" spans="8:9" ht="13.5">
      <c r="H1045" s="223" t="s">
        <v>23</v>
      </c>
      <c r="I1045" s="223" t="s">
        <v>1940</v>
      </c>
    </row>
    <row r="1046" spans="8:9" ht="13.5">
      <c r="H1046" s="223" t="s">
        <v>23</v>
      </c>
      <c r="I1046" s="223" t="s">
        <v>1941</v>
      </c>
    </row>
    <row r="1047" spans="8:9" ht="13.5">
      <c r="H1047" s="223" t="s">
        <v>23</v>
      </c>
      <c r="I1047" s="223" t="s">
        <v>1942</v>
      </c>
    </row>
    <row r="1048" spans="8:9" ht="13.5">
      <c r="H1048" s="223" t="s">
        <v>23</v>
      </c>
      <c r="I1048" s="223" t="s">
        <v>1943</v>
      </c>
    </row>
    <row r="1049" spans="8:9" ht="13.5">
      <c r="H1049" s="223" t="s">
        <v>23</v>
      </c>
      <c r="I1049" s="223" t="s">
        <v>1944</v>
      </c>
    </row>
    <row r="1050" spans="8:9" ht="13.5">
      <c r="H1050" s="223" t="s">
        <v>23</v>
      </c>
      <c r="I1050" s="223" t="s">
        <v>1945</v>
      </c>
    </row>
    <row r="1051" spans="8:9" ht="13.5">
      <c r="H1051" s="223" t="s">
        <v>23</v>
      </c>
      <c r="I1051" s="223" t="s">
        <v>1946</v>
      </c>
    </row>
  </sheetData>
  <autoFilter ref="A2:I2" xr:uid="{BD962AB2-846F-4D2E-8675-0506470F111F}"/>
  <phoneticPr fontId="3" type="noConversion"/>
  <pageMargins left="0.75" right="0.75" top="1" bottom="1" header="0.5" footer="0.5"/>
  <pageSetup paperSize="9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EB2F5-386D-486B-B5B1-566E7D59805B}">
  <dimension ref="A1:A16"/>
  <sheetViews>
    <sheetView zoomScaleNormal="100" workbookViewId="0">
      <selection activeCell="P22" sqref="P22"/>
    </sheetView>
  </sheetViews>
  <sheetFormatPr defaultRowHeight="16.5"/>
  <sheetData>
    <row r="1" spans="1:1" ht="24.95" customHeight="1">
      <c r="A1" s="217" t="s">
        <v>732</v>
      </c>
    </row>
    <row r="2" spans="1:1" ht="24.95" customHeight="1">
      <c r="A2" s="218" t="s">
        <v>733</v>
      </c>
    </row>
    <row r="3" spans="1:1" ht="24.95" customHeight="1">
      <c r="A3" s="218" t="s">
        <v>734</v>
      </c>
    </row>
    <row r="4" spans="1:1" ht="24.95" customHeight="1">
      <c r="A4" s="219" t="s">
        <v>735</v>
      </c>
    </row>
    <row r="5" spans="1:1" ht="24.95" customHeight="1">
      <c r="A5" s="218" t="s">
        <v>736</v>
      </c>
    </row>
    <row r="6" spans="1:1" ht="24.95" customHeight="1">
      <c r="A6" s="218" t="s">
        <v>737</v>
      </c>
    </row>
    <row r="7" spans="1:1" ht="24.95" customHeight="1">
      <c r="A7" s="218" t="s">
        <v>738</v>
      </c>
    </row>
    <row r="8" spans="1:1" ht="24.95" customHeight="1">
      <c r="A8" s="218" t="s">
        <v>739</v>
      </c>
    </row>
    <row r="9" spans="1:1" ht="24.95" customHeight="1">
      <c r="A9" s="218" t="s">
        <v>740</v>
      </c>
    </row>
    <row r="10" spans="1:1" ht="24.95" customHeight="1">
      <c r="A10" s="218" t="s">
        <v>741</v>
      </c>
    </row>
    <row r="11" spans="1:1" ht="24.95" customHeight="1">
      <c r="A11" s="218" t="s">
        <v>742</v>
      </c>
    </row>
    <row r="12" spans="1:1" ht="24.95" customHeight="1">
      <c r="A12" s="219" t="s">
        <v>743</v>
      </c>
    </row>
    <row r="13" spans="1:1">
      <c r="A13" s="220" t="s">
        <v>744</v>
      </c>
    </row>
    <row r="14" spans="1:1">
      <c r="A14" s="220" t="s">
        <v>745</v>
      </c>
    </row>
    <row r="15" spans="1:1">
      <c r="A15" s="220" t="s">
        <v>746</v>
      </c>
    </row>
    <row r="16" spans="1:1">
      <c r="A16" s="220" t="s">
        <v>747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2:T71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B2" sqref="B2"/>
    </sheetView>
  </sheetViews>
  <sheetFormatPr defaultRowHeight="15"/>
  <cols>
    <col min="1" max="1" width="9" style="36"/>
    <col min="2" max="2" width="8.625" style="36" customWidth="1"/>
    <col min="3" max="3" width="9" style="36"/>
    <col min="4" max="4" width="15.125" style="36" bestFit="1" customWidth="1"/>
    <col min="5" max="6" width="9" style="36"/>
    <col min="7" max="7" width="8.625" style="36" customWidth="1"/>
    <col min="8" max="8" width="13.125" style="36" customWidth="1"/>
    <col min="9" max="9" width="7" style="36" bestFit="1" customWidth="1"/>
    <col min="10" max="10" width="9" style="36" customWidth="1"/>
    <col min="11" max="11" width="21.625" style="36" bestFit="1" customWidth="1"/>
    <col min="12" max="12" width="9" style="36"/>
    <col min="13" max="14" width="8.625" style="36" customWidth="1"/>
    <col min="15" max="15" width="17.75" style="36" customWidth="1"/>
    <col min="16" max="16" width="8.625" style="36" customWidth="1"/>
    <col min="17" max="17" width="15.5" style="36" bestFit="1" customWidth="1"/>
    <col min="18" max="18" width="8.625" style="36" customWidth="1"/>
    <col min="19" max="19" width="22.625" style="36" customWidth="1"/>
    <col min="20" max="16384" width="9" style="36"/>
  </cols>
  <sheetData>
    <row r="2" spans="2:20" ht="16.5">
      <c r="B2" s="36" t="s">
        <v>279</v>
      </c>
      <c r="G2" s="68" t="s">
        <v>635</v>
      </c>
      <c r="H2" s="69"/>
      <c r="I2" s="69"/>
      <c r="J2" s="69"/>
      <c r="K2" s="69"/>
      <c r="M2" s="68" t="s">
        <v>634</v>
      </c>
      <c r="N2" s="69"/>
      <c r="O2" s="69"/>
      <c r="P2" s="69"/>
      <c r="Q2" s="69"/>
      <c r="R2" s="69"/>
      <c r="S2" s="69"/>
    </row>
    <row r="3" spans="2:20" ht="47.25" customHeight="1">
      <c r="B3" s="35" t="s">
        <v>278</v>
      </c>
      <c r="C3" s="63" t="s">
        <v>406</v>
      </c>
      <c r="D3" s="64" t="s">
        <v>409</v>
      </c>
      <c r="G3" s="41" t="s">
        <v>278</v>
      </c>
      <c r="H3" s="52" t="s">
        <v>407</v>
      </c>
      <c r="I3" s="53" t="s">
        <v>9</v>
      </c>
      <c r="J3" s="52" t="s">
        <v>408</v>
      </c>
      <c r="K3" s="53" t="s">
        <v>409</v>
      </c>
      <c r="M3" s="41" t="s">
        <v>278</v>
      </c>
      <c r="N3" s="52" t="s">
        <v>631</v>
      </c>
      <c r="O3" s="53" t="s">
        <v>349</v>
      </c>
      <c r="P3" s="52" t="s">
        <v>632</v>
      </c>
      <c r="Q3" s="53" t="s">
        <v>350</v>
      </c>
      <c r="R3" s="52" t="s">
        <v>633</v>
      </c>
      <c r="S3" s="53" t="s">
        <v>351</v>
      </c>
      <c r="T3" s="70" t="s">
        <v>67</v>
      </c>
    </row>
    <row r="4" spans="2:20" ht="15.75">
      <c r="B4" s="60">
        <v>1</v>
      </c>
      <c r="C4" s="61" t="s">
        <v>76</v>
      </c>
      <c r="D4" s="62" t="s">
        <v>26</v>
      </c>
      <c r="G4" s="49">
        <v>1</v>
      </c>
      <c r="H4" s="50" t="s">
        <v>140</v>
      </c>
      <c r="I4" s="51" t="s">
        <v>138</v>
      </c>
      <c r="J4" s="50" t="s">
        <v>145</v>
      </c>
      <c r="K4" s="65" t="s">
        <v>410</v>
      </c>
      <c r="M4" s="49">
        <v>1</v>
      </c>
      <c r="N4" s="50" t="s">
        <v>353</v>
      </c>
      <c r="O4" s="65" t="s">
        <v>478</v>
      </c>
      <c r="P4" s="50" t="s">
        <v>361</v>
      </c>
      <c r="Q4" s="65" t="s">
        <v>504</v>
      </c>
      <c r="R4" s="50" t="s">
        <v>352</v>
      </c>
      <c r="S4" s="65" t="s">
        <v>532</v>
      </c>
      <c r="T4" s="49"/>
    </row>
    <row r="5" spans="2:20" ht="15.75">
      <c r="B5" s="58">
        <v>2</v>
      </c>
      <c r="C5" s="54" t="s">
        <v>78</v>
      </c>
      <c r="D5" s="55" t="s">
        <v>4</v>
      </c>
      <c r="G5" s="47">
        <v>2</v>
      </c>
      <c r="H5" s="42" t="s">
        <v>141</v>
      </c>
      <c r="I5" s="43" t="s">
        <v>138</v>
      </c>
      <c r="J5" s="42" t="s">
        <v>146</v>
      </c>
      <c r="K5" s="66" t="s">
        <v>411</v>
      </c>
      <c r="M5" s="47">
        <v>2</v>
      </c>
      <c r="N5" s="42" t="s">
        <v>353</v>
      </c>
      <c r="O5" s="66" t="s">
        <v>478</v>
      </c>
      <c r="P5" s="42" t="s">
        <v>361</v>
      </c>
      <c r="Q5" s="66" t="s">
        <v>504</v>
      </c>
      <c r="R5" s="42" t="s">
        <v>404</v>
      </c>
      <c r="S5" s="66" t="s">
        <v>533</v>
      </c>
      <c r="T5" s="47"/>
    </row>
    <row r="6" spans="2:20" ht="15.75">
      <c r="B6" s="58">
        <v>3</v>
      </c>
      <c r="C6" s="54" t="s">
        <v>77</v>
      </c>
      <c r="D6" s="55" t="s">
        <v>3</v>
      </c>
      <c r="G6" s="47">
        <v>3</v>
      </c>
      <c r="H6" s="42" t="s">
        <v>142</v>
      </c>
      <c r="I6" s="43" t="s">
        <v>138</v>
      </c>
      <c r="J6" s="42" t="s">
        <v>147</v>
      </c>
      <c r="K6" s="66" t="s">
        <v>412</v>
      </c>
      <c r="M6" s="47">
        <v>3</v>
      </c>
      <c r="N6" s="42" t="s">
        <v>353</v>
      </c>
      <c r="O6" s="66" t="s">
        <v>478</v>
      </c>
      <c r="P6" s="42" t="s">
        <v>361</v>
      </c>
      <c r="Q6" s="66" t="s">
        <v>504</v>
      </c>
      <c r="R6" s="42" t="s">
        <v>405</v>
      </c>
      <c r="S6" s="66" t="s">
        <v>534</v>
      </c>
      <c r="T6" s="47"/>
    </row>
    <row r="7" spans="2:20" ht="15.75">
      <c r="B7" s="58">
        <v>4</v>
      </c>
      <c r="C7" s="54" t="s">
        <v>80</v>
      </c>
      <c r="D7" s="55" t="s">
        <v>5</v>
      </c>
      <c r="G7" s="47">
        <v>4</v>
      </c>
      <c r="H7" s="42" t="s">
        <v>143</v>
      </c>
      <c r="I7" s="43" t="s">
        <v>138</v>
      </c>
      <c r="J7" s="42" t="s">
        <v>148</v>
      </c>
      <c r="K7" s="66" t="s">
        <v>413</v>
      </c>
      <c r="M7" s="47">
        <v>4</v>
      </c>
      <c r="N7" s="42" t="s">
        <v>353</v>
      </c>
      <c r="O7" s="66" t="s">
        <v>478</v>
      </c>
      <c r="P7" s="42" t="s">
        <v>361</v>
      </c>
      <c r="Q7" s="66" t="s">
        <v>504</v>
      </c>
      <c r="R7" s="42" t="s">
        <v>535</v>
      </c>
      <c r="S7" s="66" t="s">
        <v>536</v>
      </c>
      <c r="T7" s="47"/>
    </row>
    <row r="8" spans="2:20" ht="15.75">
      <c r="B8" s="58">
        <v>5</v>
      </c>
      <c r="C8" s="54" t="s">
        <v>79</v>
      </c>
      <c r="D8" s="55" t="s">
        <v>23</v>
      </c>
      <c r="G8" s="47">
        <v>5</v>
      </c>
      <c r="H8" s="42" t="s">
        <v>144</v>
      </c>
      <c r="I8" s="43" t="s">
        <v>138</v>
      </c>
      <c r="J8" s="42" t="s">
        <v>149</v>
      </c>
      <c r="K8" s="66" t="s">
        <v>414</v>
      </c>
      <c r="M8" s="47">
        <v>5</v>
      </c>
      <c r="N8" s="42" t="s">
        <v>353</v>
      </c>
      <c r="O8" s="66" t="s">
        <v>478</v>
      </c>
      <c r="P8" s="42" t="s">
        <v>362</v>
      </c>
      <c r="Q8" s="66" t="s">
        <v>505</v>
      </c>
      <c r="R8" s="42" t="s">
        <v>537</v>
      </c>
      <c r="S8" s="66" t="s">
        <v>538</v>
      </c>
      <c r="T8" s="47"/>
    </row>
    <row r="9" spans="2:20" ht="15.75">
      <c r="B9" s="58">
        <v>6</v>
      </c>
      <c r="C9" s="54" t="s">
        <v>81</v>
      </c>
      <c r="D9" s="55" t="s">
        <v>6</v>
      </c>
      <c r="G9" s="47">
        <v>6</v>
      </c>
      <c r="H9" s="42" t="s">
        <v>280</v>
      </c>
      <c r="I9" s="43" t="s">
        <v>139</v>
      </c>
      <c r="J9" s="42" t="s">
        <v>150</v>
      </c>
      <c r="K9" s="66" t="s">
        <v>415</v>
      </c>
      <c r="M9" s="47">
        <v>6</v>
      </c>
      <c r="N9" s="42" t="s">
        <v>353</v>
      </c>
      <c r="O9" s="66" t="s">
        <v>478</v>
      </c>
      <c r="P9" s="42" t="s">
        <v>362</v>
      </c>
      <c r="Q9" s="66" t="s">
        <v>505</v>
      </c>
      <c r="R9" s="42" t="s">
        <v>539</v>
      </c>
      <c r="S9" s="66" t="s">
        <v>540</v>
      </c>
      <c r="T9" s="47"/>
    </row>
    <row r="10" spans="2:20" ht="15.75">
      <c r="B10" s="58">
        <v>7</v>
      </c>
      <c r="C10" s="54" t="s">
        <v>82</v>
      </c>
      <c r="D10" s="55" t="s">
        <v>7</v>
      </c>
      <c r="G10" s="47">
        <v>7</v>
      </c>
      <c r="H10" s="42" t="s">
        <v>158</v>
      </c>
      <c r="I10" s="43" t="s">
        <v>139</v>
      </c>
      <c r="J10" s="42" t="s">
        <v>151</v>
      </c>
      <c r="K10" s="66" t="s">
        <v>416</v>
      </c>
      <c r="M10" s="47">
        <v>7</v>
      </c>
      <c r="N10" s="42" t="s">
        <v>353</v>
      </c>
      <c r="O10" s="66" t="s">
        <v>478</v>
      </c>
      <c r="P10" s="42" t="s">
        <v>362</v>
      </c>
      <c r="Q10" s="66" t="s">
        <v>505</v>
      </c>
      <c r="R10" s="42" t="s">
        <v>541</v>
      </c>
      <c r="S10" s="66" t="s">
        <v>542</v>
      </c>
      <c r="T10" s="47"/>
    </row>
    <row r="11" spans="2:20" ht="15.75">
      <c r="B11" s="58">
        <v>8</v>
      </c>
      <c r="C11" s="54" t="s">
        <v>83</v>
      </c>
      <c r="D11" s="55" t="s">
        <v>22</v>
      </c>
      <c r="G11" s="47">
        <v>8</v>
      </c>
      <c r="H11" s="42" t="s">
        <v>159</v>
      </c>
      <c r="I11" s="43" t="s">
        <v>139</v>
      </c>
      <c r="J11" s="42" t="s">
        <v>152</v>
      </c>
      <c r="K11" s="66" t="s">
        <v>417</v>
      </c>
      <c r="M11" s="47">
        <v>8</v>
      </c>
      <c r="N11" s="42" t="s">
        <v>353</v>
      </c>
      <c r="O11" s="66" t="s">
        <v>478</v>
      </c>
      <c r="P11" s="42" t="s">
        <v>362</v>
      </c>
      <c r="Q11" s="66" t="s">
        <v>505</v>
      </c>
      <c r="R11" s="42" t="s">
        <v>543</v>
      </c>
      <c r="S11" s="66" t="s">
        <v>544</v>
      </c>
      <c r="T11" s="47"/>
    </row>
    <row r="12" spans="2:20" ht="15.75">
      <c r="B12" s="59">
        <v>9</v>
      </c>
      <c r="C12" s="56" t="s">
        <v>84</v>
      </c>
      <c r="D12" s="57" t="s">
        <v>20</v>
      </c>
      <c r="G12" s="47">
        <v>9</v>
      </c>
      <c r="H12" s="42" t="s">
        <v>160</v>
      </c>
      <c r="I12" s="43" t="s">
        <v>139</v>
      </c>
      <c r="J12" s="42" t="s">
        <v>153</v>
      </c>
      <c r="K12" s="66" t="s">
        <v>418</v>
      </c>
      <c r="M12" s="47">
        <v>9</v>
      </c>
      <c r="N12" s="42" t="s">
        <v>353</v>
      </c>
      <c r="O12" s="66" t="s">
        <v>478</v>
      </c>
      <c r="P12" s="42" t="s">
        <v>362</v>
      </c>
      <c r="Q12" s="66" t="s">
        <v>505</v>
      </c>
      <c r="R12" s="42" t="s">
        <v>545</v>
      </c>
      <c r="S12" s="66" t="s">
        <v>546</v>
      </c>
      <c r="T12" s="47"/>
    </row>
    <row r="13" spans="2:20">
      <c r="G13" s="47">
        <v>10</v>
      </c>
      <c r="H13" s="44" t="s">
        <v>161</v>
      </c>
      <c r="I13" s="43" t="s">
        <v>139</v>
      </c>
      <c r="J13" s="44" t="s">
        <v>154</v>
      </c>
      <c r="K13" s="66" t="s">
        <v>419</v>
      </c>
      <c r="M13" s="47">
        <v>10</v>
      </c>
      <c r="N13" s="44" t="s">
        <v>354</v>
      </c>
      <c r="O13" s="66" t="s">
        <v>479</v>
      </c>
      <c r="P13" s="44" t="s">
        <v>363</v>
      </c>
      <c r="Q13" s="66" t="s">
        <v>506</v>
      </c>
      <c r="R13" s="44" t="s">
        <v>547</v>
      </c>
      <c r="S13" s="66" t="s">
        <v>548</v>
      </c>
      <c r="T13" s="47"/>
    </row>
    <row r="14" spans="2:20">
      <c r="G14" s="47">
        <v>11</v>
      </c>
      <c r="H14" s="44" t="s">
        <v>162</v>
      </c>
      <c r="I14" s="43" t="s">
        <v>139</v>
      </c>
      <c r="J14" s="44" t="s">
        <v>155</v>
      </c>
      <c r="K14" s="66" t="s">
        <v>420</v>
      </c>
      <c r="M14" s="47">
        <v>11</v>
      </c>
      <c r="N14" s="44" t="s">
        <v>354</v>
      </c>
      <c r="O14" s="66" t="s">
        <v>479</v>
      </c>
      <c r="P14" s="44" t="s">
        <v>363</v>
      </c>
      <c r="Q14" s="66" t="s">
        <v>506</v>
      </c>
      <c r="R14" s="44" t="s">
        <v>549</v>
      </c>
      <c r="S14" s="66" t="s">
        <v>550</v>
      </c>
      <c r="T14" s="47"/>
    </row>
    <row r="15" spans="2:20">
      <c r="G15" s="47">
        <v>12</v>
      </c>
      <c r="H15" s="44" t="s">
        <v>163</v>
      </c>
      <c r="I15" s="43" t="s">
        <v>139</v>
      </c>
      <c r="J15" s="44" t="s">
        <v>156</v>
      </c>
      <c r="K15" s="66" t="s">
        <v>421</v>
      </c>
      <c r="M15" s="47">
        <v>12</v>
      </c>
      <c r="N15" s="44" t="s">
        <v>354</v>
      </c>
      <c r="O15" s="66" t="s">
        <v>479</v>
      </c>
      <c r="P15" s="44" t="s">
        <v>363</v>
      </c>
      <c r="Q15" s="66" t="s">
        <v>506</v>
      </c>
      <c r="R15" s="44" t="s">
        <v>551</v>
      </c>
      <c r="S15" s="66" t="s">
        <v>552</v>
      </c>
      <c r="T15" s="47"/>
    </row>
    <row r="16" spans="2:20">
      <c r="G16" s="47">
        <v>13</v>
      </c>
      <c r="H16" s="44" t="s">
        <v>164</v>
      </c>
      <c r="I16" s="43" t="s">
        <v>139</v>
      </c>
      <c r="J16" s="44" t="s">
        <v>218</v>
      </c>
      <c r="K16" s="66" t="s">
        <v>422</v>
      </c>
      <c r="M16" s="47">
        <v>13</v>
      </c>
      <c r="N16" s="44" t="s">
        <v>354</v>
      </c>
      <c r="O16" s="66" t="s">
        <v>479</v>
      </c>
      <c r="P16" s="44" t="s">
        <v>363</v>
      </c>
      <c r="Q16" s="66" t="s">
        <v>506</v>
      </c>
      <c r="R16" s="44" t="s">
        <v>553</v>
      </c>
      <c r="S16" s="66" t="s">
        <v>554</v>
      </c>
      <c r="T16" s="47"/>
    </row>
    <row r="17" spans="7:20">
      <c r="G17" s="47">
        <v>14</v>
      </c>
      <c r="H17" s="44" t="s">
        <v>165</v>
      </c>
      <c r="I17" s="43" t="s">
        <v>139</v>
      </c>
      <c r="J17" s="44" t="s">
        <v>219</v>
      </c>
      <c r="K17" s="66" t="s">
        <v>423</v>
      </c>
      <c r="M17" s="47">
        <v>14</v>
      </c>
      <c r="N17" s="44" t="s">
        <v>354</v>
      </c>
      <c r="O17" s="66" t="s">
        <v>479</v>
      </c>
      <c r="P17" s="44" t="s">
        <v>363</v>
      </c>
      <c r="Q17" s="66" t="s">
        <v>506</v>
      </c>
      <c r="R17" s="44" t="s">
        <v>555</v>
      </c>
      <c r="S17" s="66" t="s">
        <v>556</v>
      </c>
      <c r="T17" s="47"/>
    </row>
    <row r="18" spans="7:20">
      <c r="G18" s="47">
        <v>15</v>
      </c>
      <c r="H18" s="44" t="s">
        <v>166</v>
      </c>
      <c r="I18" s="43" t="s">
        <v>139</v>
      </c>
      <c r="J18" s="44" t="s">
        <v>220</v>
      </c>
      <c r="K18" s="66" t="s">
        <v>424</v>
      </c>
      <c r="M18" s="47">
        <v>15</v>
      </c>
      <c r="N18" s="44" t="s">
        <v>355</v>
      </c>
      <c r="O18" s="66" t="s">
        <v>480</v>
      </c>
      <c r="P18" s="44" t="s">
        <v>364</v>
      </c>
      <c r="Q18" s="66" t="s">
        <v>507</v>
      </c>
      <c r="R18" s="44" t="s">
        <v>557</v>
      </c>
      <c r="S18" s="66" t="s">
        <v>558</v>
      </c>
      <c r="T18" s="47"/>
    </row>
    <row r="19" spans="7:20">
      <c r="G19" s="47">
        <v>16</v>
      </c>
      <c r="H19" s="44" t="s">
        <v>167</v>
      </c>
      <c r="I19" s="43" t="s">
        <v>139</v>
      </c>
      <c r="J19" s="44" t="s">
        <v>221</v>
      </c>
      <c r="K19" s="66" t="s">
        <v>425</v>
      </c>
      <c r="M19" s="47">
        <v>16</v>
      </c>
      <c r="N19" s="44" t="s">
        <v>355</v>
      </c>
      <c r="O19" s="66" t="s">
        <v>480</v>
      </c>
      <c r="P19" s="44" t="s">
        <v>364</v>
      </c>
      <c r="Q19" s="66" t="s">
        <v>507</v>
      </c>
      <c r="R19" s="44" t="s">
        <v>559</v>
      </c>
      <c r="S19" s="66" t="s">
        <v>560</v>
      </c>
      <c r="T19" s="47"/>
    </row>
    <row r="20" spans="7:20">
      <c r="G20" s="47">
        <v>17</v>
      </c>
      <c r="H20" s="44" t="s">
        <v>168</v>
      </c>
      <c r="I20" s="43" t="s">
        <v>139</v>
      </c>
      <c r="J20" s="44" t="s">
        <v>222</v>
      </c>
      <c r="K20" s="66" t="s">
        <v>426</v>
      </c>
      <c r="M20" s="47">
        <v>17</v>
      </c>
      <c r="N20" s="44" t="s">
        <v>355</v>
      </c>
      <c r="O20" s="66" t="s">
        <v>480</v>
      </c>
      <c r="P20" s="44" t="s">
        <v>364</v>
      </c>
      <c r="Q20" s="66" t="s">
        <v>507</v>
      </c>
      <c r="R20" s="44" t="s">
        <v>561</v>
      </c>
      <c r="S20" s="66" t="s">
        <v>562</v>
      </c>
      <c r="T20" s="47"/>
    </row>
    <row r="21" spans="7:20">
      <c r="G21" s="47">
        <v>18</v>
      </c>
      <c r="H21" s="44" t="s">
        <v>169</v>
      </c>
      <c r="I21" s="43" t="s">
        <v>139</v>
      </c>
      <c r="J21" s="44" t="s">
        <v>223</v>
      </c>
      <c r="K21" s="66" t="s">
        <v>427</v>
      </c>
      <c r="M21" s="47">
        <v>18</v>
      </c>
      <c r="N21" s="44" t="s">
        <v>355</v>
      </c>
      <c r="O21" s="66" t="s">
        <v>480</v>
      </c>
      <c r="P21" s="44" t="s">
        <v>364</v>
      </c>
      <c r="Q21" s="66" t="s">
        <v>507</v>
      </c>
      <c r="R21" s="44" t="s">
        <v>563</v>
      </c>
      <c r="S21" s="66" t="s">
        <v>564</v>
      </c>
      <c r="T21" s="47"/>
    </row>
    <row r="22" spans="7:20">
      <c r="G22" s="47">
        <v>19</v>
      </c>
      <c r="H22" s="44" t="s">
        <v>170</v>
      </c>
      <c r="I22" s="43" t="s">
        <v>139</v>
      </c>
      <c r="J22" s="44" t="s">
        <v>224</v>
      </c>
      <c r="K22" s="66" t="s">
        <v>428</v>
      </c>
      <c r="M22" s="47">
        <v>19</v>
      </c>
      <c r="N22" s="44" t="s">
        <v>355</v>
      </c>
      <c r="O22" s="66" t="s">
        <v>480</v>
      </c>
      <c r="P22" s="44" t="s">
        <v>364</v>
      </c>
      <c r="Q22" s="66" t="s">
        <v>507</v>
      </c>
      <c r="R22" s="44" t="s">
        <v>565</v>
      </c>
      <c r="S22" s="66" t="s">
        <v>566</v>
      </c>
      <c r="T22" s="47"/>
    </row>
    <row r="23" spans="7:20">
      <c r="G23" s="47">
        <v>20</v>
      </c>
      <c r="H23" s="44" t="s">
        <v>171</v>
      </c>
      <c r="I23" s="43" t="s">
        <v>139</v>
      </c>
      <c r="J23" s="44" t="s">
        <v>225</v>
      </c>
      <c r="K23" s="66" t="s">
        <v>429</v>
      </c>
      <c r="M23" s="47">
        <v>20</v>
      </c>
      <c r="N23" s="44" t="s">
        <v>355</v>
      </c>
      <c r="O23" s="66" t="s">
        <v>480</v>
      </c>
      <c r="P23" s="44" t="s">
        <v>364</v>
      </c>
      <c r="Q23" s="66" t="s">
        <v>507</v>
      </c>
      <c r="R23" s="44" t="s">
        <v>567</v>
      </c>
      <c r="S23" s="66" t="s">
        <v>568</v>
      </c>
      <c r="T23" s="47"/>
    </row>
    <row r="24" spans="7:20">
      <c r="G24" s="47">
        <v>21</v>
      </c>
      <c r="H24" s="44" t="s">
        <v>172</v>
      </c>
      <c r="I24" s="43" t="s">
        <v>139</v>
      </c>
      <c r="J24" s="44" t="s">
        <v>226</v>
      </c>
      <c r="K24" s="66" t="s">
        <v>430</v>
      </c>
      <c r="M24" s="47">
        <v>21</v>
      </c>
      <c r="N24" s="44" t="s">
        <v>355</v>
      </c>
      <c r="O24" s="66" t="s">
        <v>480</v>
      </c>
      <c r="P24" s="44" t="s">
        <v>365</v>
      </c>
      <c r="Q24" s="66" t="s">
        <v>508</v>
      </c>
      <c r="R24" s="44" t="s">
        <v>569</v>
      </c>
      <c r="S24" s="66" t="s">
        <v>508</v>
      </c>
      <c r="T24" s="47"/>
    </row>
    <row r="25" spans="7:20">
      <c r="G25" s="47">
        <v>22</v>
      </c>
      <c r="H25" s="44" t="s">
        <v>173</v>
      </c>
      <c r="I25" s="43" t="s">
        <v>139</v>
      </c>
      <c r="J25" s="44" t="s">
        <v>227</v>
      </c>
      <c r="K25" s="66" t="s">
        <v>431</v>
      </c>
      <c r="M25" s="47">
        <v>22</v>
      </c>
      <c r="N25" s="44" t="s">
        <v>356</v>
      </c>
      <c r="O25" s="66" t="s">
        <v>481</v>
      </c>
      <c r="P25" s="44" t="s">
        <v>366</v>
      </c>
      <c r="Q25" s="66" t="s">
        <v>509</v>
      </c>
      <c r="R25" s="44" t="s">
        <v>570</v>
      </c>
      <c r="S25" s="66"/>
      <c r="T25" s="47"/>
    </row>
    <row r="26" spans="7:20">
      <c r="G26" s="47">
        <v>23</v>
      </c>
      <c r="H26" s="44" t="s">
        <v>174</v>
      </c>
      <c r="I26" s="43" t="s">
        <v>139</v>
      </c>
      <c r="J26" s="44" t="s">
        <v>228</v>
      </c>
      <c r="K26" s="66" t="s">
        <v>432</v>
      </c>
      <c r="M26" s="47">
        <v>23</v>
      </c>
      <c r="N26" s="44" t="s">
        <v>356</v>
      </c>
      <c r="O26" s="66" t="s">
        <v>481</v>
      </c>
      <c r="P26" s="44" t="s">
        <v>367</v>
      </c>
      <c r="Q26" s="66" t="s">
        <v>510</v>
      </c>
      <c r="R26" s="44" t="s">
        <v>571</v>
      </c>
      <c r="S26" s="66"/>
      <c r="T26" s="47"/>
    </row>
    <row r="27" spans="7:20">
      <c r="G27" s="47">
        <v>24</v>
      </c>
      <c r="H27" s="44" t="s">
        <v>175</v>
      </c>
      <c r="I27" s="43" t="s">
        <v>139</v>
      </c>
      <c r="J27" s="44" t="s">
        <v>229</v>
      </c>
      <c r="K27" s="66" t="s">
        <v>433</v>
      </c>
      <c r="M27" s="47">
        <v>24</v>
      </c>
      <c r="N27" s="44" t="s">
        <v>356</v>
      </c>
      <c r="O27" s="66" t="s">
        <v>481</v>
      </c>
      <c r="P27" s="44" t="s">
        <v>364</v>
      </c>
      <c r="Q27" s="66" t="s">
        <v>511</v>
      </c>
      <c r="R27" s="44" t="s">
        <v>572</v>
      </c>
      <c r="S27" s="66"/>
      <c r="T27" s="47"/>
    </row>
    <row r="28" spans="7:20">
      <c r="G28" s="47">
        <v>25</v>
      </c>
      <c r="H28" s="44" t="s">
        <v>176</v>
      </c>
      <c r="I28" s="43" t="s">
        <v>139</v>
      </c>
      <c r="J28" s="44" t="s">
        <v>230</v>
      </c>
      <c r="K28" s="66" t="s">
        <v>434</v>
      </c>
      <c r="M28" s="47">
        <v>25</v>
      </c>
      <c r="N28" s="44" t="s">
        <v>356</v>
      </c>
      <c r="O28" s="66" t="s">
        <v>481</v>
      </c>
      <c r="P28" s="44" t="s">
        <v>364</v>
      </c>
      <c r="Q28" s="66" t="s">
        <v>511</v>
      </c>
      <c r="R28" s="44" t="s">
        <v>573</v>
      </c>
      <c r="S28" s="66" t="s">
        <v>574</v>
      </c>
      <c r="T28" s="47"/>
    </row>
    <row r="29" spans="7:20">
      <c r="G29" s="47">
        <v>26</v>
      </c>
      <c r="H29" s="44" t="s">
        <v>177</v>
      </c>
      <c r="I29" s="43" t="s">
        <v>139</v>
      </c>
      <c r="J29" s="44" t="s">
        <v>231</v>
      </c>
      <c r="K29" s="66" t="s">
        <v>435</v>
      </c>
      <c r="M29" s="47">
        <v>26</v>
      </c>
      <c r="N29" s="44" t="s">
        <v>356</v>
      </c>
      <c r="O29" s="66" t="s">
        <v>481</v>
      </c>
      <c r="P29" s="44" t="s">
        <v>369</v>
      </c>
      <c r="Q29" s="66" t="s">
        <v>512</v>
      </c>
      <c r="R29" s="44" t="s">
        <v>575</v>
      </c>
      <c r="S29" s="66" t="s">
        <v>576</v>
      </c>
      <c r="T29" s="47"/>
    </row>
    <row r="30" spans="7:20">
      <c r="G30" s="47">
        <v>27</v>
      </c>
      <c r="H30" s="44" t="s">
        <v>178</v>
      </c>
      <c r="I30" s="43" t="s">
        <v>139</v>
      </c>
      <c r="J30" s="44" t="s">
        <v>232</v>
      </c>
      <c r="K30" s="66" t="s">
        <v>436</v>
      </c>
      <c r="M30" s="47">
        <v>27</v>
      </c>
      <c r="N30" s="44" t="s">
        <v>356</v>
      </c>
      <c r="O30" s="66" t="s">
        <v>481</v>
      </c>
      <c r="P30" s="44" t="s">
        <v>369</v>
      </c>
      <c r="Q30" s="66" t="s">
        <v>512</v>
      </c>
      <c r="R30" s="44" t="s">
        <v>577</v>
      </c>
      <c r="S30" s="66" t="s">
        <v>578</v>
      </c>
      <c r="T30" s="47"/>
    </row>
    <row r="31" spans="7:20">
      <c r="G31" s="47">
        <v>28</v>
      </c>
      <c r="H31" s="44" t="s">
        <v>179</v>
      </c>
      <c r="I31" s="43" t="s">
        <v>139</v>
      </c>
      <c r="J31" s="44" t="s">
        <v>233</v>
      </c>
      <c r="K31" s="66" t="s">
        <v>437</v>
      </c>
      <c r="M31" s="47">
        <v>28</v>
      </c>
      <c r="N31" s="44" t="s">
        <v>356</v>
      </c>
      <c r="O31" s="66" t="s">
        <v>481</v>
      </c>
      <c r="P31" s="44" t="s">
        <v>370</v>
      </c>
      <c r="Q31" s="66" t="s">
        <v>513</v>
      </c>
      <c r="R31" s="44" t="s">
        <v>579</v>
      </c>
      <c r="S31" s="66" t="s">
        <v>580</v>
      </c>
      <c r="T31" s="47"/>
    </row>
    <row r="32" spans="7:20">
      <c r="G32" s="47">
        <v>29</v>
      </c>
      <c r="H32" s="44" t="s">
        <v>180</v>
      </c>
      <c r="I32" s="43" t="s">
        <v>139</v>
      </c>
      <c r="J32" s="44" t="s">
        <v>234</v>
      </c>
      <c r="K32" s="66" t="s">
        <v>438</v>
      </c>
      <c r="M32" s="47">
        <v>29</v>
      </c>
      <c r="N32" s="44" t="s">
        <v>356</v>
      </c>
      <c r="O32" s="66" t="s">
        <v>481</v>
      </c>
      <c r="P32" s="44" t="s">
        <v>370</v>
      </c>
      <c r="Q32" s="66" t="s">
        <v>513</v>
      </c>
      <c r="R32" s="44" t="s">
        <v>581</v>
      </c>
      <c r="S32" s="66" t="s">
        <v>574</v>
      </c>
      <c r="T32" s="47"/>
    </row>
    <row r="33" spans="7:20">
      <c r="G33" s="47">
        <v>30</v>
      </c>
      <c r="H33" s="44" t="s">
        <v>181</v>
      </c>
      <c r="I33" s="43" t="s">
        <v>139</v>
      </c>
      <c r="J33" s="44" t="s">
        <v>235</v>
      </c>
      <c r="K33" s="66" t="s">
        <v>439</v>
      </c>
      <c r="M33" s="47">
        <v>30</v>
      </c>
      <c r="N33" s="44" t="s">
        <v>356</v>
      </c>
      <c r="O33" s="66" t="s">
        <v>481</v>
      </c>
      <c r="P33" s="44" t="s">
        <v>370</v>
      </c>
      <c r="Q33" s="66" t="s">
        <v>513</v>
      </c>
      <c r="R33" s="44" t="s">
        <v>582</v>
      </c>
      <c r="S33" s="66" t="s">
        <v>583</v>
      </c>
      <c r="T33" s="47"/>
    </row>
    <row r="34" spans="7:20">
      <c r="G34" s="47">
        <v>31</v>
      </c>
      <c r="H34" s="44" t="s">
        <v>182</v>
      </c>
      <c r="I34" s="43" t="s">
        <v>139</v>
      </c>
      <c r="J34" s="44" t="s">
        <v>236</v>
      </c>
      <c r="K34" s="66" t="s">
        <v>440</v>
      </c>
      <c r="M34" s="47">
        <v>31</v>
      </c>
      <c r="N34" s="44" t="s">
        <v>356</v>
      </c>
      <c r="O34" s="66" t="s">
        <v>481</v>
      </c>
      <c r="P34" s="44" t="s">
        <v>372</v>
      </c>
      <c r="Q34" s="66" t="s">
        <v>514</v>
      </c>
      <c r="R34" s="44" t="s">
        <v>584</v>
      </c>
      <c r="S34" s="66"/>
      <c r="T34" s="47"/>
    </row>
    <row r="35" spans="7:20">
      <c r="G35" s="47">
        <v>32</v>
      </c>
      <c r="H35" s="44" t="s">
        <v>183</v>
      </c>
      <c r="I35" s="43" t="s">
        <v>139</v>
      </c>
      <c r="J35" s="44" t="s">
        <v>237</v>
      </c>
      <c r="K35" s="66" t="s">
        <v>441</v>
      </c>
      <c r="M35" s="47">
        <v>32</v>
      </c>
      <c r="N35" s="44" t="s">
        <v>356</v>
      </c>
      <c r="O35" s="66" t="s">
        <v>481</v>
      </c>
      <c r="P35" s="44" t="s">
        <v>373</v>
      </c>
      <c r="Q35" s="66" t="s">
        <v>515</v>
      </c>
      <c r="R35" s="44" t="s">
        <v>585</v>
      </c>
      <c r="S35" s="66" t="s">
        <v>586</v>
      </c>
      <c r="T35" s="47"/>
    </row>
    <row r="36" spans="7:20">
      <c r="G36" s="47">
        <v>33</v>
      </c>
      <c r="H36" s="44" t="s">
        <v>184</v>
      </c>
      <c r="I36" s="43" t="s">
        <v>139</v>
      </c>
      <c r="J36" s="44" t="s">
        <v>238</v>
      </c>
      <c r="K36" s="66" t="s">
        <v>442</v>
      </c>
      <c r="M36" s="47">
        <v>33</v>
      </c>
      <c r="N36" s="44" t="s">
        <v>356</v>
      </c>
      <c r="O36" s="66" t="s">
        <v>481</v>
      </c>
      <c r="P36" s="44" t="s">
        <v>374</v>
      </c>
      <c r="Q36" s="66" t="s">
        <v>516</v>
      </c>
      <c r="R36" s="44" t="s">
        <v>587</v>
      </c>
      <c r="S36" s="66"/>
      <c r="T36" s="47"/>
    </row>
    <row r="37" spans="7:20">
      <c r="G37" s="47">
        <v>34</v>
      </c>
      <c r="H37" s="44" t="s">
        <v>185</v>
      </c>
      <c r="I37" s="43" t="s">
        <v>139</v>
      </c>
      <c r="J37" s="44" t="s">
        <v>239</v>
      </c>
      <c r="K37" s="66" t="s">
        <v>443</v>
      </c>
      <c r="M37" s="47">
        <v>34</v>
      </c>
      <c r="N37" s="44" t="s">
        <v>356</v>
      </c>
      <c r="O37" s="66" t="s">
        <v>481</v>
      </c>
      <c r="P37" s="44" t="s">
        <v>375</v>
      </c>
      <c r="Q37" s="66" t="s">
        <v>517</v>
      </c>
      <c r="R37" s="44" t="s">
        <v>588</v>
      </c>
      <c r="S37" s="66"/>
      <c r="T37" s="47"/>
    </row>
    <row r="38" spans="7:20">
      <c r="G38" s="47">
        <v>35</v>
      </c>
      <c r="H38" s="44" t="s">
        <v>186</v>
      </c>
      <c r="I38" s="43" t="s">
        <v>139</v>
      </c>
      <c r="J38" s="44" t="s">
        <v>240</v>
      </c>
      <c r="K38" s="66" t="s">
        <v>444</v>
      </c>
      <c r="M38" s="47">
        <v>35</v>
      </c>
      <c r="N38" s="44" t="s">
        <v>356</v>
      </c>
      <c r="O38" s="66" t="s">
        <v>481</v>
      </c>
      <c r="P38" s="44" t="s">
        <v>358</v>
      </c>
      <c r="Q38" s="66" t="s">
        <v>518</v>
      </c>
      <c r="R38" s="44" t="s">
        <v>589</v>
      </c>
      <c r="S38" s="66"/>
      <c r="T38" s="47"/>
    </row>
    <row r="39" spans="7:20">
      <c r="G39" s="47">
        <v>36</v>
      </c>
      <c r="H39" s="44" t="s">
        <v>187</v>
      </c>
      <c r="I39" s="43" t="s">
        <v>139</v>
      </c>
      <c r="J39" s="44" t="s">
        <v>241</v>
      </c>
      <c r="K39" s="66" t="s">
        <v>445</v>
      </c>
      <c r="M39" s="47">
        <v>36</v>
      </c>
      <c r="N39" s="44" t="s">
        <v>356</v>
      </c>
      <c r="O39" s="66" t="s">
        <v>481</v>
      </c>
      <c r="P39" s="44" t="s">
        <v>376</v>
      </c>
      <c r="Q39" s="66" t="s">
        <v>519</v>
      </c>
      <c r="R39" s="44" t="s">
        <v>590</v>
      </c>
      <c r="S39" s="66" t="s">
        <v>591</v>
      </c>
      <c r="T39" s="47"/>
    </row>
    <row r="40" spans="7:20">
      <c r="G40" s="47">
        <v>37</v>
      </c>
      <c r="H40" s="44" t="s">
        <v>188</v>
      </c>
      <c r="I40" s="43" t="s">
        <v>139</v>
      </c>
      <c r="J40" s="44" t="s">
        <v>242</v>
      </c>
      <c r="K40" s="66" t="s">
        <v>446</v>
      </c>
      <c r="M40" s="47">
        <v>37</v>
      </c>
      <c r="N40" s="44" t="s">
        <v>356</v>
      </c>
      <c r="O40" s="66" t="s">
        <v>481</v>
      </c>
      <c r="P40" s="44" t="s">
        <v>377</v>
      </c>
      <c r="Q40" s="66" t="s">
        <v>520</v>
      </c>
      <c r="R40" s="44" t="s">
        <v>592</v>
      </c>
      <c r="S40" s="66"/>
      <c r="T40" s="47"/>
    </row>
    <row r="41" spans="7:20">
      <c r="G41" s="47">
        <v>38</v>
      </c>
      <c r="H41" s="44" t="s">
        <v>189</v>
      </c>
      <c r="I41" s="43" t="s">
        <v>139</v>
      </c>
      <c r="J41" s="44" t="s">
        <v>243</v>
      </c>
      <c r="K41" s="66" t="s">
        <v>447</v>
      </c>
      <c r="M41" s="47">
        <v>38</v>
      </c>
      <c r="N41" s="44" t="s">
        <v>359</v>
      </c>
      <c r="O41" s="66" t="s">
        <v>482</v>
      </c>
      <c r="P41" s="44" t="s">
        <v>378</v>
      </c>
      <c r="Q41" s="66" t="s">
        <v>521</v>
      </c>
      <c r="R41" s="44" t="s">
        <v>593</v>
      </c>
      <c r="S41" s="66" t="s">
        <v>594</v>
      </c>
      <c r="T41" s="47"/>
    </row>
    <row r="42" spans="7:20">
      <c r="G42" s="47">
        <v>39</v>
      </c>
      <c r="H42" s="44" t="s">
        <v>190</v>
      </c>
      <c r="I42" s="43" t="s">
        <v>139</v>
      </c>
      <c r="J42" s="44" t="s">
        <v>244</v>
      </c>
      <c r="K42" s="66" t="s">
        <v>448</v>
      </c>
      <c r="M42" s="47">
        <v>39</v>
      </c>
      <c r="N42" s="44" t="s">
        <v>359</v>
      </c>
      <c r="O42" s="66" t="s">
        <v>482</v>
      </c>
      <c r="P42" s="44" t="s">
        <v>379</v>
      </c>
      <c r="Q42" s="66" t="s">
        <v>522</v>
      </c>
      <c r="R42" s="44" t="s">
        <v>595</v>
      </c>
      <c r="S42" s="66"/>
      <c r="T42" s="47"/>
    </row>
    <row r="43" spans="7:20">
      <c r="G43" s="47">
        <v>40</v>
      </c>
      <c r="H43" s="44" t="s">
        <v>191</v>
      </c>
      <c r="I43" s="43" t="s">
        <v>139</v>
      </c>
      <c r="J43" s="44" t="s">
        <v>245</v>
      </c>
      <c r="K43" s="66" t="s">
        <v>449</v>
      </c>
      <c r="M43" s="47">
        <v>40</v>
      </c>
      <c r="N43" s="44" t="s">
        <v>359</v>
      </c>
      <c r="O43" s="66" t="s">
        <v>482</v>
      </c>
      <c r="P43" s="44" t="s">
        <v>380</v>
      </c>
      <c r="Q43" s="66" t="s">
        <v>523</v>
      </c>
      <c r="R43" s="44" t="s">
        <v>596</v>
      </c>
      <c r="S43" s="66"/>
      <c r="T43" s="47"/>
    </row>
    <row r="44" spans="7:20">
      <c r="G44" s="47">
        <v>41</v>
      </c>
      <c r="H44" s="44" t="s">
        <v>192</v>
      </c>
      <c r="I44" s="43" t="s">
        <v>139</v>
      </c>
      <c r="J44" s="44" t="s">
        <v>246</v>
      </c>
      <c r="K44" s="66" t="s">
        <v>450</v>
      </c>
      <c r="M44" s="47">
        <v>41</v>
      </c>
      <c r="N44" s="44" t="s">
        <v>358</v>
      </c>
      <c r="O44" s="66" t="s">
        <v>483</v>
      </c>
      <c r="P44" s="44" t="s">
        <v>371</v>
      </c>
      <c r="Q44" s="66" t="s">
        <v>524</v>
      </c>
      <c r="R44" s="44" t="s">
        <v>597</v>
      </c>
      <c r="S44" s="66" t="s">
        <v>598</v>
      </c>
      <c r="T44" s="47"/>
    </row>
    <row r="45" spans="7:20">
      <c r="G45" s="47">
        <v>42</v>
      </c>
      <c r="H45" s="44" t="s">
        <v>193</v>
      </c>
      <c r="I45" s="43" t="s">
        <v>139</v>
      </c>
      <c r="J45" s="44" t="s">
        <v>247</v>
      </c>
      <c r="K45" s="66" t="s">
        <v>451</v>
      </c>
      <c r="M45" s="47">
        <v>42</v>
      </c>
      <c r="N45" s="44" t="s">
        <v>360</v>
      </c>
      <c r="O45" s="66" t="s">
        <v>484</v>
      </c>
      <c r="P45" s="44" t="s">
        <v>381</v>
      </c>
      <c r="Q45" s="66" t="s">
        <v>525</v>
      </c>
      <c r="R45" s="44" t="s">
        <v>599</v>
      </c>
      <c r="S45" s="66" t="s">
        <v>600</v>
      </c>
      <c r="T45" s="47"/>
    </row>
    <row r="46" spans="7:20">
      <c r="G46" s="47">
        <v>43</v>
      </c>
      <c r="H46" s="44" t="s">
        <v>194</v>
      </c>
      <c r="I46" s="43" t="s">
        <v>139</v>
      </c>
      <c r="J46" s="44" t="s">
        <v>248</v>
      </c>
      <c r="K46" s="66" t="s">
        <v>452</v>
      </c>
      <c r="M46" s="47">
        <v>43</v>
      </c>
      <c r="N46" s="44" t="s">
        <v>360</v>
      </c>
      <c r="O46" s="66" t="s">
        <v>484</v>
      </c>
      <c r="P46" s="44" t="s">
        <v>382</v>
      </c>
      <c r="Q46" s="66" t="s">
        <v>526</v>
      </c>
      <c r="R46" s="44" t="s">
        <v>601</v>
      </c>
      <c r="S46" s="66"/>
      <c r="T46" s="47"/>
    </row>
    <row r="47" spans="7:20">
      <c r="G47" s="47">
        <v>44</v>
      </c>
      <c r="H47" s="44" t="s">
        <v>195</v>
      </c>
      <c r="I47" s="43" t="s">
        <v>139</v>
      </c>
      <c r="J47" s="44" t="s">
        <v>249</v>
      </c>
      <c r="K47" s="66" t="s">
        <v>453</v>
      </c>
      <c r="M47" s="47">
        <v>44</v>
      </c>
      <c r="N47" s="44" t="s">
        <v>360</v>
      </c>
      <c r="O47" s="66" t="s">
        <v>484</v>
      </c>
      <c r="P47" s="44" t="s">
        <v>383</v>
      </c>
      <c r="Q47" s="66" t="s">
        <v>527</v>
      </c>
      <c r="R47" s="44" t="s">
        <v>602</v>
      </c>
      <c r="S47" s="66"/>
      <c r="T47" s="47"/>
    </row>
    <row r="48" spans="7:20">
      <c r="G48" s="47">
        <v>45</v>
      </c>
      <c r="H48" s="44" t="s">
        <v>196</v>
      </c>
      <c r="I48" s="43" t="s">
        <v>139</v>
      </c>
      <c r="J48" s="44" t="s">
        <v>250</v>
      </c>
      <c r="K48" s="66" t="s">
        <v>454</v>
      </c>
      <c r="M48" s="47">
        <v>45</v>
      </c>
      <c r="N48" s="44" t="s">
        <v>360</v>
      </c>
      <c r="O48" s="66" t="s">
        <v>485</v>
      </c>
      <c r="P48" s="44" t="s">
        <v>384</v>
      </c>
      <c r="Q48" s="66" t="s">
        <v>528</v>
      </c>
      <c r="R48" s="44" t="s">
        <v>603</v>
      </c>
      <c r="S48" s="66"/>
      <c r="T48" s="47"/>
    </row>
    <row r="49" spans="7:20">
      <c r="G49" s="47">
        <v>46</v>
      </c>
      <c r="H49" s="44" t="s">
        <v>197</v>
      </c>
      <c r="I49" s="43" t="s">
        <v>139</v>
      </c>
      <c r="J49" s="44" t="s">
        <v>251</v>
      </c>
      <c r="K49" s="66" t="s">
        <v>455</v>
      </c>
      <c r="M49" s="47">
        <v>46</v>
      </c>
      <c r="N49" s="44" t="s">
        <v>360</v>
      </c>
      <c r="O49" s="66" t="s">
        <v>484</v>
      </c>
      <c r="P49" s="44" t="s">
        <v>385</v>
      </c>
      <c r="Q49" s="66" t="s">
        <v>529</v>
      </c>
      <c r="R49" s="44" t="s">
        <v>604</v>
      </c>
      <c r="S49" s="66"/>
      <c r="T49" s="47"/>
    </row>
    <row r="50" spans="7:20">
      <c r="G50" s="47">
        <v>47</v>
      </c>
      <c r="H50" s="44" t="s">
        <v>198</v>
      </c>
      <c r="I50" s="43" t="s">
        <v>139</v>
      </c>
      <c r="J50" s="44" t="s">
        <v>252</v>
      </c>
      <c r="K50" s="66" t="s">
        <v>456</v>
      </c>
      <c r="M50" s="47">
        <v>47</v>
      </c>
      <c r="N50" s="44" t="s">
        <v>360</v>
      </c>
      <c r="O50" s="66" t="s">
        <v>484</v>
      </c>
      <c r="P50" s="44" t="s">
        <v>374</v>
      </c>
      <c r="Q50" s="66" t="s">
        <v>516</v>
      </c>
      <c r="R50" s="44" t="s">
        <v>605</v>
      </c>
      <c r="S50" s="66"/>
      <c r="T50" s="47"/>
    </row>
    <row r="51" spans="7:20">
      <c r="G51" s="47">
        <v>48</v>
      </c>
      <c r="H51" s="44" t="s">
        <v>199</v>
      </c>
      <c r="I51" s="43" t="s">
        <v>139</v>
      </c>
      <c r="J51" s="44" t="s">
        <v>253</v>
      </c>
      <c r="K51" s="66" t="s">
        <v>457</v>
      </c>
      <c r="M51" s="47">
        <v>48</v>
      </c>
      <c r="N51" s="44" t="s">
        <v>360</v>
      </c>
      <c r="O51" s="66" t="s">
        <v>484</v>
      </c>
      <c r="P51" s="44" t="s">
        <v>386</v>
      </c>
      <c r="Q51" s="66" t="s">
        <v>530</v>
      </c>
      <c r="R51" s="44" t="s">
        <v>606</v>
      </c>
      <c r="S51" s="66" t="s">
        <v>607</v>
      </c>
      <c r="T51" s="47"/>
    </row>
    <row r="52" spans="7:20">
      <c r="G52" s="47">
        <v>49</v>
      </c>
      <c r="H52" s="44" t="s">
        <v>200</v>
      </c>
      <c r="I52" s="43" t="s">
        <v>139</v>
      </c>
      <c r="J52" s="44" t="s">
        <v>254</v>
      </c>
      <c r="K52" s="66" t="s">
        <v>458</v>
      </c>
      <c r="M52" s="47">
        <v>49</v>
      </c>
      <c r="N52" s="44" t="s">
        <v>357</v>
      </c>
      <c r="O52" s="66" t="s">
        <v>486</v>
      </c>
      <c r="P52" s="44" t="s">
        <v>368</v>
      </c>
      <c r="Q52" s="66" t="s">
        <v>531</v>
      </c>
      <c r="R52" s="44" t="s">
        <v>608</v>
      </c>
      <c r="S52" s="66" t="s">
        <v>609</v>
      </c>
      <c r="T52" s="47"/>
    </row>
    <row r="53" spans="7:20">
      <c r="G53" s="47">
        <v>50</v>
      </c>
      <c r="H53" s="44" t="s">
        <v>201</v>
      </c>
      <c r="I53" s="43" t="s">
        <v>139</v>
      </c>
      <c r="J53" s="44" t="s">
        <v>255</v>
      </c>
      <c r="K53" s="66" t="s">
        <v>459</v>
      </c>
      <c r="M53" s="47">
        <v>50</v>
      </c>
      <c r="N53" s="44" t="s">
        <v>357</v>
      </c>
      <c r="O53" s="66" t="s">
        <v>486</v>
      </c>
      <c r="P53" s="44" t="s">
        <v>368</v>
      </c>
      <c r="Q53" s="66" t="s">
        <v>531</v>
      </c>
      <c r="R53" s="44" t="s">
        <v>610</v>
      </c>
      <c r="S53" s="66" t="s">
        <v>611</v>
      </c>
      <c r="T53" s="47"/>
    </row>
    <row r="54" spans="7:20">
      <c r="G54" s="47">
        <v>51</v>
      </c>
      <c r="H54" s="44" t="s">
        <v>202</v>
      </c>
      <c r="I54" s="43" t="s">
        <v>139</v>
      </c>
      <c r="J54" s="44" t="s">
        <v>256</v>
      </c>
      <c r="K54" s="66" t="s">
        <v>460</v>
      </c>
      <c r="M54" s="47">
        <v>51</v>
      </c>
      <c r="N54" s="44" t="s">
        <v>357</v>
      </c>
      <c r="O54" s="66" t="s">
        <v>486</v>
      </c>
      <c r="P54" s="44" t="s">
        <v>368</v>
      </c>
      <c r="Q54" s="66" t="s">
        <v>531</v>
      </c>
      <c r="R54" s="44" t="s">
        <v>612</v>
      </c>
      <c r="S54" s="66" t="s">
        <v>613</v>
      </c>
      <c r="T54" s="47"/>
    </row>
    <row r="55" spans="7:20">
      <c r="G55" s="47">
        <v>52</v>
      </c>
      <c r="H55" s="44" t="s">
        <v>203</v>
      </c>
      <c r="I55" s="43" t="s">
        <v>139</v>
      </c>
      <c r="J55" s="44" t="s">
        <v>257</v>
      </c>
      <c r="K55" s="66" t="s">
        <v>461</v>
      </c>
      <c r="M55" s="47">
        <v>52</v>
      </c>
      <c r="N55" s="44"/>
      <c r="O55" s="66" t="s">
        <v>487</v>
      </c>
      <c r="P55" s="44"/>
      <c r="Q55" s="66" t="s">
        <v>139</v>
      </c>
      <c r="R55" s="44" t="s">
        <v>387</v>
      </c>
      <c r="S55" s="66" t="s">
        <v>614</v>
      </c>
      <c r="T55" s="47"/>
    </row>
    <row r="56" spans="7:20">
      <c r="G56" s="47">
        <v>53</v>
      </c>
      <c r="H56" s="44" t="s">
        <v>204</v>
      </c>
      <c r="I56" s="43" t="s">
        <v>139</v>
      </c>
      <c r="J56" s="44" t="s">
        <v>258</v>
      </c>
      <c r="K56" s="66" t="s">
        <v>462</v>
      </c>
      <c r="M56" s="47">
        <v>53</v>
      </c>
      <c r="N56" s="44"/>
      <c r="O56" s="66" t="s">
        <v>488</v>
      </c>
      <c r="P56" s="44"/>
      <c r="Q56" s="66" t="s">
        <v>139</v>
      </c>
      <c r="R56" s="44" t="s">
        <v>388</v>
      </c>
      <c r="S56" s="66" t="s">
        <v>615</v>
      </c>
      <c r="T56" s="47"/>
    </row>
    <row r="57" spans="7:20">
      <c r="G57" s="47">
        <v>54</v>
      </c>
      <c r="H57" s="44" t="s">
        <v>205</v>
      </c>
      <c r="I57" s="43" t="s">
        <v>139</v>
      </c>
      <c r="J57" s="44" t="s">
        <v>259</v>
      </c>
      <c r="K57" s="66" t="s">
        <v>463</v>
      </c>
      <c r="M57" s="47">
        <v>54</v>
      </c>
      <c r="N57" s="44"/>
      <c r="O57" s="66" t="s">
        <v>489</v>
      </c>
      <c r="P57" s="44"/>
      <c r="Q57" s="66" t="s">
        <v>139</v>
      </c>
      <c r="R57" s="44" t="s">
        <v>389</v>
      </c>
      <c r="S57" s="66" t="s">
        <v>616</v>
      </c>
      <c r="T57" s="47"/>
    </row>
    <row r="58" spans="7:20">
      <c r="G58" s="47">
        <v>55</v>
      </c>
      <c r="H58" s="44" t="s">
        <v>206</v>
      </c>
      <c r="I58" s="43" t="s">
        <v>139</v>
      </c>
      <c r="J58" s="44" t="s">
        <v>260</v>
      </c>
      <c r="K58" s="66" t="s">
        <v>464</v>
      </c>
      <c r="M58" s="47">
        <v>55</v>
      </c>
      <c r="N58" s="44"/>
      <c r="O58" s="66" t="s">
        <v>490</v>
      </c>
      <c r="P58" s="44"/>
      <c r="Q58" s="66" t="s">
        <v>139</v>
      </c>
      <c r="R58" s="44" t="s">
        <v>390</v>
      </c>
      <c r="S58" s="66" t="s">
        <v>617</v>
      </c>
      <c r="T58" s="47"/>
    </row>
    <row r="59" spans="7:20">
      <c r="G59" s="47">
        <v>56</v>
      </c>
      <c r="H59" s="44" t="s">
        <v>207</v>
      </c>
      <c r="I59" s="43" t="s">
        <v>139</v>
      </c>
      <c r="J59" s="44" t="s">
        <v>261</v>
      </c>
      <c r="K59" s="66" t="s">
        <v>465</v>
      </c>
      <c r="M59" s="47">
        <v>56</v>
      </c>
      <c r="N59" s="44"/>
      <c r="O59" s="66" t="s">
        <v>491</v>
      </c>
      <c r="P59" s="44"/>
      <c r="Q59" s="66" t="s">
        <v>139</v>
      </c>
      <c r="R59" s="44" t="s">
        <v>391</v>
      </c>
      <c r="S59" s="66" t="s">
        <v>618</v>
      </c>
      <c r="T59" s="47"/>
    </row>
    <row r="60" spans="7:20">
      <c r="G60" s="47">
        <v>57</v>
      </c>
      <c r="H60" s="44" t="s">
        <v>208</v>
      </c>
      <c r="I60" s="43" t="s">
        <v>139</v>
      </c>
      <c r="J60" s="44" t="s">
        <v>262</v>
      </c>
      <c r="K60" s="66" t="s">
        <v>466</v>
      </c>
      <c r="M60" s="47">
        <v>57</v>
      </c>
      <c r="N60" s="44"/>
      <c r="O60" s="66" t="s">
        <v>492</v>
      </c>
      <c r="P60" s="44"/>
      <c r="Q60" s="66" t="s">
        <v>139</v>
      </c>
      <c r="R60" s="44" t="s">
        <v>392</v>
      </c>
      <c r="S60" s="66" t="s">
        <v>619</v>
      </c>
      <c r="T60" s="47"/>
    </row>
    <row r="61" spans="7:20">
      <c r="G61" s="47">
        <v>58</v>
      </c>
      <c r="H61" s="44" t="s">
        <v>209</v>
      </c>
      <c r="I61" s="43" t="s">
        <v>139</v>
      </c>
      <c r="J61" s="44" t="s">
        <v>263</v>
      </c>
      <c r="K61" s="66" t="s">
        <v>467</v>
      </c>
      <c r="M61" s="47">
        <v>58</v>
      </c>
      <c r="N61" s="44"/>
      <c r="O61" s="66" t="s">
        <v>493</v>
      </c>
      <c r="P61" s="44"/>
      <c r="Q61" s="66" t="s">
        <v>139</v>
      </c>
      <c r="R61" s="44" t="s">
        <v>393</v>
      </c>
      <c r="S61" s="66" t="s">
        <v>620</v>
      </c>
      <c r="T61" s="47"/>
    </row>
    <row r="62" spans="7:20">
      <c r="G62" s="47">
        <v>59</v>
      </c>
      <c r="H62" s="44" t="s">
        <v>210</v>
      </c>
      <c r="I62" s="43" t="s">
        <v>139</v>
      </c>
      <c r="J62" s="44" t="s">
        <v>264</v>
      </c>
      <c r="K62" s="66" t="s">
        <v>468</v>
      </c>
      <c r="M62" s="47">
        <v>59</v>
      </c>
      <c r="N62" s="44"/>
      <c r="O62" s="66" t="s">
        <v>494</v>
      </c>
      <c r="P62" s="44"/>
      <c r="Q62" s="66" t="s">
        <v>139</v>
      </c>
      <c r="R62" s="44" t="s">
        <v>394</v>
      </c>
      <c r="S62" s="66" t="s">
        <v>621</v>
      </c>
      <c r="T62" s="47"/>
    </row>
    <row r="63" spans="7:20">
      <c r="G63" s="47">
        <v>60</v>
      </c>
      <c r="H63" s="44" t="s">
        <v>211</v>
      </c>
      <c r="I63" s="43" t="s">
        <v>139</v>
      </c>
      <c r="J63" s="44" t="s">
        <v>265</v>
      </c>
      <c r="K63" s="66" t="s">
        <v>469</v>
      </c>
      <c r="M63" s="47">
        <v>60</v>
      </c>
      <c r="N63" s="44"/>
      <c r="O63" s="66" t="s">
        <v>495</v>
      </c>
      <c r="P63" s="44"/>
      <c r="Q63" s="66" t="s">
        <v>139</v>
      </c>
      <c r="R63" s="44" t="s">
        <v>395</v>
      </c>
      <c r="S63" s="66" t="s">
        <v>622</v>
      </c>
      <c r="T63" s="47"/>
    </row>
    <row r="64" spans="7:20">
      <c r="G64" s="47">
        <v>61</v>
      </c>
      <c r="H64" s="44" t="s">
        <v>212</v>
      </c>
      <c r="I64" s="43" t="s">
        <v>139</v>
      </c>
      <c r="J64" s="44" t="s">
        <v>266</v>
      </c>
      <c r="K64" s="66" t="s">
        <v>470</v>
      </c>
      <c r="M64" s="47">
        <v>61</v>
      </c>
      <c r="N64" s="44"/>
      <c r="O64" s="66" t="s">
        <v>496</v>
      </c>
      <c r="P64" s="44"/>
      <c r="Q64" s="66" t="s">
        <v>139</v>
      </c>
      <c r="R64" s="44" t="s">
        <v>396</v>
      </c>
      <c r="S64" s="66" t="s">
        <v>623</v>
      </c>
      <c r="T64" s="47"/>
    </row>
    <row r="65" spans="7:20">
      <c r="G65" s="47">
        <v>62</v>
      </c>
      <c r="H65" s="44" t="s">
        <v>213</v>
      </c>
      <c r="I65" s="43" t="s">
        <v>139</v>
      </c>
      <c r="J65" s="44" t="s">
        <v>267</v>
      </c>
      <c r="K65" s="66" t="s">
        <v>471</v>
      </c>
      <c r="M65" s="47">
        <v>62</v>
      </c>
      <c r="N65" s="44"/>
      <c r="O65" s="66" t="s">
        <v>497</v>
      </c>
      <c r="P65" s="44"/>
      <c r="Q65" s="66" t="s">
        <v>139</v>
      </c>
      <c r="R65" s="44" t="s">
        <v>397</v>
      </c>
      <c r="S65" s="66" t="s">
        <v>624</v>
      </c>
      <c r="T65" s="47"/>
    </row>
    <row r="66" spans="7:20">
      <c r="G66" s="47">
        <v>63</v>
      </c>
      <c r="H66" s="44" t="s">
        <v>214</v>
      </c>
      <c r="I66" s="43" t="s">
        <v>139</v>
      </c>
      <c r="J66" s="44" t="s">
        <v>268</v>
      </c>
      <c r="K66" s="66" t="s">
        <v>472</v>
      </c>
      <c r="M66" s="47">
        <v>63</v>
      </c>
      <c r="N66" s="44"/>
      <c r="O66" s="66" t="s">
        <v>498</v>
      </c>
      <c r="P66" s="44"/>
      <c r="Q66" s="66" t="s">
        <v>139</v>
      </c>
      <c r="R66" s="44" t="s">
        <v>398</v>
      </c>
      <c r="S66" s="66" t="s">
        <v>625</v>
      </c>
      <c r="T66" s="47"/>
    </row>
    <row r="67" spans="7:20">
      <c r="G67" s="47">
        <v>64</v>
      </c>
      <c r="H67" s="44" t="s">
        <v>215</v>
      </c>
      <c r="I67" s="43" t="s">
        <v>139</v>
      </c>
      <c r="J67" s="44" t="s">
        <v>269</v>
      </c>
      <c r="K67" s="66" t="s">
        <v>473</v>
      </c>
      <c r="M67" s="47">
        <v>64</v>
      </c>
      <c r="N67" s="44"/>
      <c r="O67" s="66" t="s">
        <v>499</v>
      </c>
      <c r="P67" s="44"/>
      <c r="Q67" s="66" t="s">
        <v>139</v>
      </c>
      <c r="R67" s="44" t="s">
        <v>399</v>
      </c>
      <c r="S67" s="66" t="s">
        <v>626</v>
      </c>
      <c r="T67" s="47"/>
    </row>
    <row r="68" spans="7:20">
      <c r="G68" s="47">
        <v>65</v>
      </c>
      <c r="H68" s="44" t="s">
        <v>216</v>
      </c>
      <c r="I68" s="43" t="s">
        <v>139</v>
      </c>
      <c r="J68" s="44" t="s">
        <v>270</v>
      </c>
      <c r="K68" s="66" t="s">
        <v>474</v>
      </c>
      <c r="M68" s="47">
        <v>65</v>
      </c>
      <c r="N68" s="44"/>
      <c r="O68" s="66" t="s">
        <v>500</v>
      </c>
      <c r="P68" s="44"/>
      <c r="Q68" s="66" t="s">
        <v>139</v>
      </c>
      <c r="R68" s="44" t="s">
        <v>400</v>
      </c>
      <c r="S68" s="66" t="s">
        <v>627</v>
      </c>
      <c r="T68" s="47"/>
    </row>
    <row r="69" spans="7:20">
      <c r="G69" s="47">
        <v>66</v>
      </c>
      <c r="H69" s="44" t="s">
        <v>217</v>
      </c>
      <c r="I69" s="43" t="s">
        <v>139</v>
      </c>
      <c r="J69" s="44" t="s">
        <v>271</v>
      </c>
      <c r="K69" s="66" t="s">
        <v>475</v>
      </c>
      <c r="M69" s="47">
        <v>66</v>
      </c>
      <c r="N69" s="44"/>
      <c r="O69" s="66" t="s">
        <v>501</v>
      </c>
      <c r="P69" s="44"/>
      <c r="Q69" s="66" t="s">
        <v>139</v>
      </c>
      <c r="R69" s="44" t="s">
        <v>401</v>
      </c>
      <c r="S69" s="66" t="s">
        <v>628</v>
      </c>
      <c r="T69" s="47"/>
    </row>
    <row r="70" spans="7:20">
      <c r="G70" s="47">
        <v>67</v>
      </c>
      <c r="H70" s="44" t="s">
        <v>276</v>
      </c>
      <c r="I70" s="43" t="s">
        <v>139</v>
      </c>
      <c r="J70" s="44" t="s">
        <v>272</v>
      </c>
      <c r="K70" s="66" t="s">
        <v>476</v>
      </c>
      <c r="M70" s="47">
        <v>67</v>
      </c>
      <c r="N70" s="44"/>
      <c r="O70" s="66" t="s">
        <v>502</v>
      </c>
      <c r="P70" s="44"/>
      <c r="Q70" s="66" t="s">
        <v>139</v>
      </c>
      <c r="R70" s="44" t="s">
        <v>402</v>
      </c>
      <c r="S70" s="66" t="s">
        <v>629</v>
      </c>
      <c r="T70" s="47"/>
    </row>
    <row r="71" spans="7:20">
      <c r="G71" s="48">
        <v>68</v>
      </c>
      <c r="H71" s="45" t="s">
        <v>277</v>
      </c>
      <c r="I71" s="46" t="s">
        <v>139</v>
      </c>
      <c r="J71" s="45" t="s">
        <v>273</v>
      </c>
      <c r="K71" s="67" t="s">
        <v>477</v>
      </c>
      <c r="M71" s="48">
        <v>68</v>
      </c>
      <c r="N71" s="45"/>
      <c r="O71" s="67" t="s">
        <v>503</v>
      </c>
      <c r="P71" s="45"/>
      <c r="Q71" s="67" t="s">
        <v>139</v>
      </c>
      <c r="R71" s="45" t="s">
        <v>403</v>
      </c>
      <c r="S71" s="67" t="s">
        <v>630</v>
      </c>
      <c r="T71" s="48"/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0a57e9-07ec-4a50-8f90-70277298ebbc">
      <Terms xmlns="http://schemas.microsoft.com/office/infopath/2007/PartnerControls"/>
    </lcf76f155ced4ddcb4097134ff3c332f>
    <TaxCatchAll xmlns="b8268af3-981b-4ea0-a723-93d2f12c72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7D384C5C2781B408814E6C4A7A67BEB" ma:contentTypeVersion="16" ma:contentTypeDescription="새 문서를 만듭니다." ma:contentTypeScope="" ma:versionID="421cfb0d09635466b7282afcc8587034">
  <xsd:schema xmlns:xsd="http://www.w3.org/2001/XMLSchema" xmlns:xs="http://www.w3.org/2001/XMLSchema" xmlns:p="http://schemas.microsoft.com/office/2006/metadata/properties" xmlns:ns2="2b0a57e9-07ec-4a50-8f90-70277298ebbc" xmlns:ns3="b8268af3-981b-4ea0-a723-93d2f12c7280" targetNamespace="http://schemas.microsoft.com/office/2006/metadata/properties" ma:root="true" ma:fieldsID="03764eae95b8cfc2157f90523a0df7d0" ns2:_="" ns3:_="">
    <xsd:import namespace="2b0a57e9-07ec-4a50-8f90-70277298ebbc"/>
    <xsd:import namespace="b8268af3-981b-4ea0-a723-93d2f12c7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0a57e9-07ec-4a50-8f90-70277298e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cf2537ba-3ca5-4ae4-a91c-8f8a492586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68af3-981b-4ea0-a723-93d2f12c728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39d0cc3-7699-478f-92a5-fbb23367229c}" ma:internalName="TaxCatchAll" ma:showField="CatchAllData" ma:web="b8268af3-981b-4ea0-a723-93d2f12c7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AA133B-18DB-4DD3-B6CB-6DBBB1A1AAB5}">
  <ds:schemaRefs>
    <ds:schemaRef ds:uri="2b0a57e9-07ec-4a50-8f90-70277298ebbc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b8268af3-981b-4ea0-a723-93d2f12c7280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02E7969-F884-4F6D-831E-0ABB972F3B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95F7FA-3044-44AA-B423-303DBDFB99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0a57e9-07ec-4a50-8f90-70277298ebbc"/>
    <ds:schemaRef ds:uri="b8268af3-981b-4ea0-a723-93d2f12c72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3d7489c-57ce-4967-b332-b53a94d66806}" enabled="0" method="" siteId="{43d7489c-57ce-4967-b332-b53a94d668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3</vt:i4>
      </vt:variant>
    </vt:vector>
  </HeadingPairs>
  <TitlesOfParts>
    <vt:vector size="13" baseType="lpstr">
      <vt:lpstr>Cover</vt:lpstr>
      <vt:lpstr>1.출력인원 현황</vt:lpstr>
      <vt:lpstr>2.직종별 인원현황</vt:lpstr>
      <vt:lpstr>3.장비현황</vt:lpstr>
      <vt:lpstr>4.물량</vt:lpstr>
      <vt:lpstr>5.사진대지</vt:lpstr>
      <vt:lpstr>6.출력일보</vt:lpstr>
      <vt:lpstr>WBS</vt:lpstr>
      <vt:lpstr>작성 방법</vt:lpstr>
      <vt:lpstr>Code</vt:lpstr>
      <vt:lpstr>UT소</vt:lpstr>
      <vt:lpstr>설비소</vt:lpstr>
      <vt:lpstr>소방소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김대욱(KIM DAE WOOK)/SK hynix M15 Ph-2 WWT Project/SKecoplant</dc:creator>
  <cp:lastModifiedBy>조형준(HYUNG-JUN JO)/AI Board/SKecoplant</cp:lastModifiedBy>
  <cp:lastPrinted>2025-09-18T04:42:21Z</cp:lastPrinted>
  <dcterms:created xsi:type="dcterms:W3CDTF">2019-07-18T01:34:11Z</dcterms:created>
  <dcterms:modified xsi:type="dcterms:W3CDTF">2026-05-12T06:31:18Z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0x010100B7D384C5C2781B408814E6C4A7A67BEB</vt:lpwstr>
  </property>
</Properties>
</file>